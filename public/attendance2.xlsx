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ANAM SAI\Desktop\"/>
    </mc:Choice>
  </mc:AlternateContent>
  <xr:revisionPtr revIDLastSave="0" documentId="8_{86966B52-5F80-458B-842C-3DB05887A22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CSE-M" sheetId="1" r:id="rId1"/>
    <sheet name="CSE-N" sheetId="2" r:id="rId2"/>
    <sheet name="CSE-O" sheetId="3" r:id="rId3"/>
    <sheet name="CSE-P" sheetId="4" r:id="rId4"/>
    <sheet name="CSE-Q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5" l="1"/>
  <c r="T79" i="5"/>
  <c r="R79" i="5"/>
  <c r="S79" i="5" s="1"/>
  <c r="P79" i="5"/>
  <c r="N79" i="5"/>
  <c r="O79" i="5" s="1"/>
  <c r="L79" i="5"/>
  <c r="J79" i="5"/>
  <c r="H79" i="5"/>
  <c r="I79" i="5" s="1"/>
  <c r="F79" i="5"/>
  <c r="G79" i="5" s="1"/>
  <c r="D79" i="5"/>
  <c r="T78" i="5"/>
  <c r="R78" i="5"/>
  <c r="S78" i="5" s="1"/>
  <c r="P78" i="5"/>
  <c r="N78" i="5"/>
  <c r="O78" i="5" s="1"/>
  <c r="L78" i="5"/>
  <c r="J78" i="5"/>
  <c r="K78" i="5" s="1"/>
  <c r="H78" i="5"/>
  <c r="F78" i="5"/>
  <c r="G78" i="5" s="1"/>
  <c r="D78" i="5"/>
  <c r="T77" i="5"/>
  <c r="U77" i="5" s="1"/>
  <c r="R77" i="5"/>
  <c r="P77" i="5"/>
  <c r="N77" i="5"/>
  <c r="O77" i="5" s="1"/>
  <c r="L77" i="5"/>
  <c r="J77" i="5"/>
  <c r="K77" i="5" s="1"/>
  <c r="H77" i="5"/>
  <c r="F77" i="5"/>
  <c r="D77" i="5"/>
  <c r="T76" i="5"/>
  <c r="R76" i="5"/>
  <c r="S76" i="5" s="1"/>
  <c r="P76" i="5"/>
  <c r="N76" i="5"/>
  <c r="O76" i="5" s="1"/>
  <c r="L76" i="5"/>
  <c r="M76" i="5" s="1"/>
  <c r="J76" i="5"/>
  <c r="K76" i="5" s="1"/>
  <c r="H76" i="5"/>
  <c r="I76" i="5" s="1"/>
  <c r="F76" i="5"/>
  <c r="G76" i="5" s="1"/>
  <c r="D76" i="5"/>
  <c r="V76" i="5" s="1"/>
  <c r="T75" i="5"/>
  <c r="R75" i="5"/>
  <c r="S75" i="5" s="1"/>
  <c r="P75" i="5"/>
  <c r="N75" i="5"/>
  <c r="L75" i="5"/>
  <c r="J75" i="5"/>
  <c r="K75" i="5" s="1"/>
  <c r="H75" i="5"/>
  <c r="I75" i="5" s="1"/>
  <c r="F75" i="5"/>
  <c r="G75" i="5" s="1"/>
  <c r="D75" i="5"/>
  <c r="V75" i="5" s="1"/>
  <c r="T74" i="5"/>
  <c r="U74" i="5" s="1"/>
  <c r="R74" i="5"/>
  <c r="S74" i="5" s="1"/>
  <c r="P74" i="5"/>
  <c r="N74" i="5"/>
  <c r="O74" i="5" s="1"/>
  <c r="L74" i="5"/>
  <c r="J74" i="5"/>
  <c r="K74" i="5" s="1"/>
  <c r="H74" i="5"/>
  <c r="F74" i="5"/>
  <c r="G74" i="5" s="1"/>
  <c r="D74" i="5"/>
  <c r="T73" i="5"/>
  <c r="U73" i="5" s="1"/>
  <c r="R73" i="5"/>
  <c r="S73" i="5" s="1"/>
  <c r="P73" i="5"/>
  <c r="N73" i="5"/>
  <c r="O73" i="5" s="1"/>
  <c r="L73" i="5"/>
  <c r="J73" i="5"/>
  <c r="H73" i="5"/>
  <c r="F73" i="5"/>
  <c r="G73" i="5" s="1"/>
  <c r="D73" i="5"/>
  <c r="T72" i="5"/>
  <c r="R72" i="5"/>
  <c r="S72" i="5" s="1"/>
  <c r="P72" i="5"/>
  <c r="N72" i="5"/>
  <c r="O72" i="5" s="1"/>
  <c r="L72" i="5"/>
  <c r="M72" i="5" s="1"/>
  <c r="J72" i="5"/>
  <c r="K72" i="5" s="1"/>
  <c r="H72" i="5"/>
  <c r="F72" i="5"/>
  <c r="G72" i="5" s="1"/>
  <c r="D72" i="5"/>
  <c r="T71" i="5"/>
  <c r="R71" i="5"/>
  <c r="P71" i="5"/>
  <c r="N71" i="5"/>
  <c r="O71" i="5" s="1"/>
  <c r="L71" i="5"/>
  <c r="J71" i="5"/>
  <c r="K71" i="5" s="1"/>
  <c r="H71" i="5"/>
  <c r="I71" i="5" s="1"/>
  <c r="F71" i="5"/>
  <c r="D71" i="5"/>
  <c r="T70" i="5"/>
  <c r="U70" i="5" s="1"/>
  <c r="R70" i="5"/>
  <c r="S70" i="5" s="1"/>
  <c r="P70" i="5"/>
  <c r="N70" i="5"/>
  <c r="O70" i="5" s="1"/>
  <c r="L70" i="5"/>
  <c r="J70" i="5"/>
  <c r="K70" i="5" s="1"/>
  <c r="H70" i="5"/>
  <c r="F70" i="5"/>
  <c r="G70" i="5" s="1"/>
  <c r="D70" i="5"/>
  <c r="V70" i="5" s="1"/>
  <c r="T69" i="5"/>
  <c r="U69" i="5" s="1"/>
  <c r="R69" i="5"/>
  <c r="S69" i="5" s="1"/>
  <c r="P69" i="5"/>
  <c r="N69" i="5"/>
  <c r="L69" i="5"/>
  <c r="J69" i="5"/>
  <c r="K69" i="5" s="1"/>
  <c r="H69" i="5"/>
  <c r="F69" i="5"/>
  <c r="G69" i="5" s="1"/>
  <c r="D69" i="5"/>
  <c r="V69" i="5" s="1"/>
  <c r="T68" i="5"/>
  <c r="R68" i="5"/>
  <c r="S68" i="5" s="1"/>
  <c r="P68" i="5"/>
  <c r="N68" i="5"/>
  <c r="O68" i="5" s="1"/>
  <c r="L68" i="5"/>
  <c r="J68" i="5"/>
  <c r="K68" i="5" s="1"/>
  <c r="H68" i="5"/>
  <c r="I68" i="5" s="1"/>
  <c r="F68" i="5"/>
  <c r="G68" i="5" s="1"/>
  <c r="D68" i="5"/>
  <c r="T67" i="5"/>
  <c r="R67" i="5"/>
  <c r="S67" i="5" s="1"/>
  <c r="P67" i="5"/>
  <c r="N67" i="5"/>
  <c r="O67" i="5" s="1"/>
  <c r="L67" i="5"/>
  <c r="J67" i="5"/>
  <c r="H67" i="5"/>
  <c r="I67" i="5" s="1"/>
  <c r="F67" i="5"/>
  <c r="G67" i="5" s="1"/>
  <c r="D67" i="5"/>
  <c r="T66" i="5"/>
  <c r="R66" i="5"/>
  <c r="S66" i="5" s="1"/>
  <c r="P66" i="5"/>
  <c r="N66" i="5"/>
  <c r="O66" i="5" s="1"/>
  <c r="L66" i="5"/>
  <c r="J66" i="5"/>
  <c r="K66" i="5" s="1"/>
  <c r="H66" i="5"/>
  <c r="F66" i="5"/>
  <c r="G66" i="5" s="1"/>
  <c r="D66" i="5"/>
  <c r="T65" i="5"/>
  <c r="U65" i="5" s="1"/>
  <c r="R65" i="5"/>
  <c r="P65" i="5"/>
  <c r="N65" i="5"/>
  <c r="O65" i="5" s="1"/>
  <c r="L65" i="5"/>
  <c r="J65" i="5"/>
  <c r="K65" i="5" s="1"/>
  <c r="H65" i="5"/>
  <c r="F65" i="5"/>
  <c r="D65" i="5"/>
  <c r="T64" i="5"/>
  <c r="R64" i="5"/>
  <c r="S64" i="5" s="1"/>
  <c r="P64" i="5"/>
  <c r="N64" i="5"/>
  <c r="O64" i="5" s="1"/>
  <c r="L64" i="5"/>
  <c r="M64" i="5" s="1"/>
  <c r="J64" i="5"/>
  <c r="K64" i="5" s="1"/>
  <c r="H64" i="5"/>
  <c r="I64" i="5" s="1"/>
  <c r="F64" i="5"/>
  <c r="G64" i="5" s="1"/>
  <c r="D64" i="5"/>
  <c r="V64" i="5" s="1"/>
  <c r="T63" i="5"/>
  <c r="U63" i="5" s="1"/>
  <c r="R63" i="5"/>
  <c r="S63" i="5" s="1"/>
  <c r="P63" i="5"/>
  <c r="N63" i="5"/>
  <c r="L63" i="5"/>
  <c r="J63" i="5"/>
  <c r="K63" i="5" s="1"/>
  <c r="H63" i="5"/>
  <c r="I63" i="5" s="1"/>
  <c r="F63" i="5"/>
  <c r="G63" i="5" s="1"/>
  <c r="D63" i="5"/>
  <c r="V63" i="5" s="1"/>
  <c r="T62" i="5"/>
  <c r="U62" i="5" s="1"/>
  <c r="R62" i="5"/>
  <c r="S62" i="5" s="1"/>
  <c r="P62" i="5"/>
  <c r="N62" i="5"/>
  <c r="O62" i="5" s="1"/>
  <c r="L62" i="5"/>
  <c r="J62" i="5"/>
  <c r="K62" i="5" s="1"/>
  <c r="H62" i="5"/>
  <c r="F62" i="5"/>
  <c r="G62" i="5" s="1"/>
  <c r="D62" i="5"/>
  <c r="T61" i="5"/>
  <c r="U61" i="5" s="1"/>
  <c r="R61" i="5"/>
  <c r="S61" i="5" s="1"/>
  <c r="P61" i="5"/>
  <c r="N61" i="5"/>
  <c r="O61" i="5" s="1"/>
  <c r="L61" i="5"/>
  <c r="J61" i="5"/>
  <c r="H61" i="5"/>
  <c r="I61" i="5" s="1"/>
  <c r="F61" i="5"/>
  <c r="G61" i="5" s="1"/>
  <c r="D61" i="5"/>
  <c r="T60" i="5"/>
  <c r="R60" i="5"/>
  <c r="S60" i="5" s="1"/>
  <c r="P60" i="5"/>
  <c r="N60" i="5"/>
  <c r="O60" i="5" s="1"/>
  <c r="L60" i="5"/>
  <c r="M60" i="5" s="1"/>
  <c r="J60" i="5"/>
  <c r="K60" i="5" s="1"/>
  <c r="H60" i="5"/>
  <c r="F60" i="5"/>
  <c r="G60" i="5" s="1"/>
  <c r="D60" i="5"/>
  <c r="T59" i="5"/>
  <c r="U59" i="5" s="1"/>
  <c r="R59" i="5"/>
  <c r="P59" i="5"/>
  <c r="N59" i="5"/>
  <c r="O59" i="5" s="1"/>
  <c r="L59" i="5"/>
  <c r="J59" i="5"/>
  <c r="K59" i="5" s="1"/>
  <c r="H59" i="5"/>
  <c r="I59" i="5" s="1"/>
  <c r="F59" i="5"/>
  <c r="D59" i="5"/>
  <c r="T58" i="5"/>
  <c r="U58" i="5" s="1"/>
  <c r="R58" i="5"/>
  <c r="S58" i="5" s="1"/>
  <c r="P58" i="5"/>
  <c r="N58" i="5"/>
  <c r="O58" i="5" s="1"/>
  <c r="L58" i="5"/>
  <c r="J58" i="5"/>
  <c r="K58" i="5" s="1"/>
  <c r="H58" i="5"/>
  <c r="F58" i="5"/>
  <c r="G58" i="5" s="1"/>
  <c r="D58" i="5"/>
  <c r="V58" i="5" s="1"/>
  <c r="T57" i="5"/>
  <c r="U57" i="5" s="1"/>
  <c r="R57" i="5"/>
  <c r="S57" i="5" s="1"/>
  <c r="P57" i="5"/>
  <c r="N57" i="5"/>
  <c r="L57" i="5"/>
  <c r="J57" i="5"/>
  <c r="K57" i="5" s="1"/>
  <c r="H57" i="5"/>
  <c r="I57" i="5" s="1"/>
  <c r="F57" i="5"/>
  <c r="G57" i="5" s="1"/>
  <c r="D57" i="5"/>
  <c r="V57" i="5" s="1"/>
  <c r="T56" i="5"/>
  <c r="R56" i="5"/>
  <c r="S56" i="5" s="1"/>
  <c r="P56" i="5"/>
  <c r="N56" i="5"/>
  <c r="O56" i="5" s="1"/>
  <c r="L56" i="5"/>
  <c r="J56" i="5"/>
  <c r="K56" i="5" s="1"/>
  <c r="H56" i="5"/>
  <c r="I56" i="5" s="1"/>
  <c r="F56" i="5"/>
  <c r="G56" i="5" s="1"/>
  <c r="D56" i="5"/>
  <c r="T55" i="5"/>
  <c r="U55" i="5" s="1"/>
  <c r="R55" i="5"/>
  <c r="S55" i="5" s="1"/>
  <c r="P55" i="5"/>
  <c r="N55" i="5"/>
  <c r="O55" i="5" s="1"/>
  <c r="L55" i="5"/>
  <c r="J55" i="5"/>
  <c r="H55" i="5"/>
  <c r="I55" i="5" s="1"/>
  <c r="F55" i="5"/>
  <c r="G55" i="5" s="1"/>
  <c r="D55" i="5"/>
  <c r="T54" i="5"/>
  <c r="R54" i="5"/>
  <c r="S54" i="5" s="1"/>
  <c r="P54" i="5"/>
  <c r="N54" i="5"/>
  <c r="O54" i="5" s="1"/>
  <c r="L54" i="5"/>
  <c r="J54" i="5"/>
  <c r="K54" i="5" s="1"/>
  <c r="H54" i="5"/>
  <c r="F54" i="5"/>
  <c r="G54" i="5" s="1"/>
  <c r="D54" i="5"/>
  <c r="T53" i="5"/>
  <c r="U53" i="5" s="1"/>
  <c r="R53" i="5"/>
  <c r="P53" i="5"/>
  <c r="N53" i="5"/>
  <c r="O53" i="5" s="1"/>
  <c r="L53" i="5"/>
  <c r="J53" i="5"/>
  <c r="K53" i="5" s="1"/>
  <c r="H53" i="5"/>
  <c r="I53" i="5" s="1"/>
  <c r="F53" i="5"/>
  <c r="D53" i="5"/>
  <c r="T52" i="5"/>
  <c r="R52" i="5"/>
  <c r="S52" i="5" s="1"/>
  <c r="P52" i="5"/>
  <c r="N52" i="5"/>
  <c r="O52" i="5" s="1"/>
  <c r="L52" i="5"/>
  <c r="M52" i="5" s="1"/>
  <c r="J52" i="5"/>
  <c r="K52" i="5" s="1"/>
  <c r="H52" i="5"/>
  <c r="I52" i="5" s="1"/>
  <c r="F52" i="5"/>
  <c r="V52" i="5" s="1"/>
  <c r="D52" i="5"/>
  <c r="T51" i="5"/>
  <c r="U51" i="5" s="1"/>
  <c r="R51" i="5"/>
  <c r="S51" i="5" s="1"/>
  <c r="P51" i="5"/>
  <c r="N51" i="5"/>
  <c r="L51" i="5"/>
  <c r="J51" i="5"/>
  <c r="K51" i="5" s="1"/>
  <c r="H51" i="5"/>
  <c r="I51" i="5" s="1"/>
  <c r="F51" i="5"/>
  <c r="G51" i="5" s="1"/>
  <c r="D51" i="5"/>
  <c r="V51" i="5" s="1"/>
  <c r="T50" i="5"/>
  <c r="U50" i="5" s="1"/>
  <c r="R50" i="5"/>
  <c r="S50" i="5" s="1"/>
  <c r="P50" i="5"/>
  <c r="N50" i="5"/>
  <c r="O50" i="5" s="1"/>
  <c r="L50" i="5"/>
  <c r="J50" i="5"/>
  <c r="K50" i="5" s="1"/>
  <c r="H50" i="5"/>
  <c r="F50" i="5"/>
  <c r="G50" i="5" s="1"/>
  <c r="D50" i="5"/>
  <c r="T49" i="5"/>
  <c r="U49" i="5" s="1"/>
  <c r="R49" i="5"/>
  <c r="S49" i="5" s="1"/>
  <c r="P49" i="5"/>
  <c r="N49" i="5"/>
  <c r="O49" i="5" s="1"/>
  <c r="L49" i="5"/>
  <c r="J49" i="5"/>
  <c r="H49" i="5"/>
  <c r="I49" i="5" s="1"/>
  <c r="F49" i="5"/>
  <c r="G49" i="5" s="1"/>
  <c r="D49" i="5"/>
  <c r="T48" i="5"/>
  <c r="R48" i="5"/>
  <c r="S48" i="5" s="1"/>
  <c r="P48" i="5"/>
  <c r="N48" i="5"/>
  <c r="O48" i="5" s="1"/>
  <c r="L48" i="5"/>
  <c r="M48" i="5" s="1"/>
  <c r="J48" i="5"/>
  <c r="K48" i="5" s="1"/>
  <c r="H48" i="5"/>
  <c r="F48" i="5"/>
  <c r="G48" i="5" s="1"/>
  <c r="D48" i="5"/>
  <c r="T47" i="5"/>
  <c r="U47" i="5" s="1"/>
  <c r="R47" i="5"/>
  <c r="P47" i="5"/>
  <c r="N47" i="5"/>
  <c r="O47" i="5" s="1"/>
  <c r="L47" i="5"/>
  <c r="J47" i="5"/>
  <c r="K47" i="5" s="1"/>
  <c r="H47" i="5"/>
  <c r="I47" i="5" s="1"/>
  <c r="F47" i="5"/>
  <c r="D47" i="5"/>
  <c r="T46" i="5"/>
  <c r="U46" i="5" s="1"/>
  <c r="R46" i="5"/>
  <c r="S46" i="5" s="1"/>
  <c r="P46" i="5"/>
  <c r="N46" i="5"/>
  <c r="O46" i="5" s="1"/>
  <c r="L46" i="5"/>
  <c r="J46" i="5"/>
  <c r="K46" i="5" s="1"/>
  <c r="H46" i="5"/>
  <c r="F46" i="5"/>
  <c r="V46" i="5" s="1"/>
  <c r="D46" i="5"/>
  <c r="T45" i="5"/>
  <c r="U45" i="5" s="1"/>
  <c r="R45" i="5"/>
  <c r="S45" i="5" s="1"/>
  <c r="P45" i="5"/>
  <c r="N45" i="5"/>
  <c r="L45" i="5"/>
  <c r="J45" i="5"/>
  <c r="K45" i="5" s="1"/>
  <c r="H45" i="5"/>
  <c r="I45" i="5" s="1"/>
  <c r="F45" i="5"/>
  <c r="G45" i="5" s="1"/>
  <c r="D45" i="5"/>
  <c r="V45" i="5" s="1"/>
  <c r="T44" i="5"/>
  <c r="R44" i="5"/>
  <c r="S44" i="5" s="1"/>
  <c r="P44" i="5"/>
  <c r="N44" i="5"/>
  <c r="O44" i="5" s="1"/>
  <c r="L44" i="5"/>
  <c r="J44" i="5"/>
  <c r="K44" i="5" s="1"/>
  <c r="H44" i="5"/>
  <c r="I44" i="5" s="1"/>
  <c r="F44" i="5"/>
  <c r="G44" i="5" s="1"/>
  <c r="D44" i="5"/>
  <c r="T43" i="5"/>
  <c r="U43" i="5" s="1"/>
  <c r="R43" i="5"/>
  <c r="S43" i="5" s="1"/>
  <c r="P43" i="5"/>
  <c r="N43" i="5"/>
  <c r="O43" i="5" s="1"/>
  <c r="L43" i="5"/>
  <c r="J43" i="5"/>
  <c r="H43" i="5"/>
  <c r="I43" i="5" s="1"/>
  <c r="F43" i="5"/>
  <c r="G43" i="5" s="1"/>
  <c r="D43" i="5"/>
  <c r="T42" i="5"/>
  <c r="R42" i="5"/>
  <c r="S42" i="5" s="1"/>
  <c r="P42" i="5"/>
  <c r="N42" i="5"/>
  <c r="O42" i="5" s="1"/>
  <c r="L42" i="5"/>
  <c r="J42" i="5"/>
  <c r="K42" i="5" s="1"/>
  <c r="H42" i="5"/>
  <c r="F42" i="5"/>
  <c r="G42" i="5" s="1"/>
  <c r="D42" i="5"/>
  <c r="T41" i="5"/>
  <c r="U41" i="5" s="1"/>
  <c r="R41" i="5"/>
  <c r="P41" i="5"/>
  <c r="N41" i="5"/>
  <c r="O41" i="5" s="1"/>
  <c r="L41" i="5"/>
  <c r="J41" i="5"/>
  <c r="K41" i="5" s="1"/>
  <c r="H41" i="5"/>
  <c r="I41" i="5" s="1"/>
  <c r="F41" i="5"/>
  <c r="D41" i="5"/>
  <c r="T40" i="5"/>
  <c r="R40" i="5"/>
  <c r="S40" i="5" s="1"/>
  <c r="P40" i="5"/>
  <c r="N40" i="5"/>
  <c r="O40" i="5" s="1"/>
  <c r="L40" i="5"/>
  <c r="M40" i="5" s="1"/>
  <c r="J40" i="5"/>
  <c r="K40" i="5" s="1"/>
  <c r="H40" i="5"/>
  <c r="I40" i="5" s="1"/>
  <c r="F40" i="5"/>
  <c r="V40" i="5" s="1"/>
  <c r="D40" i="5"/>
  <c r="T39" i="5"/>
  <c r="U39" i="5" s="1"/>
  <c r="R39" i="5"/>
  <c r="S39" i="5" s="1"/>
  <c r="P39" i="5"/>
  <c r="N39" i="5"/>
  <c r="L39" i="5"/>
  <c r="J39" i="5"/>
  <c r="K39" i="5" s="1"/>
  <c r="H39" i="5"/>
  <c r="I39" i="5" s="1"/>
  <c r="F39" i="5"/>
  <c r="G39" i="5" s="1"/>
  <c r="D39" i="5"/>
  <c r="V39" i="5" s="1"/>
  <c r="T38" i="5"/>
  <c r="U38" i="5" s="1"/>
  <c r="R38" i="5"/>
  <c r="S38" i="5" s="1"/>
  <c r="P38" i="5"/>
  <c r="N38" i="5"/>
  <c r="O38" i="5" s="1"/>
  <c r="L38" i="5"/>
  <c r="J38" i="5"/>
  <c r="K38" i="5" s="1"/>
  <c r="H38" i="5"/>
  <c r="F38" i="5"/>
  <c r="G38" i="5" s="1"/>
  <c r="D38" i="5"/>
  <c r="T37" i="5"/>
  <c r="U37" i="5" s="1"/>
  <c r="R37" i="5"/>
  <c r="S37" i="5" s="1"/>
  <c r="P37" i="5"/>
  <c r="N37" i="5"/>
  <c r="O37" i="5" s="1"/>
  <c r="L37" i="5"/>
  <c r="J37" i="5"/>
  <c r="H37" i="5"/>
  <c r="I37" i="5" s="1"/>
  <c r="F37" i="5"/>
  <c r="G37" i="5" s="1"/>
  <c r="D37" i="5"/>
  <c r="T36" i="5"/>
  <c r="R36" i="5"/>
  <c r="S36" i="5" s="1"/>
  <c r="P36" i="5"/>
  <c r="N36" i="5"/>
  <c r="O36" i="5" s="1"/>
  <c r="L36" i="5"/>
  <c r="M36" i="5" s="1"/>
  <c r="J36" i="5"/>
  <c r="K36" i="5" s="1"/>
  <c r="H36" i="5"/>
  <c r="F36" i="5"/>
  <c r="G36" i="5" s="1"/>
  <c r="D36" i="5"/>
  <c r="T35" i="5"/>
  <c r="U35" i="5" s="1"/>
  <c r="R35" i="5"/>
  <c r="P35" i="5"/>
  <c r="N35" i="5"/>
  <c r="O35" i="5" s="1"/>
  <c r="L35" i="5"/>
  <c r="J35" i="5"/>
  <c r="K35" i="5" s="1"/>
  <c r="H35" i="5"/>
  <c r="I35" i="5" s="1"/>
  <c r="F35" i="5"/>
  <c r="D35" i="5"/>
  <c r="T34" i="5"/>
  <c r="U34" i="5" s="1"/>
  <c r="R34" i="5"/>
  <c r="S34" i="5" s="1"/>
  <c r="P34" i="5"/>
  <c r="N34" i="5"/>
  <c r="O34" i="5" s="1"/>
  <c r="L34" i="5"/>
  <c r="J34" i="5"/>
  <c r="K34" i="5" s="1"/>
  <c r="H34" i="5"/>
  <c r="F34" i="5"/>
  <c r="V34" i="5" s="1"/>
  <c r="D34" i="5"/>
  <c r="U33" i="5"/>
  <c r="T33" i="5"/>
  <c r="S33" i="5"/>
  <c r="R33" i="5"/>
  <c r="P33" i="5"/>
  <c r="O33" i="5"/>
  <c r="N33" i="5"/>
  <c r="L33" i="5"/>
  <c r="K33" i="5"/>
  <c r="J33" i="5"/>
  <c r="I33" i="5"/>
  <c r="H33" i="5"/>
  <c r="G33" i="5"/>
  <c r="F33" i="5"/>
  <c r="D33" i="5"/>
  <c r="V33" i="5" s="1"/>
  <c r="T32" i="5"/>
  <c r="S32" i="5"/>
  <c r="R32" i="5"/>
  <c r="Q32" i="5"/>
  <c r="P32" i="5"/>
  <c r="O32" i="5"/>
  <c r="N32" i="5"/>
  <c r="L32" i="5"/>
  <c r="K32" i="5"/>
  <c r="J32" i="5"/>
  <c r="V32" i="5" s="1"/>
  <c r="Z32" i="5" s="1"/>
  <c r="H32" i="5"/>
  <c r="G32" i="5"/>
  <c r="F32" i="5"/>
  <c r="E32" i="5"/>
  <c r="D32" i="5"/>
  <c r="T31" i="5"/>
  <c r="S31" i="5"/>
  <c r="R31" i="5"/>
  <c r="P31" i="5"/>
  <c r="O31" i="5"/>
  <c r="N31" i="5"/>
  <c r="M31" i="5"/>
  <c r="L31" i="5"/>
  <c r="K31" i="5"/>
  <c r="J31" i="5"/>
  <c r="H31" i="5"/>
  <c r="G31" i="5"/>
  <c r="F31" i="5"/>
  <c r="D31" i="5"/>
  <c r="V31" i="5" s="1"/>
  <c r="Z31" i="5" s="1"/>
  <c r="U30" i="5"/>
  <c r="T30" i="5"/>
  <c r="S30" i="5"/>
  <c r="R30" i="5"/>
  <c r="P30" i="5"/>
  <c r="O30" i="5"/>
  <c r="N30" i="5"/>
  <c r="L30" i="5"/>
  <c r="K30" i="5"/>
  <c r="J30" i="5"/>
  <c r="I30" i="5"/>
  <c r="H30" i="5"/>
  <c r="G30" i="5"/>
  <c r="F30" i="5"/>
  <c r="V30" i="5" s="1"/>
  <c r="Z30" i="5" s="1"/>
  <c r="D30" i="5"/>
  <c r="T29" i="5"/>
  <c r="S29" i="5"/>
  <c r="R29" i="5"/>
  <c r="Q29" i="5"/>
  <c r="P29" i="5"/>
  <c r="O29" i="5"/>
  <c r="N29" i="5"/>
  <c r="L29" i="5"/>
  <c r="K29" i="5"/>
  <c r="J29" i="5"/>
  <c r="H29" i="5"/>
  <c r="G29" i="5"/>
  <c r="F29" i="5"/>
  <c r="E29" i="5"/>
  <c r="D29" i="5"/>
  <c r="V29" i="5" s="1"/>
  <c r="Z29" i="5" s="1"/>
  <c r="T28" i="5"/>
  <c r="S28" i="5"/>
  <c r="R28" i="5"/>
  <c r="P28" i="5"/>
  <c r="O28" i="5"/>
  <c r="N28" i="5"/>
  <c r="L28" i="5"/>
  <c r="K28" i="5"/>
  <c r="J28" i="5"/>
  <c r="H28" i="5"/>
  <c r="G28" i="5"/>
  <c r="F28" i="5"/>
  <c r="V28" i="5" s="1"/>
  <c r="Z28" i="5" s="1"/>
  <c r="D28" i="5"/>
  <c r="U27" i="5"/>
  <c r="T27" i="5"/>
  <c r="S27" i="5"/>
  <c r="R27" i="5"/>
  <c r="P27" i="5"/>
  <c r="O27" i="5"/>
  <c r="N27" i="5"/>
  <c r="L27" i="5"/>
  <c r="K27" i="5"/>
  <c r="J27" i="5"/>
  <c r="I27" i="5"/>
  <c r="H27" i="5"/>
  <c r="G27" i="5"/>
  <c r="F27" i="5"/>
  <c r="D27" i="5"/>
  <c r="V27" i="5" s="1"/>
  <c r="Z27" i="5" s="1"/>
  <c r="T26" i="5"/>
  <c r="S26" i="5"/>
  <c r="R26" i="5"/>
  <c r="Q26" i="5"/>
  <c r="P26" i="5"/>
  <c r="O26" i="5"/>
  <c r="N26" i="5"/>
  <c r="L26" i="5"/>
  <c r="K26" i="5"/>
  <c r="J26" i="5"/>
  <c r="V26" i="5" s="1"/>
  <c r="Z26" i="5" s="1"/>
  <c r="H26" i="5"/>
  <c r="G26" i="5"/>
  <c r="F26" i="5"/>
  <c r="E26" i="5"/>
  <c r="D26" i="5"/>
  <c r="T25" i="5"/>
  <c r="S25" i="5"/>
  <c r="R25" i="5"/>
  <c r="P25" i="5"/>
  <c r="O25" i="5"/>
  <c r="N25" i="5"/>
  <c r="L25" i="5"/>
  <c r="K25" i="5"/>
  <c r="J25" i="5"/>
  <c r="H25" i="5"/>
  <c r="G25" i="5"/>
  <c r="F25" i="5"/>
  <c r="D25" i="5"/>
  <c r="V25" i="5" s="1"/>
  <c r="Z25" i="5" s="1"/>
  <c r="U24" i="5"/>
  <c r="T24" i="5"/>
  <c r="S24" i="5"/>
  <c r="R24" i="5"/>
  <c r="P24" i="5"/>
  <c r="O24" i="5"/>
  <c r="N24" i="5"/>
  <c r="L24" i="5"/>
  <c r="K24" i="5"/>
  <c r="J24" i="5"/>
  <c r="I24" i="5"/>
  <c r="H24" i="5"/>
  <c r="G24" i="5"/>
  <c r="F24" i="5"/>
  <c r="V24" i="5" s="1"/>
  <c r="Z24" i="5" s="1"/>
  <c r="D24" i="5"/>
  <c r="T23" i="5"/>
  <c r="S23" i="5"/>
  <c r="R23" i="5"/>
  <c r="Q23" i="5"/>
  <c r="P23" i="5"/>
  <c r="O23" i="5"/>
  <c r="N23" i="5"/>
  <c r="L23" i="5"/>
  <c r="K23" i="5"/>
  <c r="J23" i="5"/>
  <c r="H23" i="5"/>
  <c r="G23" i="5"/>
  <c r="F23" i="5"/>
  <c r="E23" i="5"/>
  <c r="D23" i="5"/>
  <c r="V23" i="5" s="1"/>
  <c r="Z23" i="5" s="1"/>
  <c r="T22" i="5"/>
  <c r="S22" i="5"/>
  <c r="R22" i="5"/>
  <c r="P22" i="5"/>
  <c r="O22" i="5"/>
  <c r="N22" i="5"/>
  <c r="M22" i="5"/>
  <c r="L22" i="5"/>
  <c r="K22" i="5"/>
  <c r="J22" i="5"/>
  <c r="H22" i="5"/>
  <c r="G22" i="5"/>
  <c r="F22" i="5"/>
  <c r="V22" i="5" s="1"/>
  <c r="Z22" i="5" s="1"/>
  <c r="D22" i="5"/>
  <c r="U21" i="5"/>
  <c r="T21" i="5"/>
  <c r="S21" i="5"/>
  <c r="R21" i="5"/>
  <c r="P21" i="5"/>
  <c r="O21" i="5"/>
  <c r="N21" i="5"/>
  <c r="L21" i="5"/>
  <c r="K21" i="5"/>
  <c r="J21" i="5"/>
  <c r="I21" i="5"/>
  <c r="H21" i="5"/>
  <c r="G21" i="5"/>
  <c r="F21" i="5"/>
  <c r="D21" i="5"/>
  <c r="V21" i="5" s="1"/>
  <c r="Z21" i="5" s="1"/>
  <c r="T20" i="5"/>
  <c r="S20" i="5"/>
  <c r="R20" i="5"/>
  <c r="Q20" i="5"/>
  <c r="P20" i="5"/>
  <c r="O20" i="5"/>
  <c r="N20" i="5"/>
  <c r="L20" i="5"/>
  <c r="K20" i="5"/>
  <c r="J20" i="5"/>
  <c r="V20" i="5" s="1"/>
  <c r="Z20" i="5" s="1"/>
  <c r="H20" i="5"/>
  <c r="G20" i="5"/>
  <c r="F20" i="5"/>
  <c r="E20" i="5"/>
  <c r="D20" i="5"/>
  <c r="T19" i="5"/>
  <c r="S19" i="5"/>
  <c r="R19" i="5"/>
  <c r="P19" i="5"/>
  <c r="O19" i="5"/>
  <c r="N19" i="5"/>
  <c r="M19" i="5"/>
  <c r="L19" i="5"/>
  <c r="K19" i="5"/>
  <c r="J19" i="5"/>
  <c r="H19" i="5"/>
  <c r="G19" i="5"/>
  <c r="F19" i="5"/>
  <c r="D19" i="5"/>
  <c r="V19" i="5" s="1"/>
  <c r="Z19" i="5" s="1"/>
  <c r="U18" i="5"/>
  <c r="T18" i="5"/>
  <c r="S18" i="5"/>
  <c r="R18" i="5"/>
  <c r="P18" i="5"/>
  <c r="O18" i="5"/>
  <c r="N18" i="5"/>
  <c r="L18" i="5"/>
  <c r="K18" i="5"/>
  <c r="J18" i="5"/>
  <c r="I18" i="5"/>
  <c r="H18" i="5"/>
  <c r="G18" i="5"/>
  <c r="F18" i="5"/>
  <c r="V18" i="5" s="1"/>
  <c r="Z18" i="5" s="1"/>
  <c r="D18" i="5"/>
  <c r="T17" i="5"/>
  <c r="S17" i="5"/>
  <c r="R17" i="5"/>
  <c r="Q17" i="5"/>
  <c r="P17" i="5"/>
  <c r="O17" i="5"/>
  <c r="N17" i="5"/>
  <c r="L17" i="5"/>
  <c r="K17" i="5"/>
  <c r="J17" i="5"/>
  <c r="H17" i="5"/>
  <c r="G17" i="5"/>
  <c r="F17" i="5"/>
  <c r="E17" i="5"/>
  <c r="D17" i="5"/>
  <c r="V17" i="5" s="1"/>
  <c r="Z17" i="5" s="1"/>
  <c r="T16" i="5"/>
  <c r="S16" i="5"/>
  <c r="R16" i="5"/>
  <c r="P16" i="5"/>
  <c r="O16" i="5"/>
  <c r="N16" i="5"/>
  <c r="L16" i="5"/>
  <c r="K16" i="5"/>
  <c r="J16" i="5"/>
  <c r="H16" i="5"/>
  <c r="G16" i="5"/>
  <c r="F16" i="5"/>
  <c r="V16" i="5" s="1"/>
  <c r="Z16" i="5" s="1"/>
  <c r="D16" i="5"/>
  <c r="U15" i="5"/>
  <c r="T15" i="5"/>
  <c r="S15" i="5"/>
  <c r="R15" i="5"/>
  <c r="P15" i="5"/>
  <c r="O15" i="5"/>
  <c r="N15" i="5"/>
  <c r="L15" i="5"/>
  <c r="K15" i="5"/>
  <c r="J15" i="5"/>
  <c r="I15" i="5"/>
  <c r="H15" i="5"/>
  <c r="G15" i="5"/>
  <c r="F15" i="5"/>
  <c r="D15" i="5"/>
  <c r="V15" i="5" s="1"/>
  <c r="Z15" i="5" s="1"/>
  <c r="T14" i="5"/>
  <c r="S14" i="5"/>
  <c r="R14" i="5"/>
  <c r="Q14" i="5"/>
  <c r="P14" i="5"/>
  <c r="O14" i="5"/>
  <c r="N14" i="5"/>
  <c r="L14" i="5"/>
  <c r="K14" i="5"/>
  <c r="J14" i="5"/>
  <c r="V14" i="5" s="1"/>
  <c r="Z14" i="5" s="1"/>
  <c r="H14" i="5"/>
  <c r="G14" i="5"/>
  <c r="F14" i="5"/>
  <c r="E14" i="5"/>
  <c r="D14" i="5"/>
  <c r="T13" i="5"/>
  <c r="S13" i="5"/>
  <c r="R13" i="5"/>
  <c r="P13" i="5"/>
  <c r="O13" i="5"/>
  <c r="N13" i="5"/>
  <c r="L13" i="5"/>
  <c r="K13" i="5"/>
  <c r="J13" i="5"/>
  <c r="H13" i="5"/>
  <c r="G13" i="5"/>
  <c r="F13" i="5"/>
  <c r="D13" i="5"/>
  <c r="V13" i="5" s="1"/>
  <c r="Z13" i="5" s="1"/>
  <c r="U12" i="5"/>
  <c r="T12" i="5"/>
  <c r="S12" i="5"/>
  <c r="R12" i="5"/>
  <c r="P12" i="5"/>
  <c r="O12" i="5"/>
  <c r="N12" i="5"/>
  <c r="L12" i="5"/>
  <c r="K12" i="5"/>
  <c r="J12" i="5"/>
  <c r="I12" i="5"/>
  <c r="H12" i="5"/>
  <c r="G12" i="5"/>
  <c r="F12" i="5"/>
  <c r="V12" i="5" s="1"/>
  <c r="Z12" i="5" s="1"/>
  <c r="D12" i="5"/>
  <c r="T11" i="5"/>
  <c r="S11" i="5"/>
  <c r="R11" i="5"/>
  <c r="Q11" i="5"/>
  <c r="P11" i="5"/>
  <c r="O11" i="5"/>
  <c r="N11" i="5"/>
  <c r="L11" i="5"/>
  <c r="K11" i="5"/>
  <c r="J11" i="5"/>
  <c r="H11" i="5"/>
  <c r="G11" i="5"/>
  <c r="F11" i="5"/>
  <c r="E11" i="5"/>
  <c r="D11" i="5"/>
  <c r="V11" i="5" s="1"/>
  <c r="Z11" i="5" s="1"/>
  <c r="T10" i="5"/>
  <c r="S10" i="5"/>
  <c r="R10" i="5"/>
  <c r="P10" i="5"/>
  <c r="O10" i="5"/>
  <c r="N10" i="5"/>
  <c r="M10" i="5"/>
  <c r="L10" i="5"/>
  <c r="K10" i="5"/>
  <c r="J10" i="5"/>
  <c r="H10" i="5"/>
  <c r="G10" i="5"/>
  <c r="F10" i="5"/>
  <c r="V10" i="5" s="1"/>
  <c r="Z10" i="5" s="1"/>
  <c r="D10" i="5"/>
  <c r="U9" i="5"/>
  <c r="T9" i="5"/>
  <c r="S9" i="5"/>
  <c r="R9" i="5"/>
  <c r="P9" i="5"/>
  <c r="O9" i="5"/>
  <c r="N9" i="5"/>
  <c r="L9" i="5"/>
  <c r="K9" i="5"/>
  <c r="J9" i="5"/>
  <c r="I9" i="5"/>
  <c r="H9" i="5"/>
  <c r="G9" i="5"/>
  <c r="F9" i="5"/>
  <c r="D9" i="5"/>
  <c r="V9" i="5" s="1"/>
  <c r="Z9" i="5" s="1"/>
  <c r="T8" i="5"/>
  <c r="S8" i="5"/>
  <c r="R8" i="5"/>
  <c r="Q8" i="5"/>
  <c r="P8" i="5"/>
  <c r="O8" i="5"/>
  <c r="N8" i="5"/>
  <c r="L8" i="5"/>
  <c r="K8" i="5"/>
  <c r="J8" i="5"/>
  <c r="V8" i="5" s="1"/>
  <c r="Z8" i="5" s="1"/>
  <c r="H8" i="5"/>
  <c r="G8" i="5"/>
  <c r="F8" i="5"/>
  <c r="E8" i="5"/>
  <c r="D8" i="5"/>
  <c r="T7" i="5"/>
  <c r="S7" i="5"/>
  <c r="R7" i="5"/>
  <c r="P7" i="5"/>
  <c r="O7" i="5"/>
  <c r="N7" i="5"/>
  <c r="M7" i="5"/>
  <c r="L7" i="5"/>
  <c r="K7" i="5"/>
  <c r="J7" i="5"/>
  <c r="H7" i="5"/>
  <c r="G7" i="5"/>
  <c r="F7" i="5"/>
  <c r="D7" i="5"/>
  <c r="V7" i="5" s="1"/>
  <c r="Z7" i="5" s="1"/>
  <c r="U6" i="5"/>
  <c r="T6" i="5"/>
  <c r="S6" i="5"/>
  <c r="R6" i="5"/>
  <c r="P6" i="5"/>
  <c r="O6" i="5"/>
  <c r="N6" i="5"/>
  <c r="L6" i="5"/>
  <c r="K6" i="5"/>
  <c r="J6" i="5"/>
  <c r="I6" i="5"/>
  <c r="H6" i="5"/>
  <c r="G6" i="5"/>
  <c r="F6" i="5"/>
  <c r="V6" i="5" s="1"/>
  <c r="Z6" i="5" s="1"/>
  <c r="D6" i="5"/>
  <c r="T5" i="5"/>
  <c r="U32" i="5" s="1"/>
  <c r="R5" i="5"/>
  <c r="S77" i="5" s="1"/>
  <c r="P5" i="5"/>
  <c r="N5" i="5"/>
  <c r="O75" i="5" s="1"/>
  <c r="L5" i="5"/>
  <c r="M25" i="5" s="1"/>
  <c r="J5" i="5"/>
  <c r="K79" i="5" s="1"/>
  <c r="H5" i="5"/>
  <c r="F5" i="5"/>
  <c r="G77" i="5" s="1"/>
  <c r="D5" i="5"/>
  <c r="B88" i="4"/>
  <c r="T80" i="4"/>
  <c r="R80" i="4"/>
  <c r="P80" i="4"/>
  <c r="N80" i="4"/>
  <c r="L80" i="4"/>
  <c r="J80" i="4"/>
  <c r="H80" i="4"/>
  <c r="F80" i="4"/>
  <c r="D80" i="4"/>
  <c r="T79" i="4"/>
  <c r="R79" i="4"/>
  <c r="P79" i="4"/>
  <c r="Q79" i="4" s="1"/>
  <c r="N79" i="4"/>
  <c r="L79" i="4"/>
  <c r="M79" i="4" s="1"/>
  <c r="J79" i="4"/>
  <c r="H79" i="4"/>
  <c r="F79" i="4"/>
  <c r="D79" i="4"/>
  <c r="V79" i="4" s="1"/>
  <c r="T78" i="4"/>
  <c r="R78" i="4"/>
  <c r="P78" i="4"/>
  <c r="Q78" i="4" s="1"/>
  <c r="N78" i="4"/>
  <c r="L78" i="4"/>
  <c r="J78" i="4"/>
  <c r="H78" i="4"/>
  <c r="F78" i="4"/>
  <c r="D78" i="4"/>
  <c r="V78" i="4" s="1"/>
  <c r="T77" i="4"/>
  <c r="R77" i="4"/>
  <c r="P77" i="4"/>
  <c r="N77" i="4"/>
  <c r="L77" i="4"/>
  <c r="M77" i="4" s="1"/>
  <c r="J77" i="4"/>
  <c r="H77" i="4"/>
  <c r="F77" i="4"/>
  <c r="D77" i="4"/>
  <c r="T76" i="4"/>
  <c r="R76" i="4"/>
  <c r="P76" i="4"/>
  <c r="N76" i="4"/>
  <c r="L76" i="4"/>
  <c r="M76" i="4" s="1"/>
  <c r="J76" i="4"/>
  <c r="K76" i="4" s="1"/>
  <c r="H76" i="4"/>
  <c r="F76" i="4"/>
  <c r="D76" i="4"/>
  <c r="T75" i="4"/>
  <c r="R75" i="4"/>
  <c r="P75" i="4"/>
  <c r="N75" i="4"/>
  <c r="L75" i="4"/>
  <c r="J75" i="4"/>
  <c r="K75" i="4" s="1"/>
  <c r="H75" i="4"/>
  <c r="F75" i="4"/>
  <c r="D75" i="4"/>
  <c r="E75" i="4" s="1"/>
  <c r="T74" i="4"/>
  <c r="R74" i="4"/>
  <c r="P74" i="4"/>
  <c r="N74" i="4"/>
  <c r="L74" i="4"/>
  <c r="J74" i="4"/>
  <c r="H74" i="4"/>
  <c r="F74" i="4"/>
  <c r="D74" i="4"/>
  <c r="T73" i="4"/>
  <c r="R73" i="4"/>
  <c r="P73" i="4"/>
  <c r="N73" i="4"/>
  <c r="L73" i="4"/>
  <c r="J73" i="4"/>
  <c r="H73" i="4"/>
  <c r="F73" i="4"/>
  <c r="G73" i="4" s="1"/>
  <c r="D73" i="4"/>
  <c r="T72" i="4"/>
  <c r="R72" i="4"/>
  <c r="P72" i="4"/>
  <c r="Q72" i="4" s="1"/>
  <c r="N72" i="4"/>
  <c r="L72" i="4"/>
  <c r="J72" i="4"/>
  <c r="H72" i="4"/>
  <c r="F72" i="4"/>
  <c r="G72" i="4" s="1"/>
  <c r="D72" i="4"/>
  <c r="T71" i="4"/>
  <c r="R71" i="4"/>
  <c r="P71" i="4"/>
  <c r="N71" i="4"/>
  <c r="L71" i="4"/>
  <c r="J71" i="4"/>
  <c r="H71" i="4"/>
  <c r="F71" i="4"/>
  <c r="D71" i="4"/>
  <c r="Z70" i="4"/>
  <c r="V70" i="4"/>
  <c r="T70" i="4"/>
  <c r="R70" i="4"/>
  <c r="P70" i="4"/>
  <c r="N70" i="4"/>
  <c r="L70" i="4"/>
  <c r="M70" i="4" s="1"/>
  <c r="J70" i="4"/>
  <c r="H70" i="4"/>
  <c r="F70" i="4"/>
  <c r="D70" i="4"/>
  <c r="V69" i="4"/>
  <c r="T69" i="4"/>
  <c r="R69" i="4"/>
  <c r="P69" i="4"/>
  <c r="Q69" i="4" s="1"/>
  <c r="N69" i="4"/>
  <c r="L69" i="4"/>
  <c r="J69" i="4"/>
  <c r="H69" i="4"/>
  <c r="F69" i="4"/>
  <c r="D69" i="4"/>
  <c r="V68" i="4"/>
  <c r="T68" i="4"/>
  <c r="R68" i="4"/>
  <c r="P68" i="4"/>
  <c r="N68" i="4"/>
  <c r="L68" i="4"/>
  <c r="J68" i="4"/>
  <c r="H68" i="4"/>
  <c r="F68" i="4"/>
  <c r="D68" i="4"/>
  <c r="T67" i="4"/>
  <c r="U67" i="4" s="1"/>
  <c r="R67" i="4"/>
  <c r="S67" i="4" s="1"/>
  <c r="P67" i="4"/>
  <c r="Q67" i="4" s="1"/>
  <c r="N67" i="4"/>
  <c r="L67" i="4"/>
  <c r="M67" i="4" s="1"/>
  <c r="J67" i="4"/>
  <c r="H67" i="4"/>
  <c r="F67" i="4"/>
  <c r="D67" i="4"/>
  <c r="T66" i="4"/>
  <c r="R66" i="4"/>
  <c r="P66" i="4"/>
  <c r="Q66" i="4" s="1"/>
  <c r="N66" i="4"/>
  <c r="O66" i="4" s="1"/>
  <c r="L66" i="4"/>
  <c r="J66" i="4"/>
  <c r="K66" i="4" s="1"/>
  <c r="H66" i="4"/>
  <c r="F66" i="4"/>
  <c r="D66" i="4"/>
  <c r="E66" i="4" s="1"/>
  <c r="T65" i="4"/>
  <c r="R65" i="4"/>
  <c r="P65" i="4"/>
  <c r="Q65" i="4" s="1"/>
  <c r="N65" i="4"/>
  <c r="L65" i="4"/>
  <c r="M65" i="4" s="1"/>
  <c r="J65" i="4"/>
  <c r="H65" i="4"/>
  <c r="F65" i="4"/>
  <c r="D65" i="4"/>
  <c r="V65" i="4" s="1"/>
  <c r="T64" i="4"/>
  <c r="R64" i="4"/>
  <c r="P64" i="4"/>
  <c r="N64" i="4"/>
  <c r="L64" i="4"/>
  <c r="M64" i="4" s="1"/>
  <c r="J64" i="4"/>
  <c r="K64" i="4" s="1"/>
  <c r="H64" i="4"/>
  <c r="F64" i="4"/>
  <c r="G64" i="4" s="1"/>
  <c r="D64" i="4"/>
  <c r="T63" i="4"/>
  <c r="R63" i="4"/>
  <c r="P63" i="4"/>
  <c r="N63" i="4"/>
  <c r="L63" i="4"/>
  <c r="M63" i="4" s="1"/>
  <c r="J63" i="4"/>
  <c r="K63" i="4" s="1"/>
  <c r="H63" i="4"/>
  <c r="F63" i="4"/>
  <c r="D63" i="4"/>
  <c r="T62" i="4"/>
  <c r="R62" i="4"/>
  <c r="P62" i="4"/>
  <c r="N62" i="4"/>
  <c r="L62" i="4"/>
  <c r="J62" i="4"/>
  <c r="K62" i="4" s="1"/>
  <c r="H62" i="4"/>
  <c r="F62" i="4"/>
  <c r="D62" i="4"/>
  <c r="T61" i="4"/>
  <c r="R61" i="4"/>
  <c r="P61" i="4"/>
  <c r="N61" i="4"/>
  <c r="L61" i="4"/>
  <c r="J61" i="4"/>
  <c r="H61" i="4"/>
  <c r="I61" i="4" s="1"/>
  <c r="F61" i="4"/>
  <c r="G61" i="4" s="1"/>
  <c r="D61" i="4"/>
  <c r="T60" i="4"/>
  <c r="R60" i="4"/>
  <c r="P60" i="4"/>
  <c r="Q60" i="4" s="1"/>
  <c r="N60" i="4"/>
  <c r="L60" i="4"/>
  <c r="J60" i="4"/>
  <c r="H60" i="4"/>
  <c r="F60" i="4"/>
  <c r="G60" i="4" s="1"/>
  <c r="D60" i="4"/>
  <c r="T59" i="4"/>
  <c r="R59" i="4"/>
  <c r="P59" i="4"/>
  <c r="N59" i="4"/>
  <c r="L59" i="4"/>
  <c r="J59" i="4"/>
  <c r="H59" i="4"/>
  <c r="F59" i="4"/>
  <c r="D59" i="4"/>
  <c r="V58" i="4"/>
  <c r="T58" i="4"/>
  <c r="R58" i="4"/>
  <c r="P58" i="4"/>
  <c r="N58" i="4"/>
  <c r="L58" i="4"/>
  <c r="M58" i="4" s="1"/>
  <c r="J58" i="4"/>
  <c r="H58" i="4"/>
  <c r="F58" i="4"/>
  <c r="D58" i="4"/>
  <c r="T57" i="4"/>
  <c r="U57" i="4" s="1"/>
  <c r="R57" i="4"/>
  <c r="P57" i="4"/>
  <c r="Q57" i="4" s="1"/>
  <c r="N57" i="4"/>
  <c r="L57" i="4"/>
  <c r="J57" i="4"/>
  <c r="H57" i="4"/>
  <c r="F57" i="4"/>
  <c r="D57" i="4"/>
  <c r="T56" i="4"/>
  <c r="U56" i="4" s="1"/>
  <c r="R56" i="4"/>
  <c r="S56" i="4" s="1"/>
  <c r="P56" i="4"/>
  <c r="N56" i="4"/>
  <c r="L56" i="4"/>
  <c r="J56" i="4"/>
  <c r="H56" i="4"/>
  <c r="F56" i="4"/>
  <c r="D56" i="4"/>
  <c r="T55" i="4"/>
  <c r="R55" i="4"/>
  <c r="P55" i="4"/>
  <c r="Q55" i="4" s="1"/>
  <c r="N55" i="4"/>
  <c r="L55" i="4"/>
  <c r="M55" i="4" s="1"/>
  <c r="J55" i="4"/>
  <c r="H55" i="4"/>
  <c r="F55" i="4"/>
  <c r="D55" i="4"/>
  <c r="T54" i="4"/>
  <c r="R54" i="4"/>
  <c r="P54" i="4"/>
  <c r="Q54" i="4" s="1"/>
  <c r="N54" i="4"/>
  <c r="L54" i="4"/>
  <c r="J54" i="4"/>
  <c r="K54" i="4" s="1"/>
  <c r="H54" i="4"/>
  <c r="F54" i="4"/>
  <c r="D54" i="4"/>
  <c r="E54" i="4" s="1"/>
  <c r="T53" i="4"/>
  <c r="R53" i="4"/>
  <c r="P53" i="4"/>
  <c r="Q53" i="4" s="1"/>
  <c r="N53" i="4"/>
  <c r="L53" i="4"/>
  <c r="M53" i="4" s="1"/>
  <c r="J53" i="4"/>
  <c r="H53" i="4"/>
  <c r="F53" i="4"/>
  <c r="D53" i="4"/>
  <c r="T52" i="4"/>
  <c r="R52" i="4"/>
  <c r="P52" i="4"/>
  <c r="N52" i="4"/>
  <c r="O52" i="4" s="1"/>
  <c r="L52" i="4"/>
  <c r="M52" i="4" s="1"/>
  <c r="J52" i="4"/>
  <c r="K52" i="4" s="1"/>
  <c r="H52" i="4"/>
  <c r="F52" i="4"/>
  <c r="D52" i="4"/>
  <c r="T51" i="4"/>
  <c r="R51" i="4"/>
  <c r="P51" i="4"/>
  <c r="N51" i="4"/>
  <c r="L51" i="4"/>
  <c r="M51" i="4" s="1"/>
  <c r="J51" i="4"/>
  <c r="K51" i="4" s="1"/>
  <c r="H51" i="4"/>
  <c r="I51" i="4" s="1"/>
  <c r="F51" i="4"/>
  <c r="D51" i="4"/>
  <c r="T50" i="4"/>
  <c r="R50" i="4"/>
  <c r="P50" i="4"/>
  <c r="N50" i="4"/>
  <c r="L50" i="4"/>
  <c r="J50" i="4"/>
  <c r="K50" i="4" s="1"/>
  <c r="H50" i="4"/>
  <c r="F50" i="4"/>
  <c r="D50" i="4"/>
  <c r="T49" i="4"/>
  <c r="R49" i="4"/>
  <c r="P49" i="4"/>
  <c r="N49" i="4"/>
  <c r="L49" i="4"/>
  <c r="J49" i="4"/>
  <c r="H49" i="4"/>
  <c r="F49" i="4"/>
  <c r="G49" i="4" s="1"/>
  <c r="D49" i="4"/>
  <c r="T48" i="4"/>
  <c r="R48" i="4"/>
  <c r="P48" i="4"/>
  <c r="Q48" i="4" s="1"/>
  <c r="N48" i="4"/>
  <c r="L48" i="4"/>
  <c r="M48" i="4" s="1"/>
  <c r="J48" i="4"/>
  <c r="K48" i="4" s="1"/>
  <c r="H48" i="4"/>
  <c r="G48" i="4"/>
  <c r="F48" i="4"/>
  <c r="D48" i="4"/>
  <c r="E48" i="4" s="1"/>
  <c r="V47" i="4"/>
  <c r="T47" i="4"/>
  <c r="R47" i="4"/>
  <c r="S47" i="4" s="1"/>
  <c r="Q47" i="4"/>
  <c r="P47" i="4"/>
  <c r="N47" i="4"/>
  <c r="L47" i="4"/>
  <c r="M47" i="4" s="1"/>
  <c r="J47" i="4"/>
  <c r="K47" i="4" s="1"/>
  <c r="H47" i="4"/>
  <c r="F47" i="4"/>
  <c r="G47" i="4" s="1"/>
  <c r="E47" i="4"/>
  <c r="D47" i="4"/>
  <c r="U46" i="4"/>
  <c r="T46" i="4"/>
  <c r="R46" i="4"/>
  <c r="P46" i="4"/>
  <c r="Q46" i="4" s="1"/>
  <c r="N46" i="4"/>
  <c r="L46" i="4"/>
  <c r="M46" i="4" s="1"/>
  <c r="J46" i="4"/>
  <c r="K46" i="4" s="1"/>
  <c r="H46" i="4"/>
  <c r="F46" i="4"/>
  <c r="D46" i="4"/>
  <c r="E46" i="4" s="1"/>
  <c r="T45" i="4"/>
  <c r="S45" i="4"/>
  <c r="R45" i="4"/>
  <c r="P45" i="4"/>
  <c r="Q45" i="4" s="1"/>
  <c r="N45" i="4"/>
  <c r="M45" i="4"/>
  <c r="L45" i="4"/>
  <c r="J45" i="4"/>
  <c r="K45" i="4" s="1"/>
  <c r="H45" i="4"/>
  <c r="F45" i="4"/>
  <c r="G45" i="4" s="1"/>
  <c r="D45" i="4"/>
  <c r="T44" i="4"/>
  <c r="R44" i="4"/>
  <c r="S44" i="4" s="1"/>
  <c r="P44" i="4"/>
  <c r="Q44" i="4" s="1"/>
  <c r="N44" i="4"/>
  <c r="L44" i="4"/>
  <c r="M44" i="4" s="1"/>
  <c r="K44" i="4"/>
  <c r="J44" i="4"/>
  <c r="H44" i="4"/>
  <c r="I44" i="4" s="1"/>
  <c r="F44" i="4"/>
  <c r="G44" i="4" s="1"/>
  <c r="D44" i="4"/>
  <c r="V44" i="4" s="1"/>
  <c r="T43" i="4"/>
  <c r="R43" i="4"/>
  <c r="P43" i="4"/>
  <c r="Q43" i="4" s="1"/>
  <c r="N43" i="4"/>
  <c r="O43" i="4" s="1"/>
  <c r="L43" i="4"/>
  <c r="M43" i="4" s="1"/>
  <c r="J43" i="4"/>
  <c r="K43" i="4" s="1"/>
  <c r="H43" i="4"/>
  <c r="F43" i="4"/>
  <c r="G43" i="4" s="1"/>
  <c r="D43" i="4"/>
  <c r="T42" i="4"/>
  <c r="R42" i="4"/>
  <c r="P42" i="4"/>
  <c r="Q42" i="4" s="1"/>
  <c r="N42" i="4"/>
  <c r="L42" i="4"/>
  <c r="M42" i="4" s="1"/>
  <c r="J42" i="4"/>
  <c r="H42" i="4"/>
  <c r="I42" i="4" s="1"/>
  <c r="G42" i="4"/>
  <c r="F42" i="4"/>
  <c r="D42" i="4"/>
  <c r="E42" i="4" s="1"/>
  <c r="T41" i="4"/>
  <c r="R41" i="4"/>
  <c r="Q41" i="4"/>
  <c r="P41" i="4"/>
  <c r="N41" i="4"/>
  <c r="O41" i="4" s="1"/>
  <c r="L41" i="4"/>
  <c r="M41" i="4" s="1"/>
  <c r="J41" i="4"/>
  <c r="K41" i="4" s="1"/>
  <c r="H41" i="4"/>
  <c r="F41" i="4"/>
  <c r="G41" i="4" s="1"/>
  <c r="E41" i="4"/>
  <c r="D41" i="4"/>
  <c r="T40" i="4"/>
  <c r="U40" i="4" s="1"/>
  <c r="R40" i="4"/>
  <c r="S40" i="4" s="1"/>
  <c r="P40" i="4"/>
  <c r="Q40" i="4" s="1"/>
  <c r="O40" i="4"/>
  <c r="N40" i="4"/>
  <c r="L40" i="4"/>
  <c r="M40" i="4" s="1"/>
  <c r="J40" i="4"/>
  <c r="K40" i="4" s="1"/>
  <c r="H40" i="4"/>
  <c r="F40" i="4"/>
  <c r="G40" i="4" s="1"/>
  <c r="D40" i="4"/>
  <c r="E40" i="4" s="1"/>
  <c r="T39" i="4"/>
  <c r="U39" i="4" s="1"/>
  <c r="R39" i="4"/>
  <c r="S39" i="4" s="1"/>
  <c r="P39" i="4"/>
  <c r="Q39" i="4" s="1"/>
  <c r="N39" i="4"/>
  <c r="M39" i="4"/>
  <c r="L39" i="4"/>
  <c r="J39" i="4"/>
  <c r="K39" i="4" s="1"/>
  <c r="H39" i="4"/>
  <c r="F39" i="4"/>
  <c r="G39" i="4" s="1"/>
  <c r="D39" i="4"/>
  <c r="T38" i="4"/>
  <c r="U38" i="4" s="1"/>
  <c r="R38" i="4"/>
  <c r="S38" i="4" s="1"/>
  <c r="Q38" i="4"/>
  <c r="P38" i="4"/>
  <c r="N38" i="4"/>
  <c r="O38" i="4" s="1"/>
  <c r="L38" i="4"/>
  <c r="M38" i="4" s="1"/>
  <c r="K38" i="4"/>
  <c r="J38" i="4"/>
  <c r="H38" i="4"/>
  <c r="F38" i="4"/>
  <c r="G38" i="4" s="1"/>
  <c r="D38" i="4"/>
  <c r="U37" i="4"/>
  <c r="T37" i="4"/>
  <c r="R37" i="4"/>
  <c r="P37" i="4"/>
  <c r="Q37" i="4" s="1"/>
  <c r="N37" i="4"/>
  <c r="O37" i="4" s="1"/>
  <c r="L37" i="4"/>
  <c r="M37" i="4" s="1"/>
  <c r="J37" i="4"/>
  <c r="K37" i="4" s="1"/>
  <c r="H37" i="4"/>
  <c r="F37" i="4"/>
  <c r="G37" i="4" s="1"/>
  <c r="D37" i="4"/>
  <c r="T36" i="4"/>
  <c r="U36" i="4" s="1"/>
  <c r="R36" i="4"/>
  <c r="P36" i="4"/>
  <c r="Q36" i="4" s="1"/>
  <c r="N36" i="4"/>
  <c r="L36" i="4"/>
  <c r="M36" i="4" s="1"/>
  <c r="J36" i="4"/>
  <c r="H36" i="4"/>
  <c r="G36" i="4"/>
  <c r="F36" i="4"/>
  <c r="D36" i="4"/>
  <c r="E36" i="4" s="1"/>
  <c r="T35" i="4"/>
  <c r="R35" i="4"/>
  <c r="Q35" i="4"/>
  <c r="P35" i="4"/>
  <c r="N35" i="4"/>
  <c r="O35" i="4" s="1"/>
  <c r="L35" i="4"/>
  <c r="M35" i="4" s="1"/>
  <c r="J35" i="4"/>
  <c r="V35" i="4" s="1"/>
  <c r="H35" i="4"/>
  <c r="F35" i="4"/>
  <c r="G35" i="4" s="1"/>
  <c r="E35" i="4"/>
  <c r="D35" i="4"/>
  <c r="T34" i="4"/>
  <c r="U34" i="4" s="1"/>
  <c r="R34" i="4"/>
  <c r="P34" i="4"/>
  <c r="Q34" i="4" s="1"/>
  <c r="O34" i="4"/>
  <c r="N34" i="4"/>
  <c r="L34" i="4"/>
  <c r="M34" i="4" s="1"/>
  <c r="J34" i="4"/>
  <c r="K34" i="4" s="1"/>
  <c r="H34" i="4"/>
  <c r="F34" i="4"/>
  <c r="G34" i="4" s="1"/>
  <c r="D34" i="4"/>
  <c r="E34" i="4" s="1"/>
  <c r="T33" i="4"/>
  <c r="R33" i="4"/>
  <c r="S33" i="4" s="1"/>
  <c r="P33" i="4"/>
  <c r="Q33" i="4" s="1"/>
  <c r="N33" i="4"/>
  <c r="O33" i="4" s="1"/>
  <c r="M33" i="4"/>
  <c r="L33" i="4"/>
  <c r="J33" i="4"/>
  <c r="K33" i="4" s="1"/>
  <c r="H33" i="4"/>
  <c r="G33" i="4"/>
  <c r="F33" i="4"/>
  <c r="D33" i="4"/>
  <c r="T32" i="4"/>
  <c r="R32" i="4"/>
  <c r="S32" i="4" s="1"/>
  <c r="Q32" i="4"/>
  <c r="P32" i="4"/>
  <c r="N32" i="4"/>
  <c r="O32" i="4" s="1"/>
  <c r="L32" i="4"/>
  <c r="M32" i="4" s="1"/>
  <c r="K32" i="4"/>
  <c r="J32" i="4"/>
  <c r="H32" i="4"/>
  <c r="F32" i="4"/>
  <c r="G32" i="4" s="1"/>
  <c r="D32" i="4"/>
  <c r="U31" i="4"/>
  <c r="T31" i="4"/>
  <c r="R31" i="4"/>
  <c r="S31" i="4" s="1"/>
  <c r="P31" i="4"/>
  <c r="Q31" i="4" s="1"/>
  <c r="N31" i="4"/>
  <c r="O31" i="4" s="1"/>
  <c r="L31" i="4"/>
  <c r="M31" i="4" s="1"/>
  <c r="J31" i="4"/>
  <c r="K31" i="4" s="1"/>
  <c r="H31" i="4"/>
  <c r="F31" i="4"/>
  <c r="G31" i="4" s="1"/>
  <c r="D31" i="4"/>
  <c r="Z30" i="4"/>
  <c r="V30" i="4"/>
  <c r="T30" i="4"/>
  <c r="U30" i="4" s="1"/>
  <c r="R30" i="4"/>
  <c r="P30" i="4"/>
  <c r="Q30" i="4" s="1"/>
  <c r="N30" i="4"/>
  <c r="O30" i="4" s="1"/>
  <c r="M30" i="4"/>
  <c r="L30" i="4"/>
  <c r="J30" i="4"/>
  <c r="K30" i="4" s="1"/>
  <c r="H30" i="4"/>
  <c r="G30" i="4"/>
  <c r="F30" i="4"/>
  <c r="D30" i="4"/>
  <c r="E30" i="4" s="1"/>
  <c r="T29" i="4"/>
  <c r="R29" i="4"/>
  <c r="S29" i="4" s="1"/>
  <c r="Q29" i="4"/>
  <c r="P29" i="4"/>
  <c r="N29" i="4"/>
  <c r="L29" i="4"/>
  <c r="M29" i="4" s="1"/>
  <c r="K29" i="4"/>
  <c r="J29" i="4"/>
  <c r="H29" i="4"/>
  <c r="F29" i="4"/>
  <c r="G29" i="4" s="1"/>
  <c r="E29" i="4"/>
  <c r="D29" i="4"/>
  <c r="U28" i="4"/>
  <c r="T28" i="4"/>
  <c r="R28" i="4"/>
  <c r="P28" i="4"/>
  <c r="Q28" i="4" s="1"/>
  <c r="N28" i="4"/>
  <c r="L28" i="4"/>
  <c r="M28" i="4" s="1"/>
  <c r="J28" i="4"/>
  <c r="K28" i="4" s="1"/>
  <c r="I28" i="4"/>
  <c r="H28" i="4"/>
  <c r="F28" i="4"/>
  <c r="G28" i="4" s="1"/>
  <c r="D28" i="4"/>
  <c r="E28" i="4" s="1"/>
  <c r="T27" i="4"/>
  <c r="R27" i="4"/>
  <c r="S27" i="4" s="1"/>
  <c r="P27" i="4"/>
  <c r="Q27" i="4" s="1"/>
  <c r="N27" i="4"/>
  <c r="O27" i="4" s="1"/>
  <c r="M27" i="4"/>
  <c r="L27" i="4"/>
  <c r="J27" i="4"/>
  <c r="K27" i="4" s="1"/>
  <c r="H27" i="4"/>
  <c r="G27" i="4"/>
  <c r="F27" i="4"/>
  <c r="D27" i="4"/>
  <c r="T26" i="4"/>
  <c r="R26" i="4"/>
  <c r="P26" i="4"/>
  <c r="Q26" i="4" s="1"/>
  <c r="N26" i="4"/>
  <c r="O26" i="4" s="1"/>
  <c r="L26" i="4"/>
  <c r="M26" i="4" s="1"/>
  <c r="K26" i="4"/>
  <c r="J26" i="4"/>
  <c r="H26" i="4"/>
  <c r="F26" i="4"/>
  <c r="G26" i="4" s="1"/>
  <c r="E26" i="4"/>
  <c r="D26" i="4"/>
  <c r="T25" i="4"/>
  <c r="R25" i="4"/>
  <c r="S25" i="4" s="1"/>
  <c r="P25" i="4"/>
  <c r="Q25" i="4" s="1"/>
  <c r="N25" i="4"/>
  <c r="O25" i="4" s="1"/>
  <c r="L25" i="4"/>
  <c r="M25" i="4" s="1"/>
  <c r="J25" i="4"/>
  <c r="K25" i="4" s="1"/>
  <c r="H25" i="4"/>
  <c r="F25" i="4"/>
  <c r="G25" i="4" s="1"/>
  <c r="D25" i="4"/>
  <c r="V24" i="4"/>
  <c r="T24" i="4"/>
  <c r="U24" i="4" s="1"/>
  <c r="S24" i="4"/>
  <c r="R24" i="4"/>
  <c r="P24" i="4"/>
  <c r="Q24" i="4" s="1"/>
  <c r="N24" i="4"/>
  <c r="O24" i="4" s="1"/>
  <c r="L24" i="4"/>
  <c r="M24" i="4" s="1"/>
  <c r="J24" i="4"/>
  <c r="K24" i="4" s="1"/>
  <c r="H24" i="4"/>
  <c r="G24" i="4"/>
  <c r="F24" i="4"/>
  <c r="D24" i="4"/>
  <c r="E24" i="4" s="1"/>
  <c r="T23" i="4"/>
  <c r="R23" i="4"/>
  <c r="S23" i="4" s="1"/>
  <c r="Q23" i="4"/>
  <c r="P23" i="4"/>
  <c r="N23" i="4"/>
  <c r="L23" i="4"/>
  <c r="M23" i="4" s="1"/>
  <c r="J23" i="4"/>
  <c r="K23" i="4" s="1"/>
  <c r="H23" i="4"/>
  <c r="F23" i="4"/>
  <c r="G23" i="4" s="1"/>
  <c r="E23" i="4"/>
  <c r="D23" i="4"/>
  <c r="U22" i="4"/>
  <c r="T22" i="4"/>
  <c r="R22" i="4"/>
  <c r="S22" i="4" s="1"/>
  <c r="P22" i="4"/>
  <c r="Q22" i="4" s="1"/>
  <c r="N22" i="4"/>
  <c r="L22" i="4"/>
  <c r="M22" i="4" s="1"/>
  <c r="J22" i="4"/>
  <c r="K22" i="4" s="1"/>
  <c r="I22" i="4"/>
  <c r="H22" i="4"/>
  <c r="F22" i="4"/>
  <c r="D22" i="4"/>
  <c r="E22" i="4" s="1"/>
  <c r="T21" i="4"/>
  <c r="S21" i="4"/>
  <c r="R21" i="4"/>
  <c r="P21" i="4"/>
  <c r="Q21" i="4" s="1"/>
  <c r="N21" i="4"/>
  <c r="M21" i="4"/>
  <c r="L21" i="4"/>
  <c r="J21" i="4"/>
  <c r="K21" i="4" s="1"/>
  <c r="H21" i="4"/>
  <c r="I21" i="4" s="1"/>
  <c r="G21" i="4"/>
  <c r="F21" i="4"/>
  <c r="D21" i="4"/>
  <c r="T20" i="4"/>
  <c r="U20" i="4" s="1"/>
  <c r="R20" i="4"/>
  <c r="P20" i="4"/>
  <c r="Q20" i="4" s="1"/>
  <c r="N20" i="4"/>
  <c r="L20" i="4"/>
  <c r="M20" i="4" s="1"/>
  <c r="K20" i="4"/>
  <c r="J20" i="4"/>
  <c r="H20" i="4"/>
  <c r="I20" i="4" s="1"/>
  <c r="F20" i="4"/>
  <c r="G20" i="4" s="1"/>
  <c r="E20" i="4"/>
  <c r="D20" i="4"/>
  <c r="T19" i="4"/>
  <c r="R19" i="4"/>
  <c r="P19" i="4"/>
  <c r="Q19" i="4" s="1"/>
  <c r="O19" i="4"/>
  <c r="N19" i="4"/>
  <c r="L19" i="4"/>
  <c r="M19" i="4" s="1"/>
  <c r="J19" i="4"/>
  <c r="K19" i="4" s="1"/>
  <c r="H19" i="4"/>
  <c r="F19" i="4"/>
  <c r="G19" i="4" s="1"/>
  <c r="D19" i="4"/>
  <c r="T18" i="4"/>
  <c r="U18" i="4" s="1"/>
  <c r="S18" i="4"/>
  <c r="R18" i="4"/>
  <c r="P18" i="4"/>
  <c r="Q18" i="4" s="1"/>
  <c r="N18" i="4"/>
  <c r="O18" i="4" s="1"/>
  <c r="L18" i="4"/>
  <c r="M18" i="4" s="1"/>
  <c r="J18" i="4"/>
  <c r="K18" i="4" s="1"/>
  <c r="H18" i="4"/>
  <c r="G18" i="4"/>
  <c r="F18" i="4"/>
  <c r="D18" i="4"/>
  <c r="E18" i="4" s="1"/>
  <c r="T17" i="4"/>
  <c r="R17" i="4"/>
  <c r="S17" i="4" s="1"/>
  <c r="Q17" i="4"/>
  <c r="P17" i="4"/>
  <c r="N17" i="4"/>
  <c r="L17" i="4"/>
  <c r="M17" i="4" s="1"/>
  <c r="K17" i="4"/>
  <c r="J17" i="4"/>
  <c r="H17" i="4"/>
  <c r="F17" i="4"/>
  <c r="G17" i="4" s="1"/>
  <c r="E17" i="4"/>
  <c r="D17" i="4"/>
  <c r="U16" i="4"/>
  <c r="T16" i="4"/>
  <c r="R16" i="4"/>
  <c r="S16" i="4" s="1"/>
  <c r="P16" i="4"/>
  <c r="Q16" i="4" s="1"/>
  <c r="O16" i="4"/>
  <c r="N16" i="4"/>
  <c r="L16" i="4"/>
  <c r="M16" i="4" s="1"/>
  <c r="J16" i="4"/>
  <c r="K16" i="4" s="1"/>
  <c r="H16" i="4"/>
  <c r="I16" i="4" s="1"/>
  <c r="F16" i="4"/>
  <c r="G16" i="4" s="1"/>
  <c r="D16" i="4"/>
  <c r="E16" i="4" s="1"/>
  <c r="T15" i="4"/>
  <c r="S15" i="4"/>
  <c r="R15" i="4"/>
  <c r="P15" i="4"/>
  <c r="Q15" i="4" s="1"/>
  <c r="N15" i="4"/>
  <c r="M15" i="4"/>
  <c r="L15" i="4"/>
  <c r="J15" i="4"/>
  <c r="K15" i="4" s="1"/>
  <c r="H15" i="4"/>
  <c r="I15" i="4" s="1"/>
  <c r="G15" i="4"/>
  <c r="F15" i="4"/>
  <c r="D15" i="4"/>
  <c r="T14" i="4"/>
  <c r="U14" i="4" s="1"/>
  <c r="R14" i="4"/>
  <c r="Q14" i="4"/>
  <c r="P14" i="4"/>
  <c r="N14" i="4"/>
  <c r="L14" i="4"/>
  <c r="M14" i="4" s="1"/>
  <c r="K14" i="4"/>
  <c r="J14" i="4"/>
  <c r="H14" i="4"/>
  <c r="I14" i="4" s="1"/>
  <c r="F14" i="4"/>
  <c r="G14" i="4" s="1"/>
  <c r="E14" i="4"/>
  <c r="D14" i="4"/>
  <c r="T13" i="4"/>
  <c r="R13" i="4"/>
  <c r="P13" i="4"/>
  <c r="Q13" i="4" s="1"/>
  <c r="N13" i="4"/>
  <c r="O13" i="4" s="1"/>
  <c r="L13" i="4"/>
  <c r="M13" i="4" s="1"/>
  <c r="J13" i="4"/>
  <c r="K13" i="4" s="1"/>
  <c r="I13" i="4"/>
  <c r="H13" i="4"/>
  <c r="F13" i="4"/>
  <c r="G13" i="4" s="1"/>
  <c r="D13" i="4"/>
  <c r="T12" i="4"/>
  <c r="S12" i="4"/>
  <c r="R12" i="4"/>
  <c r="P12" i="4"/>
  <c r="Q12" i="4" s="1"/>
  <c r="N12" i="4"/>
  <c r="O12" i="4" s="1"/>
  <c r="M12" i="4"/>
  <c r="L12" i="4"/>
  <c r="J12" i="4"/>
  <c r="K12" i="4" s="1"/>
  <c r="H12" i="4"/>
  <c r="G12" i="4"/>
  <c r="F12" i="4"/>
  <c r="D12" i="4"/>
  <c r="E12" i="4" s="1"/>
  <c r="T11" i="4"/>
  <c r="U11" i="4" s="1"/>
  <c r="R11" i="4"/>
  <c r="S11" i="4" s="1"/>
  <c r="Q11" i="4"/>
  <c r="P11" i="4"/>
  <c r="N11" i="4"/>
  <c r="L11" i="4"/>
  <c r="M11" i="4" s="1"/>
  <c r="J11" i="4"/>
  <c r="K11" i="4" s="1"/>
  <c r="H11" i="4"/>
  <c r="F11" i="4"/>
  <c r="G11" i="4" s="1"/>
  <c r="E11" i="4"/>
  <c r="D11" i="4"/>
  <c r="V10" i="4"/>
  <c r="T10" i="4"/>
  <c r="U10" i="4" s="1"/>
  <c r="R10" i="4"/>
  <c r="S10" i="4" s="1"/>
  <c r="P10" i="4"/>
  <c r="Q10" i="4" s="1"/>
  <c r="O10" i="4"/>
  <c r="N10" i="4"/>
  <c r="L10" i="4"/>
  <c r="M10" i="4" s="1"/>
  <c r="J10" i="4"/>
  <c r="K10" i="4" s="1"/>
  <c r="H10" i="4"/>
  <c r="I10" i="4" s="1"/>
  <c r="F10" i="4"/>
  <c r="G10" i="4" s="1"/>
  <c r="D10" i="4"/>
  <c r="E10" i="4" s="1"/>
  <c r="T9" i="4"/>
  <c r="U9" i="4" s="1"/>
  <c r="S9" i="4"/>
  <c r="R9" i="4"/>
  <c r="P9" i="4"/>
  <c r="Q9" i="4" s="1"/>
  <c r="N9" i="4"/>
  <c r="M9" i="4"/>
  <c r="L9" i="4"/>
  <c r="J9" i="4"/>
  <c r="K9" i="4" s="1"/>
  <c r="H9" i="4"/>
  <c r="F9" i="4"/>
  <c r="G9" i="4" s="1"/>
  <c r="D9" i="4"/>
  <c r="T8" i="4"/>
  <c r="U8" i="4" s="1"/>
  <c r="R8" i="4"/>
  <c r="S8" i="4" s="1"/>
  <c r="Q8" i="4"/>
  <c r="P8" i="4"/>
  <c r="N8" i="4"/>
  <c r="O8" i="4" s="1"/>
  <c r="L8" i="4"/>
  <c r="M8" i="4" s="1"/>
  <c r="K8" i="4"/>
  <c r="J8" i="4"/>
  <c r="H8" i="4"/>
  <c r="F8" i="4"/>
  <c r="G8" i="4" s="1"/>
  <c r="D8" i="4"/>
  <c r="U7" i="4"/>
  <c r="T7" i="4"/>
  <c r="R7" i="4"/>
  <c r="P7" i="4"/>
  <c r="Q7" i="4" s="1"/>
  <c r="N7" i="4"/>
  <c r="L7" i="4"/>
  <c r="M7" i="4" s="1"/>
  <c r="J7" i="4"/>
  <c r="K7" i="4" s="1"/>
  <c r="I7" i="4"/>
  <c r="H7" i="4"/>
  <c r="F7" i="4"/>
  <c r="G7" i="4" s="1"/>
  <c r="D7" i="4"/>
  <c r="T6" i="4"/>
  <c r="U6" i="4" s="1"/>
  <c r="S6" i="4"/>
  <c r="R6" i="4"/>
  <c r="P6" i="4"/>
  <c r="Q6" i="4" s="1"/>
  <c r="N6" i="4"/>
  <c r="M6" i="4"/>
  <c r="L6" i="4"/>
  <c r="J6" i="4"/>
  <c r="H6" i="4"/>
  <c r="I6" i="4" s="1"/>
  <c r="G6" i="4"/>
  <c r="F6" i="4"/>
  <c r="D6" i="4"/>
  <c r="E6" i="4" s="1"/>
  <c r="T5" i="4"/>
  <c r="U43" i="4" s="1"/>
  <c r="R5" i="4"/>
  <c r="S30" i="4" s="1"/>
  <c r="P5" i="4"/>
  <c r="N5" i="4"/>
  <c r="O46" i="4" s="1"/>
  <c r="L5" i="4"/>
  <c r="J5" i="4"/>
  <c r="H5" i="4"/>
  <c r="I43" i="4" s="1"/>
  <c r="F5" i="4"/>
  <c r="D5" i="4"/>
  <c r="B84" i="3"/>
  <c r="T76" i="3"/>
  <c r="R76" i="3"/>
  <c r="S76" i="3" s="1"/>
  <c r="P76" i="3"/>
  <c r="O76" i="3"/>
  <c r="N76" i="3"/>
  <c r="L76" i="3"/>
  <c r="M76" i="3" s="1"/>
  <c r="J76" i="3"/>
  <c r="H76" i="3"/>
  <c r="F76" i="3"/>
  <c r="D76" i="3"/>
  <c r="T75" i="3"/>
  <c r="R75" i="3"/>
  <c r="P75" i="3"/>
  <c r="Q75" i="3" s="1"/>
  <c r="N75" i="3"/>
  <c r="L75" i="3"/>
  <c r="J75" i="3"/>
  <c r="H75" i="3"/>
  <c r="F75" i="3"/>
  <c r="D75" i="3"/>
  <c r="T74" i="3"/>
  <c r="R74" i="3"/>
  <c r="P74" i="3"/>
  <c r="N74" i="3"/>
  <c r="L74" i="3"/>
  <c r="J74" i="3"/>
  <c r="H74" i="3"/>
  <c r="I74" i="3" s="1"/>
  <c r="F74" i="3"/>
  <c r="D74" i="3"/>
  <c r="T73" i="3"/>
  <c r="R73" i="3"/>
  <c r="P73" i="3"/>
  <c r="N73" i="3"/>
  <c r="L73" i="3"/>
  <c r="M73" i="3" s="1"/>
  <c r="J73" i="3"/>
  <c r="I73" i="3"/>
  <c r="H73" i="3"/>
  <c r="F73" i="3"/>
  <c r="D73" i="3"/>
  <c r="T72" i="3"/>
  <c r="S72" i="3"/>
  <c r="R72" i="3"/>
  <c r="P72" i="3"/>
  <c r="Q72" i="3" s="1"/>
  <c r="N72" i="3"/>
  <c r="L72" i="3"/>
  <c r="J72" i="3"/>
  <c r="H72" i="3"/>
  <c r="F72" i="3"/>
  <c r="D72" i="3"/>
  <c r="T71" i="3"/>
  <c r="S71" i="3"/>
  <c r="R71" i="3"/>
  <c r="P71" i="3"/>
  <c r="N71" i="3"/>
  <c r="L71" i="3"/>
  <c r="J71" i="3"/>
  <c r="H71" i="3"/>
  <c r="I71" i="3" s="1"/>
  <c r="F71" i="3"/>
  <c r="E71" i="3"/>
  <c r="D71" i="3"/>
  <c r="V71" i="3" s="1"/>
  <c r="T70" i="3"/>
  <c r="R70" i="3"/>
  <c r="S70" i="3" s="1"/>
  <c r="P70" i="3"/>
  <c r="N70" i="3"/>
  <c r="L70" i="3"/>
  <c r="M70" i="3" s="1"/>
  <c r="J70" i="3"/>
  <c r="H70" i="3"/>
  <c r="G70" i="3"/>
  <c r="F70" i="3"/>
  <c r="E70" i="3"/>
  <c r="D70" i="3"/>
  <c r="T69" i="3"/>
  <c r="R69" i="3"/>
  <c r="P69" i="3"/>
  <c r="Q69" i="3" s="1"/>
  <c r="O69" i="3"/>
  <c r="N69" i="3"/>
  <c r="M69" i="3"/>
  <c r="L69" i="3"/>
  <c r="J69" i="3"/>
  <c r="V69" i="3" s="1"/>
  <c r="H69" i="3"/>
  <c r="F69" i="3"/>
  <c r="D69" i="3"/>
  <c r="T68" i="3"/>
  <c r="R68" i="3"/>
  <c r="P68" i="3"/>
  <c r="O68" i="3"/>
  <c r="N68" i="3"/>
  <c r="M68" i="3"/>
  <c r="L68" i="3"/>
  <c r="J68" i="3"/>
  <c r="H68" i="3"/>
  <c r="F68" i="3"/>
  <c r="D68" i="3"/>
  <c r="T67" i="3"/>
  <c r="R67" i="3"/>
  <c r="P67" i="3"/>
  <c r="N67" i="3"/>
  <c r="L67" i="3"/>
  <c r="J67" i="3"/>
  <c r="I67" i="3"/>
  <c r="H67" i="3"/>
  <c r="F67" i="3"/>
  <c r="D67" i="3"/>
  <c r="T66" i="3"/>
  <c r="R66" i="3"/>
  <c r="P66" i="3"/>
  <c r="N66" i="3"/>
  <c r="L66" i="3"/>
  <c r="J66" i="3"/>
  <c r="V66" i="3" s="1"/>
  <c r="I66" i="3"/>
  <c r="H66" i="3"/>
  <c r="F66" i="3"/>
  <c r="D66" i="3"/>
  <c r="E66" i="3" s="1"/>
  <c r="T65" i="3"/>
  <c r="R65" i="3"/>
  <c r="P65" i="3"/>
  <c r="N65" i="3"/>
  <c r="O65" i="3" s="1"/>
  <c r="L65" i="3"/>
  <c r="J65" i="3"/>
  <c r="I65" i="3"/>
  <c r="H65" i="3"/>
  <c r="F65" i="3"/>
  <c r="D65" i="3"/>
  <c r="T64" i="3"/>
  <c r="S64" i="3"/>
  <c r="R64" i="3"/>
  <c r="P64" i="3"/>
  <c r="N64" i="3"/>
  <c r="L64" i="3"/>
  <c r="M64" i="3" s="1"/>
  <c r="J64" i="3"/>
  <c r="H64" i="3"/>
  <c r="F64" i="3"/>
  <c r="G64" i="3" s="1"/>
  <c r="E64" i="3"/>
  <c r="D64" i="3"/>
  <c r="T63" i="3"/>
  <c r="R63" i="3"/>
  <c r="P63" i="3"/>
  <c r="Q63" i="3" s="1"/>
  <c r="N63" i="3"/>
  <c r="L63" i="3"/>
  <c r="J63" i="3"/>
  <c r="H63" i="3"/>
  <c r="F63" i="3"/>
  <c r="E63" i="3"/>
  <c r="D63" i="3"/>
  <c r="T62" i="3"/>
  <c r="R62" i="3"/>
  <c r="P62" i="3"/>
  <c r="N62" i="3"/>
  <c r="M62" i="3"/>
  <c r="L62" i="3"/>
  <c r="J62" i="3"/>
  <c r="H62" i="3"/>
  <c r="F62" i="3"/>
  <c r="D62" i="3"/>
  <c r="T61" i="3"/>
  <c r="R61" i="3"/>
  <c r="P61" i="3"/>
  <c r="N61" i="3"/>
  <c r="M61" i="3"/>
  <c r="L61" i="3"/>
  <c r="J61" i="3"/>
  <c r="I61" i="3"/>
  <c r="H61" i="3"/>
  <c r="F61" i="3"/>
  <c r="D61" i="3"/>
  <c r="T60" i="3"/>
  <c r="S60" i="3"/>
  <c r="R60" i="3"/>
  <c r="P60" i="3"/>
  <c r="N60" i="3"/>
  <c r="L60" i="3"/>
  <c r="J60" i="3"/>
  <c r="H60" i="3"/>
  <c r="F60" i="3"/>
  <c r="D60" i="3"/>
  <c r="E60" i="3" s="1"/>
  <c r="T59" i="3"/>
  <c r="R59" i="3"/>
  <c r="P59" i="3"/>
  <c r="N59" i="3"/>
  <c r="L59" i="3"/>
  <c r="J59" i="3"/>
  <c r="H59" i="3"/>
  <c r="I59" i="3" s="1"/>
  <c r="F59" i="3"/>
  <c r="D59" i="3"/>
  <c r="T58" i="3"/>
  <c r="R58" i="3"/>
  <c r="P58" i="3"/>
  <c r="N58" i="3"/>
  <c r="L58" i="3"/>
  <c r="M58" i="3" s="1"/>
  <c r="J58" i="3"/>
  <c r="H58" i="3"/>
  <c r="F58" i="3"/>
  <c r="E58" i="3"/>
  <c r="D58" i="3"/>
  <c r="T57" i="3"/>
  <c r="R57" i="3"/>
  <c r="P57" i="3"/>
  <c r="Q57" i="3" s="1"/>
  <c r="N57" i="3"/>
  <c r="M57" i="3"/>
  <c r="L57" i="3"/>
  <c r="J57" i="3"/>
  <c r="H57" i="3"/>
  <c r="F57" i="3"/>
  <c r="D57" i="3"/>
  <c r="V57" i="3" s="1"/>
  <c r="T56" i="3"/>
  <c r="U56" i="3" s="1"/>
  <c r="R56" i="3"/>
  <c r="P56" i="3"/>
  <c r="N56" i="3"/>
  <c r="O56" i="3" s="1"/>
  <c r="L56" i="3"/>
  <c r="J56" i="3"/>
  <c r="I56" i="3"/>
  <c r="H56" i="3"/>
  <c r="F56" i="3"/>
  <c r="D56" i="3"/>
  <c r="T55" i="3"/>
  <c r="S55" i="3"/>
  <c r="R55" i="3"/>
  <c r="P55" i="3"/>
  <c r="N55" i="3"/>
  <c r="L55" i="3"/>
  <c r="M55" i="3" s="1"/>
  <c r="J55" i="3"/>
  <c r="H55" i="3"/>
  <c r="F55" i="3"/>
  <c r="V55" i="3" s="1"/>
  <c r="E55" i="3"/>
  <c r="D55" i="3"/>
  <c r="V54" i="3"/>
  <c r="Z54" i="3" s="1"/>
  <c r="T54" i="3"/>
  <c r="R54" i="3"/>
  <c r="P54" i="3"/>
  <c r="Q54" i="3" s="1"/>
  <c r="O54" i="3"/>
  <c r="N54" i="3"/>
  <c r="L54" i="3"/>
  <c r="J54" i="3"/>
  <c r="I54" i="3"/>
  <c r="H54" i="3"/>
  <c r="F54" i="3"/>
  <c r="D54" i="3"/>
  <c r="E54" i="3" s="1"/>
  <c r="T53" i="3"/>
  <c r="U53" i="3" s="1"/>
  <c r="S53" i="3"/>
  <c r="R53" i="3"/>
  <c r="P53" i="3"/>
  <c r="N53" i="3"/>
  <c r="O53" i="3" s="1"/>
  <c r="L53" i="3"/>
  <c r="J53" i="3"/>
  <c r="H53" i="3"/>
  <c r="I53" i="3" s="1"/>
  <c r="F53" i="3"/>
  <c r="E53" i="3"/>
  <c r="D53" i="3"/>
  <c r="T52" i="3"/>
  <c r="R52" i="3"/>
  <c r="S52" i="3" s="1"/>
  <c r="P52" i="3"/>
  <c r="O52" i="3"/>
  <c r="N52" i="3"/>
  <c r="M52" i="3"/>
  <c r="L52" i="3"/>
  <c r="J52" i="3"/>
  <c r="H52" i="3"/>
  <c r="F52" i="3"/>
  <c r="D52" i="3"/>
  <c r="V52" i="3" s="1"/>
  <c r="Z52" i="3" s="1"/>
  <c r="V51" i="3"/>
  <c r="U51" i="3"/>
  <c r="T51" i="3"/>
  <c r="R51" i="3"/>
  <c r="P51" i="3"/>
  <c r="N51" i="3"/>
  <c r="L51" i="3"/>
  <c r="J51" i="3"/>
  <c r="I51" i="3"/>
  <c r="H51" i="3"/>
  <c r="F51" i="3"/>
  <c r="E51" i="3"/>
  <c r="D51" i="3"/>
  <c r="T50" i="3"/>
  <c r="U50" i="3" s="1"/>
  <c r="R50" i="3"/>
  <c r="P50" i="3"/>
  <c r="N50" i="3"/>
  <c r="O50" i="3" s="1"/>
  <c r="L50" i="3"/>
  <c r="J50" i="3"/>
  <c r="H50" i="3"/>
  <c r="F50" i="3"/>
  <c r="D50" i="3"/>
  <c r="T49" i="3"/>
  <c r="R49" i="3"/>
  <c r="P49" i="3"/>
  <c r="N49" i="3"/>
  <c r="L49" i="3"/>
  <c r="M49" i="3" s="1"/>
  <c r="J49" i="3"/>
  <c r="I49" i="3"/>
  <c r="H49" i="3"/>
  <c r="F49" i="3"/>
  <c r="E49" i="3"/>
  <c r="D49" i="3"/>
  <c r="T48" i="3"/>
  <c r="R48" i="3"/>
  <c r="Q48" i="3"/>
  <c r="P48" i="3"/>
  <c r="N48" i="3"/>
  <c r="L48" i="3"/>
  <c r="J48" i="3"/>
  <c r="I48" i="3"/>
  <c r="H48" i="3"/>
  <c r="G48" i="3"/>
  <c r="F48" i="3"/>
  <c r="E48" i="3"/>
  <c r="D48" i="3"/>
  <c r="V48" i="3" s="1"/>
  <c r="T47" i="3"/>
  <c r="R47" i="3"/>
  <c r="P47" i="3"/>
  <c r="N47" i="3"/>
  <c r="M47" i="3"/>
  <c r="L47" i="3"/>
  <c r="J47" i="3"/>
  <c r="H47" i="3"/>
  <c r="I47" i="3" s="1"/>
  <c r="F47" i="3"/>
  <c r="D47" i="3"/>
  <c r="T46" i="3"/>
  <c r="R46" i="3"/>
  <c r="S46" i="3" s="1"/>
  <c r="P46" i="3"/>
  <c r="N46" i="3"/>
  <c r="L46" i="3"/>
  <c r="J46" i="3"/>
  <c r="H46" i="3"/>
  <c r="F46" i="3"/>
  <c r="G46" i="3" s="1"/>
  <c r="E46" i="3"/>
  <c r="D46" i="3"/>
  <c r="T45" i="3"/>
  <c r="R45" i="3"/>
  <c r="P45" i="3"/>
  <c r="N45" i="3"/>
  <c r="M45" i="3"/>
  <c r="L45" i="3"/>
  <c r="J45" i="3"/>
  <c r="I45" i="3"/>
  <c r="H45" i="3"/>
  <c r="F45" i="3"/>
  <c r="D45" i="3"/>
  <c r="E45" i="3" s="1"/>
  <c r="U44" i="3"/>
  <c r="T44" i="3"/>
  <c r="R44" i="3"/>
  <c r="P44" i="3"/>
  <c r="N44" i="3"/>
  <c r="L44" i="3"/>
  <c r="J44" i="3"/>
  <c r="I44" i="3"/>
  <c r="H44" i="3"/>
  <c r="G44" i="3"/>
  <c r="F44" i="3"/>
  <c r="D44" i="3"/>
  <c r="T43" i="3"/>
  <c r="R43" i="3"/>
  <c r="P43" i="3"/>
  <c r="N43" i="3"/>
  <c r="L43" i="3"/>
  <c r="M43" i="3" s="1"/>
  <c r="J43" i="3"/>
  <c r="I43" i="3"/>
  <c r="H43" i="3"/>
  <c r="F43" i="3"/>
  <c r="G43" i="3" s="1"/>
  <c r="E43" i="3"/>
  <c r="D43" i="3"/>
  <c r="V43" i="3" s="1"/>
  <c r="T42" i="3"/>
  <c r="R42" i="3"/>
  <c r="P42" i="3"/>
  <c r="N42" i="3"/>
  <c r="L42" i="3"/>
  <c r="J42" i="3"/>
  <c r="V42" i="3" s="1"/>
  <c r="Z42" i="3" s="1"/>
  <c r="I42" i="3"/>
  <c r="H42" i="3"/>
  <c r="F42" i="3"/>
  <c r="E42" i="3"/>
  <c r="D42" i="3"/>
  <c r="T41" i="3"/>
  <c r="S41" i="3"/>
  <c r="R41" i="3"/>
  <c r="P41" i="3"/>
  <c r="N41" i="3"/>
  <c r="M41" i="3"/>
  <c r="L41" i="3"/>
  <c r="J41" i="3"/>
  <c r="H41" i="3"/>
  <c r="I41" i="3" s="1"/>
  <c r="G41" i="3"/>
  <c r="F41" i="3"/>
  <c r="E41" i="3"/>
  <c r="D41" i="3"/>
  <c r="T40" i="3"/>
  <c r="R40" i="3"/>
  <c r="Q40" i="3"/>
  <c r="P40" i="3"/>
  <c r="O40" i="3"/>
  <c r="N40" i="3"/>
  <c r="L40" i="3"/>
  <c r="M40" i="3" s="1"/>
  <c r="J40" i="3"/>
  <c r="I40" i="3"/>
  <c r="H40" i="3"/>
  <c r="F40" i="3"/>
  <c r="E40" i="3"/>
  <c r="D40" i="3"/>
  <c r="V40" i="3" s="1"/>
  <c r="T39" i="3"/>
  <c r="R39" i="3"/>
  <c r="P39" i="3"/>
  <c r="Q39" i="3" s="1"/>
  <c r="N39" i="3"/>
  <c r="M39" i="3"/>
  <c r="L39" i="3"/>
  <c r="J39" i="3"/>
  <c r="I39" i="3"/>
  <c r="H39" i="3"/>
  <c r="F39" i="3"/>
  <c r="D39" i="3"/>
  <c r="V39" i="3" s="1"/>
  <c r="Z39" i="3" s="1"/>
  <c r="T38" i="3"/>
  <c r="U38" i="3" s="1"/>
  <c r="R38" i="3"/>
  <c r="P38" i="3"/>
  <c r="N38" i="3"/>
  <c r="L38" i="3"/>
  <c r="J38" i="3"/>
  <c r="H38" i="3"/>
  <c r="I38" i="3" s="1"/>
  <c r="G38" i="3"/>
  <c r="F38" i="3"/>
  <c r="E38" i="3"/>
  <c r="D38" i="3"/>
  <c r="T37" i="3"/>
  <c r="S37" i="3"/>
  <c r="R37" i="3"/>
  <c r="P37" i="3"/>
  <c r="N37" i="3"/>
  <c r="L37" i="3"/>
  <c r="M37" i="3" s="1"/>
  <c r="J37" i="3"/>
  <c r="I37" i="3"/>
  <c r="H37" i="3"/>
  <c r="F37" i="3"/>
  <c r="G37" i="3" s="1"/>
  <c r="E37" i="3"/>
  <c r="D37" i="3"/>
  <c r="T36" i="3"/>
  <c r="R36" i="3"/>
  <c r="P36" i="3"/>
  <c r="O36" i="3"/>
  <c r="N36" i="3"/>
  <c r="M36" i="3"/>
  <c r="L36" i="3"/>
  <c r="J36" i="3"/>
  <c r="I36" i="3"/>
  <c r="H36" i="3"/>
  <c r="F36" i="3"/>
  <c r="D36" i="3"/>
  <c r="T35" i="3"/>
  <c r="R35" i="3"/>
  <c r="P35" i="3"/>
  <c r="N35" i="3"/>
  <c r="O35" i="3" s="1"/>
  <c r="L35" i="3"/>
  <c r="J35" i="3"/>
  <c r="I35" i="3"/>
  <c r="H35" i="3"/>
  <c r="F35" i="3"/>
  <c r="E35" i="3"/>
  <c r="D35" i="3"/>
  <c r="U34" i="3"/>
  <c r="T34" i="3"/>
  <c r="R34" i="3"/>
  <c r="S34" i="3" s="1"/>
  <c r="P34" i="3"/>
  <c r="Q34" i="3" s="1"/>
  <c r="N34" i="3"/>
  <c r="O34" i="3" s="1"/>
  <c r="L34" i="3"/>
  <c r="J34" i="3"/>
  <c r="I34" i="3"/>
  <c r="H34" i="3"/>
  <c r="F34" i="3"/>
  <c r="D34" i="3"/>
  <c r="T33" i="3"/>
  <c r="R33" i="3"/>
  <c r="S33" i="3" s="1"/>
  <c r="Q33" i="3"/>
  <c r="P33" i="3"/>
  <c r="N33" i="3"/>
  <c r="O33" i="3" s="1"/>
  <c r="L33" i="3"/>
  <c r="M33" i="3" s="1"/>
  <c r="J33" i="3"/>
  <c r="H33" i="3"/>
  <c r="I33" i="3" s="1"/>
  <c r="F33" i="3"/>
  <c r="E33" i="3"/>
  <c r="D33" i="3"/>
  <c r="T32" i="3"/>
  <c r="R32" i="3"/>
  <c r="S32" i="3" s="1"/>
  <c r="P32" i="3"/>
  <c r="Q32" i="3" s="1"/>
  <c r="N32" i="3"/>
  <c r="O32" i="3" s="1"/>
  <c r="L32" i="3"/>
  <c r="M32" i="3" s="1"/>
  <c r="J32" i="3"/>
  <c r="I32" i="3"/>
  <c r="H32" i="3"/>
  <c r="F32" i="3"/>
  <c r="D32" i="3"/>
  <c r="V31" i="3"/>
  <c r="T31" i="3"/>
  <c r="R31" i="3"/>
  <c r="P31" i="3"/>
  <c r="Q31" i="3" s="1"/>
  <c r="N31" i="3"/>
  <c r="M31" i="3"/>
  <c r="L31" i="3"/>
  <c r="J31" i="3"/>
  <c r="H31" i="3"/>
  <c r="I31" i="3" s="1"/>
  <c r="F31" i="3"/>
  <c r="D31" i="3"/>
  <c r="E31" i="3" s="1"/>
  <c r="V30" i="3"/>
  <c r="Z30" i="3" s="1"/>
  <c r="T30" i="3"/>
  <c r="R30" i="3"/>
  <c r="P30" i="3"/>
  <c r="N30" i="3"/>
  <c r="L30" i="3"/>
  <c r="M30" i="3" s="1"/>
  <c r="J30" i="3"/>
  <c r="H30" i="3"/>
  <c r="I30" i="3" s="1"/>
  <c r="F30" i="3"/>
  <c r="D30" i="3"/>
  <c r="T29" i="3"/>
  <c r="U29" i="3" s="1"/>
  <c r="R29" i="3"/>
  <c r="P29" i="3"/>
  <c r="N29" i="3"/>
  <c r="L29" i="3"/>
  <c r="M29" i="3" s="1"/>
  <c r="J29" i="3"/>
  <c r="H29" i="3"/>
  <c r="I29" i="3" s="1"/>
  <c r="F29" i="3"/>
  <c r="G29" i="3" s="1"/>
  <c r="D29" i="3"/>
  <c r="E29" i="3" s="1"/>
  <c r="T28" i="3"/>
  <c r="U28" i="3" s="1"/>
  <c r="R28" i="3"/>
  <c r="S28" i="3" s="1"/>
  <c r="P28" i="3"/>
  <c r="Q28" i="3" s="1"/>
  <c r="N28" i="3"/>
  <c r="O28" i="3" s="1"/>
  <c r="L28" i="3"/>
  <c r="J28" i="3"/>
  <c r="H28" i="3"/>
  <c r="I28" i="3" s="1"/>
  <c r="G28" i="3"/>
  <c r="F28" i="3"/>
  <c r="D28" i="3"/>
  <c r="T27" i="3"/>
  <c r="R27" i="3"/>
  <c r="S27" i="3" s="1"/>
  <c r="Q27" i="3"/>
  <c r="P27" i="3"/>
  <c r="N27" i="3"/>
  <c r="O27" i="3" s="1"/>
  <c r="L27" i="3"/>
  <c r="M27" i="3" s="1"/>
  <c r="J27" i="3"/>
  <c r="H27" i="3"/>
  <c r="I27" i="3" s="1"/>
  <c r="F27" i="3"/>
  <c r="E27" i="3"/>
  <c r="D27" i="3"/>
  <c r="T26" i="3"/>
  <c r="R26" i="3"/>
  <c r="S26" i="3" s="1"/>
  <c r="Q26" i="3"/>
  <c r="P26" i="3"/>
  <c r="N26" i="3"/>
  <c r="V26" i="3" s="1"/>
  <c r="L26" i="3"/>
  <c r="M26" i="3" s="1"/>
  <c r="J26" i="3"/>
  <c r="I26" i="3"/>
  <c r="H26" i="3"/>
  <c r="F26" i="3"/>
  <c r="E26" i="3"/>
  <c r="D26" i="3"/>
  <c r="T25" i="3"/>
  <c r="U25" i="3" s="1"/>
  <c r="R25" i="3"/>
  <c r="P25" i="3"/>
  <c r="N25" i="3"/>
  <c r="O25" i="3" s="1"/>
  <c r="M25" i="3"/>
  <c r="L25" i="3"/>
  <c r="J25" i="3"/>
  <c r="H25" i="3"/>
  <c r="F25" i="3"/>
  <c r="D25" i="3"/>
  <c r="E25" i="3" s="1"/>
  <c r="T24" i="3"/>
  <c r="R24" i="3"/>
  <c r="S24" i="3" s="1"/>
  <c r="P24" i="3"/>
  <c r="N24" i="3"/>
  <c r="L24" i="3"/>
  <c r="M24" i="3" s="1"/>
  <c r="J24" i="3"/>
  <c r="H24" i="3"/>
  <c r="I24" i="3" s="1"/>
  <c r="F24" i="3"/>
  <c r="D24" i="3"/>
  <c r="U23" i="3"/>
  <c r="T23" i="3"/>
  <c r="R23" i="3"/>
  <c r="P23" i="3"/>
  <c r="Q23" i="3" s="1"/>
  <c r="N23" i="3"/>
  <c r="L23" i="3"/>
  <c r="M23" i="3" s="1"/>
  <c r="J23" i="3"/>
  <c r="I23" i="3"/>
  <c r="H23" i="3"/>
  <c r="F23" i="3"/>
  <c r="D23" i="3"/>
  <c r="E23" i="3" s="1"/>
  <c r="U22" i="3"/>
  <c r="T22" i="3"/>
  <c r="R22" i="3"/>
  <c r="S22" i="3" s="1"/>
  <c r="P22" i="3"/>
  <c r="Q22" i="3" s="1"/>
  <c r="N22" i="3"/>
  <c r="O22" i="3" s="1"/>
  <c r="L22" i="3"/>
  <c r="J22" i="3"/>
  <c r="H22" i="3"/>
  <c r="I22" i="3" s="1"/>
  <c r="F22" i="3"/>
  <c r="D22" i="3"/>
  <c r="T21" i="3"/>
  <c r="R21" i="3"/>
  <c r="S21" i="3" s="1"/>
  <c r="P21" i="3"/>
  <c r="Q21" i="3" s="1"/>
  <c r="N21" i="3"/>
  <c r="L21" i="3"/>
  <c r="M21" i="3" s="1"/>
  <c r="J21" i="3"/>
  <c r="H21" i="3"/>
  <c r="I21" i="3" s="1"/>
  <c r="F21" i="3"/>
  <c r="G21" i="3" s="1"/>
  <c r="D21" i="3"/>
  <c r="T20" i="3"/>
  <c r="U20" i="3" s="1"/>
  <c r="R20" i="3"/>
  <c r="S20" i="3" s="1"/>
  <c r="P20" i="3"/>
  <c r="Q20" i="3" s="1"/>
  <c r="O20" i="3"/>
  <c r="N20" i="3"/>
  <c r="L20" i="3"/>
  <c r="M20" i="3" s="1"/>
  <c r="J20" i="3"/>
  <c r="H20" i="3"/>
  <c r="I20" i="3" s="1"/>
  <c r="F20" i="3"/>
  <c r="E20" i="3"/>
  <c r="D20" i="3"/>
  <c r="V20" i="3" s="1"/>
  <c r="T19" i="3"/>
  <c r="U19" i="3" s="1"/>
  <c r="R19" i="3"/>
  <c r="S19" i="3" s="1"/>
  <c r="P19" i="3"/>
  <c r="N19" i="3"/>
  <c r="O19" i="3" s="1"/>
  <c r="L19" i="3"/>
  <c r="M19" i="3" s="1"/>
  <c r="J19" i="3"/>
  <c r="H19" i="3"/>
  <c r="F19" i="3"/>
  <c r="D19" i="3"/>
  <c r="E19" i="3" s="1"/>
  <c r="T18" i="3"/>
  <c r="R18" i="3"/>
  <c r="S18" i="3" s="1"/>
  <c r="P18" i="3"/>
  <c r="N18" i="3"/>
  <c r="M18" i="3"/>
  <c r="L18" i="3"/>
  <c r="J18" i="3"/>
  <c r="H18" i="3"/>
  <c r="I18" i="3" s="1"/>
  <c r="F18" i="3"/>
  <c r="D18" i="3"/>
  <c r="E18" i="3" s="1"/>
  <c r="U17" i="3"/>
  <c r="T17" i="3"/>
  <c r="R17" i="3"/>
  <c r="P17" i="3"/>
  <c r="Q17" i="3" s="1"/>
  <c r="N17" i="3"/>
  <c r="O17" i="3" s="1"/>
  <c r="L17" i="3"/>
  <c r="M17" i="3" s="1"/>
  <c r="K17" i="3"/>
  <c r="J17" i="3"/>
  <c r="H17" i="3"/>
  <c r="I17" i="3" s="1"/>
  <c r="F17" i="3"/>
  <c r="D17" i="3"/>
  <c r="E17" i="3" s="1"/>
  <c r="U16" i="3"/>
  <c r="T16" i="3"/>
  <c r="R16" i="3"/>
  <c r="S16" i="3" s="1"/>
  <c r="P16" i="3"/>
  <c r="Q16" i="3" s="1"/>
  <c r="N16" i="3"/>
  <c r="O16" i="3" s="1"/>
  <c r="L16" i="3"/>
  <c r="M16" i="3" s="1"/>
  <c r="J16" i="3"/>
  <c r="H16" i="3"/>
  <c r="I16" i="3" s="1"/>
  <c r="F16" i="3"/>
  <c r="D16" i="3"/>
  <c r="T15" i="3"/>
  <c r="S15" i="3"/>
  <c r="R15" i="3"/>
  <c r="P15" i="3"/>
  <c r="Q15" i="3" s="1"/>
  <c r="N15" i="3"/>
  <c r="O15" i="3" s="1"/>
  <c r="L15" i="3"/>
  <c r="M15" i="3" s="1"/>
  <c r="J15" i="3"/>
  <c r="H15" i="3"/>
  <c r="I15" i="3" s="1"/>
  <c r="F15" i="3"/>
  <c r="G15" i="3" s="1"/>
  <c r="D15" i="3"/>
  <c r="T14" i="3"/>
  <c r="U14" i="3" s="1"/>
  <c r="R14" i="3"/>
  <c r="S14" i="3" s="1"/>
  <c r="P14" i="3"/>
  <c r="Q14" i="3" s="1"/>
  <c r="O14" i="3"/>
  <c r="N14" i="3"/>
  <c r="L14" i="3"/>
  <c r="M14" i="3" s="1"/>
  <c r="J14" i="3"/>
  <c r="H14" i="3"/>
  <c r="I14" i="3" s="1"/>
  <c r="F14" i="3"/>
  <c r="D14" i="3"/>
  <c r="V14" i="3" s="1"/>
  <c r="T13" i="3"/>
  <c r="U13" i="3" s="1"/>
  <c r="R13" i="3"/>
  <c r="S13" i="3" s="1"/>
  <c r="P13" i="3"/>
  <c r="N13" i="3"/>
  <c r="O13" i="3" s="1"/>
  <c r="L13" i="3"/>
  <c r="M13" i="3" s="1"/>
  <c r="J13" i="3"/>
  <c r="H13" i="3"/>
  <c r="F13" i="3"/>
  <c r="D13" i="3"/>
  <c r="E13" i="3" s="1"/>
  <c r="T12" i="3"/>
  <c r="R12" i="3"/>
  <c r="S12" i="3" s="1"/>
  <c r="P12" i="3"/>
  <c r="N12" i="3"/>
  <c r="L12" i="3"/>
  <c r="M12" i="3" s="1"/>
  <c r="J12" i="3"/>
  <c r="H12" i="3"/>
  <c r="I12" i="3" s="1"/>
  <c r="F12" i="3"/>
  <c r="D12" i="3"/>
  <c r="E12" i="3" s="1"/>
  <c r="U11" i="3"/>
  <c r="T11" i="3"/>
  <c r="R11" i="3"/>
  <c r="S11" i="3" s="1"/>
  <c r="P11" i="3"/>
  <c r="Q11" i="3" s="1"/>
  <c r="N11" i="3"/>
  <c r="O11" i="3" s="1"/>
  <c r="L11" i="3"/>
  <c r="M11" i="3" s="1"/>
  <c r="J11" i="3"/>
  <c r="H11" i="3"/>
  <c r="I11" i="3" s="1"/>
  <c r="F11" i="3"/>
  <c r="D11" i="3"/>
  <c r="E11" i="3" s="1"/>
  <c r="U10" i="3"/>
  <c r="T10" i="3"/>
  <c r="R10" i="3"/>
  <c r="S10" i="3" s="1"/>
  <c r="P10" i="3"/>
  <c r="Q10" i="3" s="1"/>
  <c r="N10" i="3"/>
  <c r="O10" i="3" s="1"/>
  <c r="L10" i="3"/>
  <c r="M10" i="3" s="1"/>
  <c r="J10" i="3"/>
  <c r="I10" i="3"/>
  <c r="H10" i="3"/>
  <c r="F10" i="3"/>
  <c r="D10" i="3"/>
  <c r="T9" i="3"/>
  <c r="R9" i="3"/>
  <c r="S9" i="3" s="1"/>
  <c r="P9" i="3"/>
  <c r="Q9" i="3" s="1"/>
  <c r="N9" i="3"/>
  <c r="O9" i="3" s="1"/>
  <c r="L9" i="3"/>
  <c r="M9" i="3" s="1"/>
  <c r="J9" i="3"/>
  <c r="H9" i="3"/>
  <c r="I9" i="3" s="1"/>
  <c r="F9" i="3"/>
  <c r="G9" i="3" s="1"/>
  <c r="D9" i="3"/>
  <c r="V8" i="3"/>
  <c r="T8" i="3"/>
  <c r="U8" i="3" s="1"/>
  <c r="R8" i="3"/>
  <c r="S8" i="3" s="1"/>
  <c r="P8" i="3"/>
  <c r="Q8" i="3" s="1"/>
  <c r="O8" i="3"/>
  <c r="N8" i="3"/>
  <c r="L8" i="3"/>
  <c r="M8" i="3" s="1"/>
  <c r="J8" i="3"/>
  <c r="H8" i="3"/>
  <c r="I8" i="3" s="1"/>
  <c r="F8" i="3"/>
  <c r="D8" i="3"/>
  <c r="E8" i="3" s="1"/>
  <c r="T7" i="3"/>
  <c r="U7" i="3" s="1"/>
  <c r="R7" i="3"/>
  <c r="S7" i="3" s="1"/>
  <c r="P7" i="3"/>
  <c r="N7" i="3"/>
  <c r="O7" i="3" s="1"/>
  <c r="L7" i="3"/>
  <c r="M7" i="3" s="1"/>
  <c r="J7" i="3"/>
  <c r="H7" i="3"/>
  <c r="F7" i="3"/>
  <c r="D7" i="3"/>
  <c r="E7" i="3" s="1"/>
  <c r="T6" i="3"/>
  <c r="R6" i="3"/>
  <c r="S6" i="3" s="1"/>
  <c r="P6" i="3"/>
  <c r="N6" i="3"/>
  <c r="O6" i="3" s="1"/>
  <c r="L6" i="3"/>
  <c r="M6" i="3" s="1"/>
  <c r="J6" i="3"/>
  <c r="H6" i="3"/>
  <c r="I6" i="3" s="1"/>
  <c r="F6" i="3"/>
  <c r="D6" i="3"/>
  <c r="E6" i="3" s="1"/>
  <c r="T5" i="3"/>
  <c r="U35" i="3" s="1"/>
  <c r="R5" i="3"/>
  <c r="S48" i="3" s="1"/>
  <c r="P5" i="3"/>
  <c r="Q65" i="3" s="1"/>
  <c r="N5" i="3"/>
  <c r="L5" i="3"/>
  <c r="M75" i="3" s="1"/>
  <c r="J5" i="3"/>
  <c r="H5" i="3"/>
  <c r="I72" i="3" s="1"/>
  <c r="F5" i="3"/>
  <c r="G60" i="3" s="1"/>
  <c r="D5" i="3"/>
  <c r="E65" i="3" s="1"/>
  <c r="B85" i="2"/>
  <c r="T77" i="2"/>
  <c r="R77" i="2"/>
  <c r="Q77" i="2"/>
  <c r="P77" i="2"/>
  <c r="O77" i="2"/>
  <c r="N77" i="2"/>
  <c r="M77" i="2"/>
  <c r="L77" i="2"/>
  <c r="J77" i="2"/>
  <c r="H77" i="2"/>
  <c r="F77" i="2"/>
  <c r="D77" i="2"/>
  <c r="U76" i="2"/>
  <c r="T76" i="2"/>
  <c r="R76" i="2"/>
  <c r="P76" i="2"/>
  <c r="Q76" i="2" s="1"/>
  <c r="N76" i="2"/>
  <c r="L76" i="2"/>
  <c r="J76" i="2"/>
  <c r="I76" i="2"/>
  <c r="H76" i="2"/>
  <c r="F76" i="2"/>
  <c r="D76" i="2"/>
  <c r="T75" i="2"/>
  <c r="R75" i="2"/>
  <c r="P75" i="2"/>
  <c r="N75" i="2"/>
  <c r="O75" i="2" s="1"/>
  <c r="L75" i="2"/>
  <c r="M75" i="2" s="1"/>
  <c r="J75" i="2"/>
  <c r="I75" i="2"/>
  <c r="H75" i="2"/>
  <c r="F75" i="2"/>
  <c r="D75" i="2"/>
  <c r="V74" i="2"/>
  <c r="Z74" i="2" s="1"/>
  <c r="U74" i="2"/>
  <c r="T74" i="2"/>
  <c r="R74" i="2"/>
  <c r="Q74" i="2"/>
  <c r="P74" i="2"/>
  <c r="N74" i="2"/>
  <c r="L74" i="2"/>
  <c r="J74" i="2"/>
  <c r="I74" i="2"/>
  <c r="H74" i="2"/>
  <c r="G74" i="2"/>
  <c r="F74" i="2"/>
  <c r="D74" i="2"/>
  <c r="V73" i="2"/>
  <c r="T73" i="2"/>
  <c r="R73" i="2"/>
  <c r="P73" i="2"/>
  <c r="O73" i="2"/>
  <c r="N73" i="2"/>
  <c r="L73" i="2"/>
  <c r="J73" i="2"/>
  <c r="I73" i="2"/>
  <c r="H73" i="2"/>
  <c r="F73" i="2"/>
  <c r="D73" i="2"/>
  <c r="T72" i="2"/>
  <c r="U72" i="2" s="1"/>
  <c r="R72" i="2"/>
  <c r="S72" i="2" s="1"/>
  <c r="P72" i="2"/>
  <c r="O72" i="2"/>
  <c r="N72" i="2"/>
  <c r="L72" i="2"/>
  <c r="J72" i="2"/>
  <c r="H72" i="2"/>
  <c r="F72" i="2"/>
  <c r="E72" i="2"/>
  <c r="D72" i="2"/>
  <c r="T71" i="2"/>
  <c r="R71" i="2"/>
  <c r="P71" i="2"/>
  <c r="N71" i="2"/>
  <c r="L71" i="2"/>
  <c r="J71" i="2"/>
  <c r="H71" i="2"/>
  <c r="F71" i="2"/>
  <c r="E71" i="2"/>
  <c r="D71" i="2"/>
  <c r="V71" i="2" s="1"/>
  <c r="T70" i="2"/>
  <c r="R70" i="2"/>
  <c r="P70" i="2"/>
  <c r="N70" i="2"/>
  <c r="O70" i="2" s="1"/>
  <c r="M70" i="2"/>
  <c r="L70" i="2"/>
  <c r="J70" i="2"/>
  <c r="H70" i="2"/>
  <c r="F70" i="2"/>
  <c r="D70" i="2"/>
  <c r="U69" i="2"/>
  <c r="T69" i="2"/>
  <c r="R69" i="2"/>
  <c r="P69" i="2"/>
  <c r="N69" i="2"/>
  <c r="L69" i="2"/>
  <c r="M69" i="2" s="1"/>
  <c r="J69" i="2"/>
  <c r="I69" i="2"/>
  <c r="H69" i="2"/>
  <c r="G69" i="2"/>
  <c r="F69" i="2"/>
  <c r="D69" i="2"/>
  <c r="T68" i="2"/>
  <c r="R68" i="2"/>
  <c r="P68" i="2"/>
  <c r="N68" i="2"/>
  <c r="L68" i="2"/>
  <c r="M68" i="2" s="1"/>
  <c r="J68" i="2"/>
  <c r="I68" i="2"/>
  <c r="H68" i="2"/>
  <c r="F68" i="2"/>
  <c r="D68" i="2"/>
  <c r="U67" i="2"/>
  <c r="T67" i="2"/>
  <c r="R67" i="2"/>
  <c r="P67" i="2"/>
  <c r="N67" i="2"/>
  <c r="L67" i="2"/>
  <c r="J67" i="2"/>
  <c r="H67" i="2"/>
  <c r="I67" i="2" s="1"/>
  <c r="G67" i="2"/>
  <c r="F67" i="2"/>
  <c r="D67" i="2"/>
  <c r="T66" i="2"/>
  <c r="U66" i="2" s="1"/>
  <c r="R66" i="2"/>
  <c r="P66" i="2"/>
  <c r="N66" i="2"/>
  <c r="M66" i="2"/>
  <c r="L66" i="2"/>
  <c r="J66" i="2"/>
  <c r="K66" i="2" s="1"/>
  <c r="H66" i="2"/>
  <c r="F66" i="2"/>
  <c r="V66" i="2" s="1"/>
  <c r="D66" i="2"/>
  <c r="T65" i="2"/>
  <c r="R65" i="2"/>
  <c r="P65" i="2"/>
  <c r="Q65" i="2" s="1"/>
  <c r="O65" i="2"/>
  <c r="N65" i="2"/>
  <c r="M65" i="2"/>
  <c r="L65" i="2"/>
  <c r="J65" i="2"/>
  <c r="H65" i="2"/>
  <c r="F65" i="2"/>
  <c r="D65" i="2"/>
  <c r="U64" i="2"/>
  <c r="T64" i="2"/>
  <c r="R64" i="2"/>
  <c r="S64" i="2" s="1"/>
  <c r="P64" i="2"/>
  <c r="Q64" i="2" s="1"/>
  <c r="N64" i="2"/>
  <c r="L64" i="2"/>
  <c r="J64" i="2"/>
  <c r="I64" i="2"/>
  <c r="H64" i="2"/>
  <c r="F64" i="2"/>
  <c r="G64" i="2" s="1"/>
  <c r="D64" i="2"/>
  <c r="T63" i="2"/>
  <c r="R63" i="2"/>
  <c r="P63" i="2"/>
  <c r="Q63" i="2" s="1"/>
  <c r="N63" i="2"/>
  <c r="O63" i="2" s="1"/>
  <c r="M63" i="2"/>
  <c r="L63" i="2"/>
  <c r="J63" i="2"/>
  <c r="I63" i="2"/>
  <c r="H63" i="2"/>
  <c r="F63" i="2"/>
  <c r="D63" i="2"/>
  <c r="V62" i="2"/>
  <c r="Z62" i="2" s="1"/>
  <c r="U62" i="2"/>
  <c r="T62" i="2"/>
  <c r="R62" i="2"/>
  <c r="Q62" i="2"/>
  <c r="P62" i="2"/>
  <c r="N62" i="2"/>
  <c r="L62" i="2"/>
  <c r="J62" i="2"/>
  <c r="I62" i="2"/>
  <c r="H62" i="2"/>
  <c r="G62" i="2"/>
  <c r="F62" i="2"/>
  <c r="D62" i="2"/>
  <c r="V61" i="2"/>
  <c r="T61" i="2"/>
  <c r="R61" i="2"/>
  <c r="P61" i="2"/>
  <c r="O61" i="2"/>
  <c r="N61" i="2"/>
  <c r="L61" i="2"/>
  <c r="M61" i="2" s="1"/>
  <c r="J61" i="2"/>
  <c r="I61" i="2"/>
  <c r="H61" i="2"/>
  <c r="F61" i="2"/>
  <c r="D61" i="2"/>
  <c r="T60" i="2"/>
  <c r="U60" i="2" s="1"/>
  <c r="R60" i="2"/>
  <c r="S60" i="2" s="1"/>
  <c r="P60" i="2"/>
  <c r="O60" i="2"/>
  <c r="N60" i="2"/>
  <c r="L60" i="2"/>
  <c r="J60" i="2"/>
  <c r="H60" i="2"/>
  <c r="F60" i="2"/>
  <c r="E60" i="2"/>
  <c r="D60" i="2"/>
  <c r="T59" i="2"/>
  <c r="U59" i="2" s="1"/>
  <c r="R59" i="2"/>
  <c r="P59" i="2"/>
  <c r="N59" i="2"/>
  <c r="L59" i="2"/>
  <c r="J59" i="2"/>
  <c r="H59" i="2"/>
  <c r="I59" i="2" s="1"/>
  <c r="F59" i="2"/>
  <c r="E59" i="2"/>
  <c r="D59" i="2"/>
  <c r="V59" i="2" s="1"/>
  <c r="T58" i="2"/>
  <c r="R58" i="2"/>
  <c r="P58" i="2"/>
  <c r="N58" i="2"/>
  <c r="O58" i="2" s="1"/>
  <c r="M58" i="2"/>
  <c r="L58" i="2"/>
  <c r="J58" i="2"/>
  <c r="H58" i="2"/>
  <c r="F58" i="2"/>
  <c r="D58" i="2"/>
  <c r="U57" i="2"/>
  <c r="T57" i="2"/>
  <c r="R57" i="2"/>
  <c r="P57" i="2"/>
  <c r="N57" i="2"/>
  <c r="L57" i="2"/>
  <c r="M57" i="2" s="1"/>
  <c r="J57" i="2"/>
  <c r="I57" i="2"/>
  <c r="H57" i="2"/>
  <c r="G57" i="2"/>
  <c r="F57" i="2"/>
  <c r="D57" i="2"/>
  <c r="T56" i="2"/>
  <c r="R56" i="2"/>
  <c r="P56" i="2"/>
  <c r="N56" i="2"/>
  <c r="O56" i="2" s="1"/>
  <c r="L56" i="2"/>
  <c r="M56" i="2" s="1"/>
  <c r="J56" i="2"/>
  <c r="I56" i="2"/>
  <c r="H56" i="2"/>
  <c r="F56" i="2"/>
  <c r="D56" i="2"/>
  <c r="U55" i="2"/>
  <c r="T55" i="2"/>
  <c r="R55" i="2"/>
  <c r="P55" i="2"/>
  <c r="N55" i="2"/>
  <c r="L55" i="2"/>
  <c r="M55" i="2" s="1"/>
  <c r="J55" i="2"/>
  <c r="H55" i="2"/>
  <c r="I55" i="2" s="1"/>
  <c r="G55" i="2"/>
  <c r="F55" i="2"/>
  <c r="D55" i="2"/>
  <c r="T54" i="2"/>
  <c r="U54" i="2" s="1"/>
  <c r="R54" i="2"/>
  <c r="P54" i="2"/>
  <c r="N54" i="2"/>
  <c r="M54" i="2"/>
  <c r="L54" i="2"/>
  <c r="J54" i="2"/>
  <c r="K54" i="2" s="1"/>
  <c r="H54" i="2"/>
  <c r="F54" i="2"/>
  <c r="V54" i="2" s="1"/>
  <c r="D54" i="2"/>
  <c r="T53" i="2"/>
  <c r="R53" i="2"/>
  <c r="P53" i="2"/>
  <c r="Q53" i="2" s="1"/>
  <c r="O53" i="2"/>
  <c r="N53" i="2"/>
  <c r="M53" i="2"/>
  <c r="L53" i="2"/>
  <c r="J53" i="2"/>
  <c r="H53" i="2"/>
  <c r="I53" i="2" s="1"/>
  <c r="F53" i="2"/>
  <c r="D53" i="2"/>
  <c r="U52" i="2"/>
  <c r="T52" i="2"/>
  <c r="R52" i="2"/>
  <c r="S52" i="2" s="1"/>
  <c r="P52" i="2"/>
  <c r="Q52" i="2" s="1"/>
  <c r="N52" i="2"/>
  <c r="M52" i="2"/>
  <c r="L52" i="2"/>
  <c r="J52" i="2"/>
  <c r="I52" i="2"/>
  <c r="H52" i="2"/>
  <c r="F52" i="2"/>
  <c r="G52" i="2" s="1"/>
  <c r="D52" i="2"/>
  <c r="T51" i="2"/>
  <c r="R51" i="2"/>
  <c r="P51" i="2"/>
  <c r="Q51" i="2" s="1"/>
  <c r="N51" i="2"/>
  <c r="O51" i="2" s="1"/>
  <c r="L51" i="2"/>
  <c r="M51" i="2" s="1"/>
  <c r="J51" i="2"/>
  <c r="I51" i="2"/>
  <c r="H51" i="2"/>
  <c r="F51" i="2"/>
  <c r="D51" i="2"/>
  <c r="V50" i="2"/>
  <c r="Z50" i="2" s="1"/>
  <c r="U50" i="2"/>
  <c r="T50" i="2"/>
  <c r="R50" i="2"/>
  <c r="P50" i="2"/>
  <c r="N50" i="2"/>
  <c r="L50" i="2"/>
  <c r="M50" i="2" s="1"/>
  <c r="J50" i="2"/>
  <c r="I50" i="2"/>
  <c r="H50" i="2"/>
  <c r="G50" i="2"/>
  <c r="F50" i="2"/>
  <c r="D50" i="2"/>
  <c r="V49" i="2"/>
  <c r="T49" i="2"/>
  <c r="R49" i="2"/>
  <c r="P49" i="2"/>
  <c r="O49" i="2"/>
  <c r="N49" i="2"/>
  <c r="L49" i="2"/>
  <c r="M49" i="2" s="1"/>
  <c r="J49" i="2"/>
  <c r="H49" i="2"/>
  <c r="I49" i="2" s="1"/>
  <c r="F49" i="2"/>
  <c r="D49" i="2"/>
  <c r="T48" i="2"/>
  <c r="U48" i="2" s="1"/>
  <c r="S48" i="2"/>
  <c r="R48" i="2"/>
  <c r="P48" i="2"/>
  <c r="O48" i="2"/>
  <c r="N48" i="2"/>
  <c r="L48" i="2"/>
  <c r="J48" i="2"/>
  <c r="H48" i="2"/>
  <c r="F48" i="2"/>
  <c r="D48" i="2"/>
  <c r="T47" i="2"/>
  <c r="U47" i="2" s="1"/>
  <c r="R47" i="2"/>
  <c r="P47" i="2"/>
  <c r="O47" i="2"/>
  <c r="N47" i="2"/>
  <c r="L47" i="2"/>
  <c r="J47" i="2"/>
  <c r="H47" i="2"/>
  <c r="I47" i="2" s="1"/>
  <c r="F47" i="2"/>
  <c r="D47" i="2"/>
  <c r="V47" i="2" s="1"/>
  <c r="U46" i="2"/>
  <c r="T46" i="2"/>
  <c r="R46" i="2"/>
  <c r="P46" i="2"/>
  <c r="N46" i="2"/>
  <c r="O46" i="2" s="1"/>
  <c r="M46" i="2"/>
  <c r="L46" i="2"/>
  <c r="K46" i="2"/>
  <c r="J46" i="2"/>
  <c r="H46" i="2"/>
  <c r="F46" i="2"/>
  <c r="G46" i="2" s="1"/>
  <c r="D46" i="2"/>
  <c r="U45" i="2"/>
  <c r="T45" i="2"/>
  <c r="R45" i="2"/>
  <c r="P45" i="2"/>
  <c r="N45" i="2"/>
  <c r="L45" i="2"/>
  <c r="M45" i="2" s="1"/>
  <c r="J45" i="2"/>
  <c r="I45" i="2"/>
  <c r="H45" i="2"/>
  <c r="G45" i="2"/>
  <c r="F45" i="2"/>
  <c r="D45" i="2"/>
  <c r="T44" i="2"/>
  <c r="R44" i="2"/>
  <c r="Q44" i="2"/>
  <c r="P44" i="2"/>
  <c r="N44" i="2"/>
  <c r="O44" i="2" s="1"/>
  <c r="L44" i="2"/>
  <c r="M44" i="2" s="1"/>
  <c r="J44" i="2"/>
  <c r="I44" i="2"/>
  <c r="H44" i="2"/>
  <c r="F44" i="2"/>
  <c r="D44" i="2"/>
  <c r="U43" i="2"/>
  <c r="T43" i="2"/>
  <c r="R43" i="2"/>
  <c r="Q43" i="2"/>
  <c r="P43" i="2"/>
  <c r="N43" i="2"/>
  <c r="L43" i="2"/>
  <c r="M43" i="2" s="1"/>
  <c r="J43" i="2"/>
  <c r="H43" i="2"/>
  <c r="I43" i="2" s="1"/>
  <c r="G43" i="2"/>
  <c r="F43" i="2"/>
  <c r="D43" i="2"/>
  <c r="T42" i="2"/>
  <c r="U42" i="2" s="1"/>
  <c r="R42" i="2"/>
  <c r="P42" i="2"/>
  <c r="N42" i="2"/>
  <c r="M42" i="2"/>
  <c r="L42" i="2"/>
  <c r="J42" i="2"/>
  <c r="K42" i="2" s="1"/>
  <c r="H42" i="2"/>
  <c r="F42" i="2"/>
  <c r="G42" i="2" s="1"/>
  <c r="D42" i="2"/>
  <c r="T41" i="2"/>
  <c r="R41" i="2"/>
  <c r="S41" i="2" s="1"/>
  <c r="P41" i="2"/>
  <c r="Q41" i="2" s="1"/>
  <c r="O41" i="2"/>
  <c r="N41" i="2"/>
  <c r="M41" i="2"/>
  <c r="L41" i="2"/>
  <c r="J41" i="2"/>
  <c r="H41" i="2"/>
  <c r="I41" i="2" s="1"/>
  <c r="F41" i="2"/>
  <c r="D41" i="2"/>
  <c r="U40" i="2"/>
  <c r="T40" i="2"/>
  <c r="R40" i="2"/>
  <c r="S40" i="2" s="1"/>
  <c r="P40" i="2"/>
  <c r="N40" i="2"/>
  <c r="M40" i="2"/>
  <c r="L40" i="2"/>
  <c r="J40" i="2"/>
  <c r="I40" i="2"/>
  <c r="H40" i="2"/>
  <c r="F40" i="2"/>
  <c r="G40" i="2" s="1"/>
  <c r="D40" i="2"/>
  <c r="T39" i="2"/>
  <c r="R39" i="2"/>
  <c r="P39" i="2"/>
  <c r="N39" i="2"/>
  <c r="O39" i="2" s="1"/>
  <c r="L39" i="2"/>
  <c r="M39" i="2" s="1"/>
  <c r="J39" i="2"/>
  <c r="I39" i="2"/>
  <c r="H39" i="2"/>
  <c r="F39" i="2"/>
  <c r="D39" i="2"/>
  <c r="V38" i="2"/>
  <c r="Z38" i="2" s="1"/>
  <c r="T38" i="2"/>
  <c r="U38" i="2" s="1"/>
  <c r="R38" i="2"/>
  <c r="P38" i="2"/>
  <c r="N38" i="2"/>
  <c r="L38" i="2"/>
  <c r="M38" i="2" s="1"/>
  <c r="J38" i="2"/>
  <c r="I38" i="2"/>
  <c r="H38" i="2"/>
  <c r="G38" i="2"/>
  <c r="F38" i="2"/>
  <c r="D38" i="2"/>
  <c r="T37" i="2"/>
  <c r="R37" i="2"/>
  <c r="P37" i="2"/>
  <c r="O37" i="2"/>
  <c r="N37" i="2"/>
  <c r="L37" i="2"/>
  <c r="M37" i="2" s="1"/>
  <c r="J37" i="2"/>
  <c r="H37" i="2"/>
  <c r="V37" i="2" s="1"/>
  <c r="F37" i="2"/>
  <c r="D37" i="2"/>
  <c r="T36" i="2"/>
  <c r="U36" i="2" s="1"/>
  <c r="R36" i="2"/>
  <c r="P36" i="2"/>
  <c r="Q36" i="2" s="1"/>
  <c r="N36" i="2"/>
  <c r="M36" i="2"/>
  <c r="L36" i="2"/>
  <c r="J36" i="2"/>
  <c r="H36" i="2"/>
  <c r="I36" i="2" s="1"/>
  <c r="F36" i="2"/>
  <c r="G36" i="2" s="1"/>
  <c r="D36" i="2"/>
  <c r="T35" i="2"/>
  <c r="R35" i="2"/>
  <c r="P35" i="2"/>
  <c r="N35" i="2"/>
  <c r="O35" i="2" s="1"/>
  <c r="M35" i="2"/>
  <c r="L35" i="2"/>
  <c r="J35" i="2"/>
  <c r="K35" i="2" s="1"/>
  <c r="H35" i="2"/>
  <c r="I35" i="2" s="1"/>
  <c r="F35" i="2"/>
  <c r="D35" i="2"/>
  <c r="T34" i="2"/>
  <c r="U34" i="2" s="1"/>
  <c r="R34" i="2"/>
  <c r="S34" i="2" s="1"/>
  <c r="P34" i="2"/>
  <c r="O34" i="2"/>
  <c r="N34" i="2"/>
  <c r="L34" i="2"/>
  <c r="J34" i="2"/>
  <c r="H34" i="2"/>
  <c r="I34" i="2" s="1"/>
  <c r="F34" i="2"/>
  <c r="G34" i="2" s="1"/>
  <c r="D34" i="2"/>
  <c r="V33" i="2"/>
  <c r="Z33" i="2" s="1"/>
  <c r="T33" i="2"/>
  <c r="S33" i="2"/>
  <c r="R33" i="2"/>
  <c r="P33" i="2"/>
  <c r="N33" i="2"/>
  <c r="O33" i="2" s="1"/>
  <c r="M33" i="2"/>
  <c r="L33" i="2"/>
  <c r="J33" i="2"/>
  <c r="I33" i="2"/>
  <c r="H33" i="2"/>
  <c r="F33" i="2"/>
  <c r="D33" i="2"/>
  <c r="V32" i="2"/>
  <c r="U32" i="2"/>
  <c r="T32" i="2"/>
  <c r="R32" i="2"/>
  <c r="P32" i="2"/>
  <c r="Q32" i="2" s="1"/>
  <c r="N32" i="2"/>
  <c r="L32" i="2"/>
  <c r="K32" i="2"/>
  <c r="J32" i="2"/>
  <c r="H32" i="2"/>
  <c r="I32" i="2" s="1"/>
  <c r="G32" i="2"/>
  <c r="F32" i="2"/>
  <c r="D32" i="2"/>
  <c r="T31" i="2"/>
  <c r="R31" i="2"/>
  <c r="P31" i="2"/>
  <c r="O31" i="2"/>
  <c r="N31" i="2"/>
  <c r="L31" i="2"/>
  <c r="M31" i="2" s="1"/>
  <c r="J31" i="2"/>
  <c r="H31" i="2"/>
  <c r="I31" i="2" s="1"/>
  <c r="F31" i="2"/>
  <c r="D31" i="2"/>
  <c r="T30" i="2"/>
  <c r="U30" i="2" s="1"/>
  <c r="S30" i="2"/>
  <c r="R30" i="2"/>
  <c r="P30" i="2"/>
  <c r="Q30" i="2" s="1"/>
  <c r="N30" i="2"/>
  <c r="M30" i="2"/>
  <c r="L30" i="2"/>
  <c r="J30" i="2"/>
  <c r="H30" i="2"/>
  <c r="I30" i="2" s="1"/>
  <c r="G30" i="2"/>
  <c r="F30" i="2"/>
  <c r="V30" i="2" s="1"/>
  <c r="D30" i="2"/>
  <c r="T29" i="2"/>
  <c r="R29" i="2"/>
  <c r="P29" i="2"/>
  <c r="O29" i="2"/>
  <c r="N29" i="2"/>
  <c r="M29" i="2"/>
  <c r="L29" i="2"/>
  <c r="J29" i="2"/>
  <c r="H29" i="2"/>
  <c r="I29" i="2" s="1"/>
  <c r="F29" i="2"/>
  <c r="D29" i="2"/>
  <c r="U28" i="2"/>
  <c r="T28" i="2"/>
  <c r="R28" i="2"/>
  <c r="P28" i="2"/>
  <c r="N28" i="2"/>
  <c r="O28" i="2" s="1"/>
  <c r="L28" i="2"/>
  <c r="J28" i="2"/>
  <c r="H28" i="2"/>
  <c r="I28" i="2" s="1"/>
  <c r="F28" i="2"/>
  <c r="G28" i="2" s="1"/>
  <c r="D28" i="2"/>
  <c r="T27" i="2"/>
  <c r="R27" i="2"/>
  <c r="P27" i="2"/>
  <c r="N27" i="2"/>
  <c r="O27" i="2" s="1"/>
  <c r="M27" i="2"/>
  <c r="L27" i="2"/>
  <c r="J27" i="2"/>
  <c r="K27" i="2" s="1"/>
  <c r="I27" i="2"/>
  <c r="H27" i="2"/>
  <c r="F27" i="2"/>
  <c r="G27" i="2" s="1"/>
  <c r="D27" i="2"/>
  <c r="U26" i="2"/>
  <c r="T26" i="2"/>
  <c r="S26" i="2"/>
  <c r="R26" i="2"/>
  <c r="P26" i="2"/>
  <c r="N26" i="2"/>
  <c r="O26" i="2" s="1"/>
  <c r="L26" i="2"/>
  <c r="M26" i="2" s="1"/>
  <c r="J26" i="2"/>
  <c r="K26" i="2" s="1"/>
  <c r="H26" i="2"/>
  <c r="I26" i="2" s="1"/>
  <c r="F26" i="2"/>
  <c r="D26" i="2"/>
  <c r="T25" i="2"/>
  <c r="U25" i="2" s="1"/>
  <c r="R25" i="2"/>
  <c r="S25" i="2" s="1"/>
  <c r="P25" i="2"/>
  <c r="O25" i="2"/>
  <c r="N25" i="2"/>
  <c r="L25" i="2"/>
  <c r="J25" i="2"/>
  <c r="H25" i="2"/>
  <c r="I25" i="2" s="1"/>
  <c r="F25" i="2"/>
  <c r="V25" i="2" s="1"/>
  <c r="Z25" i="2" s="1"/>
  <c r="D25" i="2"/>
  <c r="T24" i="2"/>
  <c r="R24" i="2"/>
  <c r="P24" i="2"/>
  <c r="O24" i="2"/>
  <c r="N24" i="2"/>
  <c r="M24" i="2"/>
  <c r="L24" i="2"/>
  <c r="J24" i="2"/>
  <c r="K24" i="2" s="1"/>
  <c r="I24" i="2"/>
  <c r="H24" i="2"/>
  <c r="F24" i="2"/>
  <c r="G24" i="2" s="1"/>
  <c r="D24" i="2"/>
  <c r="T23" i="2"/>
  <c r="U23" i="2" s="1"/>
  <c r="R23" i="2"/>
  <c r="Q23" i="2"/>
  <c r="P23" i="2"/>
  <c r="N23" i="2"/>
  <c r="O23" i="2" s="1"/>
  <c r="L23" i="2"/>
  <c r="K23" i="2"/>
  <c r="J23" i="2"/>
  <c r="H23" i="2"/>
  <c r="I23" i="2" s="1"/>
  <c r="G23" i="2"/>
  <c r="F23" i="2"/>
  <c r="D23" i="2"/>
  <c r="V23" i="2" s="1"/>
  <c r="T22" i="2"/>
  <c r="U22" i="2" s="1"/>
  <c r="R22" i="2"/>
  <c r="S22" i="2" s="1"/>
  <c r="P22" i="2"/>
  <c r="Q22" i="2" s="1"/>
  <c r="O22" i="2"/>
  <c r="N22" i="2"/>
  <c r="L22" i="2"/>
  <c r="M22" i="2" s="1"/>
  <c r="J22" i="2"/>
  <c r="I22" i="2"/>
  <c r="H22" i="2"/>
  <c r="F22" i="2"/>
  <c r="D22" i="2"/>
  <c r="V22" i="2" s="1"/>
  <c r="Z22" i="2" s="1"/>
  <c r="U21" i="2"/>
  <c r="T21" i="2"/>
  <c r="R21" i="2"/>
  <c r="P21" i="2"/>
  <c r="N21" i="2"/>
  <c r="O21" i="2" s="1"/>
  <c r="L21" i="2"/>
  <c r="M21" i="2" s="1"/>
  <c r="J21" i="2"/>
  <c r="K21" i="2" s="1"/>
  <c r="I21" i="2"/>
  <c r="H21" i="2"/>
  <c r="F21" i="2"/>
  <c r="G21" i="2" s="1"/>
  <c r="D21" i="2"/>
  <c r="T20" i="2"/>
  <c r="U20" i="2" s="1"/>
  <c r="R20" i="2"/>
  <c r="P20" i="2"/>
  <c r="Q20" i="2" s="1"/>
  <c r="N20" i="2"/>
  <c r="O20" i="2" s="1"/>
  <c r="L20" i="2"/>
  <c r="M20" i="2" s="1"/>
  <c r="J20" i="2"/>
  <c r="K20" i="2" s="1"/>
  <c r="H20" i="2"/>
  <c r="I20" i="2" s="1"/>
  <c r="G20" i="2"/>
  <c r="F20" i="2"/>
  <c r="D20" i="2"/>
  <c r="U19" i="2"/>
  <c r="T19" i="2"/>
  <c r="R19" i="2"/>
  <c r="S19" i="2" s="1"/>
  <c r="Q19" i="2"/>
  <c r="P19" i="2"/>
  <c r="N19" i="2"/>
  <c r="O19" i="2" s="1"/>
  <c r="L19" i="2"/>
  <c r="M19" i="2" s="1"/>
  <c r="J19" i="2"/>
  <c r="K19" i="2" s="1"/>
  <c r="I19" i="2"/>
  <c r="H19" i="2"/>
  <c r="F19" i="2"/>
  <c r="G19" i="2" s="1"/>
  <c r="E19" i="2"/>
  <c r="D19" i="2"/>
  <c r="U18" i="2"/>
  <c r="T18" i="2"/>
  <c r="R18" i="2"/>
  <c r="S18" i="2" s="1"/>
  <c r="P18" i="2"/>
  <c r="O18" i="2"/>
  <c r="N18" i="2"/>
  <c r="L18" i="2"/>
  <c r="M18" i="2" s="1"/>
  <c r="J18" i="2"/>
  <c r="K18" i="2" s="1"/>
  <c r="I18" i="2"/>
  <c r="H18" i="2"/>
  <c r="F18" i="2"/>
  <c r="G18" i="2" s="1"/>
  <c r="D18" i="2"/>
  <c r="U17" i="2"/>
  <c r="T17" i="2"/>
  <c r="R17" i="2"/>
  <c r="Q17" i="2"/>
  <c r="P17" i="2"/>
  <c r="O17" i="2"/>
  <c r="N17" i="2"/>
  <c r="M17" i="2"/>
  <c r="L17" i="2"/>
  <c r="J17" i="2"/>
  <c r="I17" i="2"/>
  <c r="H17" i="2"/>
  <c r="F17" i="2"/>
  <c r="G17" i="2" s="1"/>
  <c r="D17" i="2"/>
  <c r="U16" i="2"/>
  <c r="T16" i="2"/>
  <c r="R16" i="2"/>
  <c r="S16" i="2" s="1"/>
  <c r="P16" i="2"/>
  <c r="Q16" i="2" s="1"/>
  <c r="O16" i="2"/>
  <c r="N16" i="2"/>
  <c r="L16" i="2"/>
  <c r="M16" i="2" s="1"/>
  <c r="J16" i="2"/>
  <c r="I16" i="2"/>
  <c r="H16" i="2"/>
  <c r="F16" i="2"/>
  <c r="G16" i="2" s="1"/>
  <c r="D16" i="2"/>
  <c r="T15" i="2"/>
  <c r="R15" i="2"/>
  <c r="P15" i="2"/>
  <c r="N15" i="2"/>
  <c r="O15" i="2" s="1"/>
  <c r="M15" i="2"/>
  <c r="L15" i="2"/>
  <c r="J15" i="2"/>
  <c r="K15" i="2" s="1"/>
  <c r="I15" i="2"/>
  <c r="H15" i="2"/>
  <c r="G15" i="2"/>
  <c r="F15" i="2"/>
  <c r="D15" i="2"/>
  <c r="T14" i="2"/>
  <c r="U14" i="2" s="1"/>
  <c r="R14" i="2"/>
  <c r="Q14" i="2"/>
  <c r="P14" i="2"/>
  <c r="N14" i="2"/>
  <c r="O14" i="2" s="1"/>
  <c r="L14" i="2"/>
  <c r="M14" i="2" s="1"/>
  <c r="K14" i="2"/>
  <c r="J14" i="2"/>
  <c r="H14" i="2"/>
  <c r="I14" i="2" s="1"/>
  <c r="F14" i="2"/>
  <c r="D14" i="2"/>
  <c r="T13" i="2"/>
  <c r="U13" i="2" s="1"/>
  <c r="R13" i="2"/>
  <c r="S13" i="2" s="1"/>
  <c r="P13" i="2"/>
  <c r="O13" i="2"/>
  <c r="N13" i="2"/>
  <c r="L13" i="2"/>
  <c r="M13" i="2" s="1"/>
  <c r="J13" i="2"/>
  <c r="H13" i="2"/>
  <c r="I13" i="2" s="1"/>
  <c r="F13" i="2"/>
  <c r="D13" i="2"/>
  <c r="T12" i="2"/>
  <c r="U12" i="2" s="1"/>
  <c r="R12" i="2"/>
  <c r="S12" i="2" s="1"/>
  <c r="Q12" i="2"/>
  <c r="P12" i="2"/>
  <c r="N12" i="2"/>
  <c r="M12" i="2"/>
  <c r="L12" i="2"/>
  <c r="J12" i="2"/>
  <c r="K12" i="2" s="1"/>
  <c r="H12" i="2"/>
  <c r="I12" i="2" s="1"/>
  <c r="F12" i="2"/>
  <c r="G12" i="2" s="1"/>
  <c r="E12" i="2"/>
  <c r="D12" i="2"/>
  <c r="T11" i="2"/>
  <c r="R11" i="2"/>
  <c r="P11" i="2"/>
  <c r="N11" i="2"/>
  <c r="V11" i="2" s="1"/>
  <c r="M11" i="2"/>
  <c r="L11" i="2"/>
  <c r="K11" i="2"/>
  <c r="J11" i="2"/>
  <c r="H11" i="2"/>
  <c r="G11" i="2"/>
  <c r="F11" i="2"/>
  <c r="D11" i="2"/>
  <c r="T10" i="2"/>
  <c r="U10" i="2" s="1"/>
  <c r="S10" i="2"/>
  <c r="R10" i="2"/>
  <c r="P10" i="2"/>
  <c r="Q10" i="2" s="1"/>
  <c r="N10" i="2"/>
  <c r="O10" i="2" s="1"/>
  <c r="L10" i="2"/>
  <c r="M10" i="2" s="1"/>
  <c r="J10" i="2"/>
  <c r="H10" i="2"/>
  <c r="I10" i="2" s="1"/>
  <c r="G10" i="2"/>
  <c r="F10" i="2"/>
  <c r="D10" i="2"/>
  <c r="U9" i="2"/>
  <c r="T9" i="2"/>
  <c r="R9" i="2"/>
  <c r="Q9" i="2"/>
  <c r="P9" i="2"/>
  <c r="N9" i="2"/>
  <c r="O9" i="2" s="1"/>
  <c r="L9" i="2"/>
  <c r="M9" i="2" s="1"/>
  <c r="J9" i="2"/>
  <c r="K9" i="2" s="1"/>
  <c r="I9" i="2"/>
  <c r="H9" i="2"/>
  <c r="F9" i="2"/>
  <c r="G9" i="2" s="1"/>
  <c r="E9" i="2"/>
  <c r="D9" i="2"/>
  <c r="U8" i="2"/>
  <c r="T8" i="2"/>
  <c r="R8" i="2"/>
  <c r="P8" i="2"/>
  <c r="Q8" i="2" s="1"/>
  <c r="O8" i="2"/>
  <c r="N8" i="2"/>
  <c r="L8" i="2"/>
  <c r="M8" i="2" s="1"/>
  <c r="J8" i="2"/>
  <c r="K8" i="2" s="1"/>
  <c r="I8" i="2"/>
  <c r="H8" i="2"/>
  <c r="G8" i="2"/>
  <c r="F8" i="2"/>
  <c r="D8" i="2"/>
  <c r="T7" i="2"/>
  <c r="U7" i="2" s="1"/>
  <c r="R7" i="2"/>
  <c r="S7" i="2" s="1"/>
  <c r="P7" i="2"/>
  <c r="Q7" i="2" s="1"/>
  <c r="N7" i="2"/>
  <c r="O7" i="2" s="1"/>
  <c r="M7" i="2"/>
  <c r="L7" i="2"/>
  <c r="J7" i="2"/>
  <c r="K7" i="2" s="1"/>
  <c r="H7" i="2"/>
  <c r="I7" i="2" s="1"/>
  <c r="F7" i="2"/>
  <c r="G7" i="2" s="1"/>
  <c r="D7" i="2"/>
  <c r="V7" i="2" s="1"/>
  <c r="Z6" i="2"/>
  <c r="T6" i="2"/>
  <c r="U6" i="2" s="1"/>
  <c r="R6" i="2"/>
  <c r="S6" i="2" s="1"/>
  <c r="P6" i="2"/>
  <c r="Q6" i="2" s="1"/>
  <c r="O6" i="2"/>
  <c r="N6" i="2"/>
  <c r="L6" i="2"/>
  <c r="M6" i="2" s="1"/>
  <c r="K6" i="2"/>
  <c r="J6" i="2"/>
  <c r="H6" i="2"/>
  <c r="I6" i="2" s="1"/>
  <c r="F6" i="2"/>
  <c r="G6" i="2" s="1"/>
  <c r="D6" i="2"/>
  <c r="V6" i="2" s="1"/>
  <c r="T5" i="2"/>
  <c r="R5" i="2"/>
  <c r="S27" i="2" s="1"/>
  <c r="P5" i="2"/>
  <c r="Q68" i="2" s="1"/>
  <c r="N5" i="2"/>
  <c r="O71" i="2" s="1"/>
  <c r="L5" i="2"/>
  <c r="M73" i="2" s="1"/>
  <c r="J5" i="2"/>
  <c r="H5" i="2"/>
  <c r="F5" i="2"/>
  <c r="G26" i="2" s="1"/>
  <c r="D5" i="2"/>
  <c r="B86" i="1"/>
  <c r="T78" i="1"/>
  <c r="R78" i="1"/>
  <c r="P78" i="1"/>
  <c r="Q78" i="1" s="1"/>
  <c r="N78" i="1"/>
  <c r="L78" i="1"/>
  <c r="J78" i="1"/>
  <c r="H78" i="1"/>
  <c r="I78" i="1" s="1"/>
  <c r="F78" i="1"/>
  <c r="D78" i="1"/>
  <c r="V78" i="1" s="1"/>
  <c r="T77" i="1"/>
  <c r="U77" i="1" s="1"/>
  <c r="S77" i="1"/>
  <c r="R77" i="1"/>
  <c r="P77" i="1"/>
  <c r="N77" i="1"/>
  <c r="O77" i="1" s="1"/>
  <c r="L77" i="1"/>
  <c r="J77" i="1"/>
  <c r="H77" i="1"/>
  <c r="I77" i="1" s="1"/>
  <c r="F77" i="1"/>
  <c r="G77" i="1" s="1"/>
  <c r="D77" i="1"/>
  <c r="T76" i="1"/>
  <c r="R76" i="1"/>
  <c r="P76" i="1"/>
  <c r="Q76" i="1" s="1"/>
  <c r="O76" i="1"/>
  <c r="N76" i="1"/>
  <c r="L76" i="1"/>
  <c r="M76" i="1" s="1"/>
  <c r="J76" i="1"/>
  <c r="H76" i="1"/>
  <c r="F76" i="1"/>
  <c r="D76" i="1"/>
  <c r="V75" i="1"/>
  <c r="Z75" i="1" s="1"/>
  <c r="T75" i="1"/>
  <c r="U75" i="1" s="1"/>
  <c r="S75" i="1"/>
  <c r="R75" i="1"/>
  <c r="P75" i="1"/>
  <c r="N75" i="1"/>
  <c r="O75" i="1" s="1"/>
  <c r="L75" i="1"/>
  <c r="J75" i="1"/>
  <c r="H75" i="1"/>
  <c r="G75" i="1"/>
  <c r="F75" i="1"/>
  <c r="D75" i="1"/>
  <c r="U74" i="1"/>
  <c r="T74" i="1"/>
  <c r="R74" i="1"/>
  <c r="P74" i="1"/>
  <c r="N74" i="1"/>
  <c r="M74" i="1"/>
  <c r="L74" i="1"/>
  <c r="K74" i="1"/>
  <c r="J74" i="1"/>
  <c r="H74" i="1"/>
  <c r="F74" i="1"/>
  <c r="D74" i="1"/>
  <c r="U73" i="1"/>
  <c r="T73" i="1"/>
  <c r="R73" i="1"/>
  <c r="S73" i="1" s="1"/>
  <c r="P73" i="1"/>
  <c r="N73" i="1"/>
  <c r="L73" i="1"/>
  <c r="J73" i="1"/>
  <c r="K73" i="1" s="1"/>
  <c r="H73" i="1"/>
  <c r="G73" i="1"/>
  <c r="F73" i="1"/>
  <c r="V73" i="1" s="1"/>
  <c r="D73" i="1"/>
  <c r="T72" i="1"/>
  <c r="U72" i="1" s="1"/>
  <c r="R72" i="1"/>
  <c r="P72" i="1"/>
  <c r="N72" i="1"/>
  <c r="M72" i="1"/>
  <c r="L72" i="1"/>
  <c r="J72" i="1"/>
  <c r="K72" i="1" s="1"/>
  <c r="I72" i="1"/>
  <c r="H72" i="1"/>
  <c r="F72" i="1"/>
  <c r="D72" i="1"/>
  <c r="V72" i="1" s="1"/>
  <c r="T71" i="1"/>
  <c r="R71" i="1"/>
  <c r="S71" i="1" s="1"/>
  <c r="P71" i="1"/>
  <c r="O71" i="1"/>
  <c r="N71" i="1"/>
  <c r="L71" i="1"/>
  <c r="J71" i="1"/>
  <c r="H71" i="1"/>
  <c r="F71" i="1"/>
  <c r="D71" i="1"/>
  <c r="V71" i="1" s="1"/>
  <c r="Z71" i="1" s="1"/>
  <c r="U70" i="1"/>
  <c r="T70" i="1"/>
  <c r="R70" i="1"/>
  <c r="P70" i="1"/>
  <c r="N70" i="1"/>
  <c r="L70" i="1"/>
  <c r="M70" i="1" s="1"/>
  <c r="J70" i="1"/>
  <c r="K70" i="1" s="1"/>
  <c r="I70" i="1"/>
  <c r="H70" i="1"/>
  <c r="F70" i="1"/>
  <c r="G70" i="1" s="1"/>
  <c r="D70" i="1"/>
  <c r="T69" i="1"/>
  <c r="R69" i="1"/>
  <c r="P69" i="1"/>
  <c r="Q69" i="1" s="1"/>
  <c r="N69" i="1"/>
  <c r="O69" i="1" s="1"/>
  <c r="M69" i="1"/>
  <c r="L69" i="1"/>
  <c r="J69" i="1"/>
  <c r="K69" i="1" s="1"/>
  <c r="H69" i="1"/>
  <c r="F69" i="1"/>
  <c r="D69" i="1"/>
  <c r="T68" i="1"/>
  <c r="U68" i="1" s="1"/>
  <c r="R68" i="1"/>
  <c r="P68" i="1"/>
  <c r="N68" i="1"/>
  <c r="L68" i="1"/>
  <c r="M68" i="1" s="1"/>
  <c r="J68" i="1"/>
  <c r="K68" i="1" s="1"/>
  <c r="I68" i="1"/>
  <c r="H68" i="1"/>
  <c r="F68" i="1"/>
  <c r="G68" i="1" s="1"/>
  <c r="D68" i="1"/>
  <c r="T67" i="1"/>
  <c r="U67" i="1" s="1"/>
  <c r="R67" i="1"/>
  <c r="S67" i="1" s="1"/>
  <c r="P67" i="1"/>
  <c r="Q67" i="1" s="1"/>
  <c r="O67" i="1"/>
  <c r="N67" i="1"/>
  <c r="L67" i="1"/>
  <c r="M67" i="1" s="1"/>
  <c r="J67" i="1"/>
  <c r="K67" i="1" s="1"/>
  <c r="I67" i="1"/>
  <c r="H67" i="1"/>
  <c r="F67" i="1"/>
  <c r="V67" i="1" s="1"/>
  <c r="D67" i="1"/>
  <c r="T66" i="1"/>
  <c r="U66" i="1" s="1"/>
  <c r="S66" i="1"/>
  <c r="R66" i="1"/>
  <c r="P66" i="1"/>
  <c r="Q66" i="1" s="1"/>
  <c r="N66" i="1"/>
  <c r="L66" i="1"/>
  <c r="J66" i="1"/>
  <c r="H66" i="1"/>
  <c r="I66" i="1" s="1"/>
  <c r="F66" i="1"/>
  <c r="G66" i="1" s="1"/>
  <c r="D66" i="1"/>
  <c r="T65" i="1"/>
  <c r="U65" i="1" s="1"/>
  <c r="R65" i="1"/>
  <c r="P65" i="1"/>
  <c r="N65" i="1"/>
  <c r="O65" i="1" s="1"/>
  <c r="L65" i="1"/>
  <c r="M65" i="1" s="1"/>
  <c r="K65" i="1"/>
  <c r="J65" i="1"/>
  <c r="H65" i="1"/>
  <c r="F65" i="1"/>
  <c r="G65" i="1" s="1"/>
  <c r="D65" i="1"/>
  <c r="U64" i="1"/>
  <c r="T64" i="1"/>
  <c r="R64" i="1"/>
  <c r="S64" i="1" s="1"/>
  <c r="P64" i="1"/>
  <c r="Q64" i="1" s="1"/>
  <c r="N64" i="1"/>
  <c r="O64" i="1" s="1"/>
  <c r="M64" i="1"/>
  <c r="L64" i="1"/>
  <c r="J64" i="1"/>
  <c r="H64" i="1"/>
  <c r="F64" i="1"/>
  <c r="D64" i="1"/>
  <c r="T63" i="1"/>
  <c r="U63" i="1" s="1"/>
  <c r="R63" i="1"/>
  <c r="P63" i="1"/>
  <c r="N63" i="1"/>
  <c r="O63" i="1" s="1"/>
  <c r="M63" i="1"/>
  <c r="L63" i="1"/>
  <c r="J63" i="1"/>
  <c r="K63" i="1" s="1"/>
  <c r="H63" i="1"/>
  <c r="F63" i="1"/>
  <c r="D63" i="1"/>
  <c r="U62" i="1"/>
  <c r="T62" i="1"/>
  <c r="R62" i="1"/>
  <c r="S62" i="1" s="1"/>
  <c r="Q62" i="1"/>
  <c r="P62" i="1"/>
  <c r="N62" i="1"/>
  <c r="M62" i="1"/>
  <c r="L62" i="1"/>
  <c r="J62" i="1"/>
  <c r="K62" i="1" s="1"/>
  <c r="H62" i="1"/>
  <c r="I62" i="1" s="1"/>
  <c r="F62" i="1"/>
  <c r="G62" i="1" s="1"/>
  <c r="D62" i="1"/>
  <c r="U61" i="1"/>
  <c r="T61" i="1"/>
  <c r="R61" i="1"/>
  <c r="S61" i="1" s="1"/>
  <c r="P61" i="1"/>
  <c r="N61" i="1"/>
  <c r="L61" i="1"/>
  <c r="M61" i="1" s="1"/>
  <c r="J61" i="1"/>
  <c r="K61" i="1" s="1"/>
  <c r="H61" i="1"/>
  <c r="I61" i="1" s="1"/>
  <c r="F61" i="1"/>
  <c r="D61" i="1"/>
  <c r="T60" i="1"/>
  <c r="U60" i="1" s="1"/>
  <c r="R60" i="1"/>
  <c r="S60" i="1" s="1"/>
  <c r="Q60" i="1"/>
  <c r="P60" i="1"/>
  <c r="N60" i="1"/>
  <c r="M60" i="1"/>
  <c r="L60" i="1"/>
  <c r="J60" i="1"/>
  <c r="H60" i="1"/>
  <c r="F60" i="1"/>
  <c r="G60" i="1" s="1"/>
  <c r="D60" i="1"/>
  <c r="V60" i="1" s="1"/>
  <c r="T59" i="1"/>
  <c r="S59" i="1"/>
  <c r="R59" i="1"/>
  <c r="P59" i="1"/>
  <c r="Q59" i="1" s="1"/>
  <c r="N59" i="1"/>
  <c r="O59" i="1" s="1"/>
  <c r="L59" i="1"/>
  <c r="M59" i="1" s="1"/>
  <c r="K59" i="1"/>
  <c r="J59" i="1"/>
  <c r="H59" i="1"/>
  <c r="I59" i="1" s="1"/>
  <c r="F59" i="1"/>
  <c r="G59" i="1" s="1"/>
  <c r="D59" i="1"/>
  <c r="U58" i="1"/>
  <c r="T58" i="1"/>
  <c r="R58" i="1"/>
  <c r="S58" i="1" s="1"/>
  <c r="P58" i="1"/>
  <c r="Q58" i="1" s="1"/>
  <c r="N58" i="1"/>
  <c r="O58" i="1" s="1"/>
  <c r="M58" i="1"/>
  <c r="L58" i="1"/>
  <c r="J58" i="1"/>
  <c r="H58" i="1"/>
  <c r="F58" i="1"/>
  <c r="D58" i="1"/>
  <c r="V58" i="1" s="1"/>
  <c r="T57" i="1"/>
  <c r="U57" i="1" s="1"/>
  <c r="R57" i="1"/>
  <c r="P57" i="1"/>
  <c r="N57" i="1"/>
  <c r="O57" i="1" s="1"/>
  <c r="M57" i="1"/>
  <c r="L57" i="1"/>
  <c r="J57" i="1"/>
  <c r="K57" i="1" s="1"/>
  <c r="H57" i="1"/>
  <c r="F57" i="1"/>
  <c r="G57" i="1" s="1"/>
  <c r="D57" i="1"/>
  <c r="U56" i="1"/>
  <c r="T56" i="1"/>
  <c r="R56" i="1"/>
  <c r="S56" i="1" s="1"/>
  <c r="Q56" i="1"/>
  <c r="P56" i="1"/>
  <c r="N56" i="1"/>
  <c r="M56" i="1"/>
  <c r="L56" i="1"/>
  <c r="J56" i="1"/>
  <c r="K56" i="1" s="1"/>
  <c r="H56" i="1"/>
  <c r="I56" i="1" s="1"/>
  <c r="F56" i="1"/>
  <c r="G56" i="1" s="1"/>
  <c r="D56" i="1"/>
  <c r="V56" i="1" s="1"/>
  <c r="U55" i="1"/>
  <c r="T55" i="1"/>
  <c r="R55" i="1"/>
  <c r="S55" i="1" s="1"/>
  <c r="P55" i="1"/>
  <c r="N55" i="1"/>
  <c r="O55" i="1" s="1"/>
  <c r="L55" i="1"/>
  <c r="M55" i="1" s="1"/>
  <c r="J55" i="1"/>
  <c r="K55" i="1" s="1"/>
  <c r="H55" i="1"/>
  <c r="I55" i="1" s="1"/>
  <c r="F55" i="1"/>
  <c r="D55" i="1"/>
  <c r="U54" i="1"/>
  <c r="T54" i="1"/>
  <c r="R54" i="1"/>
  <c r="S54" i="1" s="1"/>
  <c r="P54" i="1"/>
  <c r="Q54" i="1" s="1"/>
  <c r="N54" i="1"/>
  <c r="O54" i="1" s="1"/>
  <c r="L54" i="1"/>
  <c r="J54" i="1"/>
  <c r="H54" i="1"/>
  <c r="I54" i="1" s="1"/>
  <c r="G54" i="1"/>
  <c r="F54" i="1"/>
  <c r="D54" i="1"/>
  <c r="V54" i="1" s="1"/>
  <c r="T53" i="1"/>
  <c r="R53" i="1"/>
  <c r="S53" i="1" s="1"/>
  <c r="P53" i="1"/>
  <c r="Q53" i="1" s="1"/>
  <c r="O53" i="1"/>
  <c r="N53" i="1"/>
  <c r="L53" i="1"/>
  <c r="M53" i="1" s="1"/>
  <c r="K53" i="1"/>
  <c r="J53" i="1"/>
  <c r="H53" i="1"/>
  <c r="F53" i="1"/>
  <c r="D53" i="1"/>
  <c r="E53" i="1" s="1"/>
  <c r="T52" i="1"/>
  <c r="U52" i="1" s="1"/>
  <c r="R52" i="1"/>
  <c r="S52" i="1" s="1"/>
  <c r="P52" i="1"/>
  <c r="Q52" i="1" s="1"/>
  <c r="O52" i="1"/>
  <c r="N52" i="1"/>
  <c r="L52" i="1"/>
  <c r="M52" i="1" s="1"/>
  <c r="J52" i="1"/>
  <c r="H52" i="1"/>
  <c r="I52" i="1" s="1"/>
  <c r="F52" i="1"/>
  <c r="D52" i="1"/>
  <c r="E52" i="1" s="1"/>
  <c r="T51" i="1"/>
  <c r="R51" i="1"/>
  <c r="P51" i="1"/>
  <c r="O51" i="1"/>
  <c r="N51" i="1"/>
  <c r="L51" i="1"/>
  <c r="M51" i="1" s="1"/>
  <c r="J51" i="1"/>
  <c r="K51" i="1" s="1"/>
  <c r="H51" i="1"/>
  <c r="I51" i="1" s="1"/>
  <c r="F51" i="1"/>
  <c r="D51" i="1"/>
  <c r="T50" i="1"/>
  <c r="U50" i="1" s="1"/>
  <c r="R50" i="1"/>
  <c r="P50" i="1"/>
  <c r="Q50" i="1" s="1"/>
  <c r="N50" i="1"/>
  <c r="L50" i="1"/>
  <c r="M50" i="1" s="1"/>
  <c r="J50" i="1"/>
  <c r="K50" i="1" s="1"/>
  <c r="I50" i="1"/>
  <c r="H50" i="1"/>
  <c r="F50" i="1"/>
  <c r="V50" i="1" s="1"/>
  <c r="D50" i="1"/>
  <c r="E50" i="1" s="1"/>
  <c r="T49" i="1"/>
  <c r="U49" i="1" s="1"/>
  <c r="S49" i="1"/>
  <c r="R49" i="1"/>
  <c r="P49" i="1"/>
  <c r="Q49" i="1" s="1"/>
  <c r="N49" i="1"/>
  <c r="O49" i="1" s="1"/>
  <c r="M49" i="1"/>
  <c r="L49" i="1"/>
  <c r="J49" i="1"/>
  <c r="K49" i="1" s="1"/>
  <c r="H49" i="1"/>
  <c r="I49" i="1" s="1"/>
  <c r="G49" i="1"/>
  <c r="F49" i="1"/>
  <c r="D49" i="1"/>
  <c r="V49" i="1" s="1"/>
  <c r="T48" i="1"/>
  <c r="U48" i="1" s="1"/>
  <c r="R48" i="1"/>
  <c r="S48" i="1" s="1"/>
  <c r="Q48" i="1"/>
  <c r="P48" i="1"/>
  <c r="N48" i="1"/>
  <c r="O48" i="1" s="1"/>
  <c r="L48" i="1"/>
  <c r="M48" i="1" s="1"/>
  <c r="K48" i="1"/>
  <c r="J48" i="1"/>
  <c r="H48" i="1"/>
  <c r="I48" i="1" s="1"/>
  <c r="F48" i="1"/>
  <c r="G48" i="1" s="1"/>
  <c r="D48" i="1"/>
  <c r="V48" i="1" s="1"/>
  <c r="U47" i="1"/>
  <c r="T47" i="1"/>
  <c r="R47" i="1"/>
  <c r="S47" i="1" s="1"/>
  <c r="P47" i="1"/>
  <c r="Q47" i="1" s="1"/>
  <c r="O47" i="1"/>
  <c r="N47" i="1"/>
  <c r="L47" i="1"/>
  <c r="M47" i="1" s="1"/>
  <c r="J47" i="1"/>
  <c r="K47" i="1" s="1"/>
  <c r="I47" i="1"/>
  <c r="H47" i="1"/>
  <c r="F47" i="1"/>
  <c r="G47" i="1" s="1"/>
  <c r="D47" i="1"/>
  <c r="V47" i="1" s="1"/>
  <c r="T46" i="1"/>
  <c r="U46" i="1" s="1"/>
  <c r="S46" i="1"/>
  <c r="R46" i="1"/>
  <c r="P46" i="1"/>
  <c r="Q46" i="1" s="1"/>
  <c r="N46" i="1"/>
  <c r="O46" i="1" s="1"/>
  <c r="M46" i="1"/>
  <c r="L46" i="1"/>
  <c r="J46" i="1"/>
  <c r="K46" i="1" s="1"/>
  <c r="H46" i="1"/>
  <c r="I46" i="1" s="1"/>
  <c r="F46" i="1"/>
  <c r="D46" i="1"/>
  <c r="E46" i="1" s="1"/>
  <c r="T45" i="1"/>
  <c r="U45" i="1" s="1"/>
  <c r="R45" i="1"/>
  <c r="S45" i="1" s="1"/>
  <c r="P45" i="1"/>
  <c r="N45" i="1"/>
  <c r="O45" i="1" s="1"/>
  <c r="L45" i="1"/>
  <c r="M45" i="1" s="1"/>
  <c r="K45" i="1"/>
  <c r="J45" i="1"/>
  <c r="H45" i="1"/>
  <c r="V45" i="1" s="1"/>
  <c r="F45" i="1"/>
  <c r="G45" i="1" s="1"/>
  <c r="D45" i="1"/>
  <c r="U44" i="1"/>
  <c r="T44" i="1"/>
  <c r="R44" i="1"/>
  <c r="S44" i="1" s="1"/>
  <c r="P44" i="1"/>
  <c r="Q44" i="1" s="1"/>
  <c r="O44" i="1"/>
  <c r="N44" i="1"/>
  <c r="L44" i="1"/>
  <c r="M44" i="1" s="1"/>
  <c r="J44" i="1"/>
  <c r="K44" i="1" s="1"/>
  <c r="I44" i="1"/>
  <c r="H44" i="1"/>
  <c r="F44" i="1"/>
  <c r="V44" i="1" s="1"/>
  <c r="D44" i="1"/>
  <c r="E44" i="1" s="1"/>
  <c r="T43" i="1"/>
  <c r="U43" i="1" s="1"/>
  <c r="S43" i="1"/>
  <c r="R43" i="1"/>
  <c r="P43" i="1"/>
  <c r="Q43" i="1" s="1"/>
  <c r="N43" i="1"/>
  <c r="O43" i="1" s="1"/>
  <c r="M43" i="1"/>
  <c r="L43" i="1"/>
  <c r="J43" i="1"/>
  <c r="K43" i="1" s="1"/>
  <c r="H43" i="1"/>
  <c r="I43" i="1" s="1"/>
  <c r="G43" i="1"/>
  <c r="F43" i="1"/>
  <c r="D43" i="1"/>
  <c r="V43" i="1" s="1"/>
  <c r="T42" i="1"/>
  <c r="U42" i="1" s="1"/>
  <c r="R42" i="1"/>
  <c r="S42" i="1" s="1"/>
  <c r="Q42" i="1"/>
  <c r="P42" i="1"/>
  <c r="N42" i="1"/>
  <c r="O42" i="1" s="1"/>
  <c r="L42" i="1"/>
  <c r="M42" i="1" s="1"/>
  <c r="K42" i="1"/>
  <c r="J42" i="1"/>
  <c r="H42" i="1"/>
  <c r="I42" i="1" s="1"/>
  <c r="F42" i="1"/>
  <c r="G42" i="1" s="1"/>
  <c r="D42" i="1"/>
  <c r="V42" i="1" s="1"/>
  <c r="U41" i="1"/>
  <c r="T41" i="1"/>
  <c r="R41" i="1"/>
  <c r="S41" i="1" s="1"/>
  <c r="P41" i="1"/>
  <c r="Q41" i="1" s="1"/>
  <c r="O41" i="1"/>
  <c r="N41" i="1"/>
  <c r="L41" i="1"/>
  <c r="M41" i="1" s="1"/>
  <c r="J41" i="1"/>
  <c r="K41" i="1" s="1"/>
  <c r="I41" i="1"/>
  <c r="H41" i="1"/>
  <c r="F41" i="1"/>
  <c r="G41" i="1" s="1"/>
  <c r="D41" i="1"/>
  <c r="V41" i="1" s="1"/>
  <c r="T40" i="1"/>
  <c r="U40" i="1" s="1"/>
  <c r="S40" i="1"/>
  <c r="R40" i="1"/>
  <c r="P40" i="1"/>
  <c r="Q40" i="1" s="1"/>
  <c r="N40" i="1"/>
  <c r="O40" i="1" s="1"/>
  <c r="M40" i="1"/>
  <c r="L40" i="1"/>
  <c r="J40" i="1"/>
  <c r="K40" i="1" s="1"/>
  <c r="H40" i="1"/>
  <c r="I40" i="1" s="1"/>
  <c r="F40" i="1"/>
  <c r="D40" i="1"/>
  <c r="E40" i="1" s="1"/>
  <c r="T39" i="1"/>
  <c r="U39" i="1" s="1"/>
  <c r="R39" i="1"/>
  <c r="S39" i="1" s="1"/>
  <c r="P39" i="1"/>
  <c r="N39" i="1"/>
  <c r="O39" i="1" s="1"/>
  <c r="L39" i="1"/>
  <c r="M39" i="1" s="1"/>
  <c r="K39" i="1"/>
  <c r="J39" i="1"/>
  <c r="H39" i="1"/>
  <c r="V39" i="1" s="1"/>
  <c r="F39" i="1"/>
  <c r="G39" i="1" s="1"/>
  <c r="D39" i="1"/>
  <c r="U38" i="1"/>
  <c r="T38" i="1"/>
  <c r="R38" i="1"/>
  <c r="S38" i="1" s="1"/>
  <c r="P38" i="1"/>
  <c r="Q38" i="1" s="1"/>
  <c r="O38" i="1"/>
  <c r="N38" i="1"/>
  <c r="L38" i="1"/>
  <c r="M38" i="1" s="1"/>
  <c r="J38" i="1"/>
  <c r="K38" i="1" s="1"/>
  <c r="I38" i="1"/>
  <c r="H38" i="1"/>
  <c r="F38" i="1"/>
  <c r="V38" i="1" s="1"/>
  <c r="D38" i="1"/>
  <c r="E38" i="1" s="1"/>
  <c r="T37" i="1"/>
  <c r="U37" i="1" s="1"/>
  <c r="S37" i="1"/>
  <c r="R37" i="1"/>
  <c r="P37" i="1"/>
  <c r="Q37" i="1" s="1"/>
  <c r="N37" i="1"/>
  <c r="O37" i="1" s="1"/>
  <c r="M37" i="1"/>
  <c r="L37" i="1"/>
  <c r="J37" i="1"/>
  <c r="K37" i="1" s="1"/>
  <c r="H37" i="1"/>
  <c r="I37" i="1" s="1"/>
  <c r="G37" i="1"/>
  <c r="F37" i="1"/>
  <c r="D37" i="1"/>
  <c r="V37" i="1" s="1"/>
  <c r="T36" i="1"/>
  <c r="U36" i="1" s="1"/>
  <c r="R36" i="1"/>
  <c r="S36" i="1" s="1"/>
  <c r="Q36" i="1"/>
  <c r="P36" i="1"/>
  <c r="N36" i="1"/>
  <c r="O36" i="1" s="1"/>
  <c r="L36" i="1"/>
  <c r="M36" i="1" s="1"/>
  <c r="K36" i="1"/>
  <c r="J36" i="1"/>
  <c r="H36" i="1"/>
  <c r="I36" i="1" s="1"/>
  <c r="F36" i="1"/>
  <c r="G36" i="1" s="1"/>
  <c r="D36" i="1"/>
  <c r="V36" i="1" s="1"/>
  <c r="U35" i="1"/>
  <c r="T35" i="1"/>
  <c r="R35" i="1"/>
  <c r="S35" i="1" s="1"/>
  <c r="P35" i="1"/>
  <c r="Q35" i="1" s="1"/>
  <c r="O35" i="1"/>
  <c r="N35" i="1"/>
  <c r="L35" i="1"/>
  <c r="M35" i="1" s="1"/>
  <c r="J35" i="1"/>
  <c r="K35" i="1" s="1"/>
  <c r="I35" i="1"/>
  <c r="H35" i="1"/>
  <c r="F35" i="1"/>
  <c r="G35" i="1" s="1"/>
  <c r="D35" i="1"/>
  <c r="V35" i="1" s="1"/>
  <c r="T34" i="1"/>
  <c r="U34" i="1" s="1"/>
  <c r="S34" i="1"/>
  <c r="R34" i="1"/>
  <c r="P34" i="1"/>
  <c r="Q34" i="1" s="1"/>
  <c r="N34" i="1"/>
  <c r="O34" i="1" s="1"/>
  <c r="M34" i="1"/>
  <c r="L34" i="1"/>
  <c r="J34" i="1"/>
  <c r="K34" i="1" s="1"/>
  <c r="H34" i="1"/>
  <c r="I34" i="1" s="1"/>
  <c r="F34" i="1"/>
  <c r="D34" i="1"/>
  <c r="E34" i="1" s="1"/>
  <c r="T33" i="1"/>
  <c r="U33" i="1" s="1"/>
  <c r="R33" i="1"/>
  <c r="S33" i="1" s="1"/>
  <c r="P33" i="1"/>
  <c r="N33" i="1"/>
  <c r="O33" i="1" s="1"/>
  <c r="L33" i="1"/>
  <c r="M33" i="1" s="1"/>
  <c r="K33" i="1"/>
  <c r="J33" i="1"/>
  <c r="H33" i="1"/>
  <c r="V33" i="1" s="1"/>
  <c r="F33" i="1"/>
  <c r="G33" i="1" s="1"/>
  <c r="D33" i="1"/>
  <c r="U32" i="1"/>
  <c r="T32" i="1"/>
  <c r="R32" i="1"/>
  <c r="S32" i="1" s="1"/>
  <c r="P32" i="1"/>
  <c r="Q32" i="1" s="1"/>
  <c r="O32" i="1"/>
  <c r="N32" i="1"/>
  <c r="L32" i="1"/>
  <c r="M32" i="1" s="1"/>
  <c r="J32" i="1"/>
  <c r="K32" i="1" s="1"/>
  <c r="I32" i="1"/>
  <c r="H32" i="1"/>
  <c r="F32" i="1"/>
  <c r="V32" i="1" s="1"/>
  <c r="D32" i="1"/>
  <c r="E32" i="1" s="1"/>
  <c r="T31" i="1"/>
  <c r="U31" i="1" s="1"/>
  <c r="S31" i="1"/>
  <c r="R31" i="1"/>
  <c r="P31" i="1"/>
  <c r="Q31" i="1" s="1"/>
  <c r="N31" i="1"/>
  <c r="O31" i="1" s="1"/>
  <c r="M31" i="1"/>
  <c r="L31" i="1"/>
  <c r="J31" i="1"/>
  <c r="K31" i="1" s="1"/>
  <c r="H31" i="1"/>
  <c r="I31" i="1" s="1"/>
  <c r="G31" i="1"/>
  <c r="F31" i="1"/>
  <c r="D31" i="1"/>
  <c r="V31" i="1" s="1"/>
  <c r="T30" i="1"/>
  <c r="U30" i="1" s="1"/>
  <c r="R30" i="1"/>
  <c r="S30" i="1" s="1"/>
  <c r="Q30" i="1"/>
  <c r="P30" i="1"/>
  <c r="N30" i="1"/>
  <c r="O30" i="1" s="1"/>
  <c r="L30" i="1"/>
  <c r="M30" i="1" s="1"/>
  <c r="K30" i="1"/>
  <c r="J30" i="1"/>
  <c r="H30" i="1"/>
  <c r="I30" i="1" s="1"/>
  <c r="F30" i="1"/>
  <c r="G30" i="1" s="1"/>
  <c r="D30" i="1"/>
  <c r="V30" i="1" s="1"/>
  <c r="U29" i="1"/>
  <c r="T29" i="1"/>
  <c r="R29" i="1"/>
  <c r="S29" i="1" s="1"/>
  <c r="P29" i="1"/>
  <c r="Q29" i="1" s="1"/>
  <c r="O29" i="1"/>
  <c r="N29" i="1"/>
  <c r="L29" i="1"/>
  <c r="M29" i="1" s="1"/>
  <c r="J29" i="1"/>
  <c r="K29" i="1" s="1"/>
  <c r="I29" i="1"/>
  <c r="H29" i="1"/>
  <c r="F29" i="1"/>
  <c r="G29" i="1" s="1"/>
  <c r="D29" i="1"/>
  <c r="V29" i="1" s="1"/>
  <c r="T28" i="1"/>
  <c r="U28" i="1" s="1"/>
  <c r="S28" i="1"/>
  <c r="R28" i="1"/>
  <c r="P28" i="1"/>
  <c r="Q28" i="1" s="1"/>
  <c r="N28" i="1"/>
  <c r="O28" i="1" s="1"/>
  <c r="M28" i="1"/>
  <c r="L28" i="1"/>
  <c r="J28" i="1"/>
  <c r="K28" i="1" s="1"/>
  <c r="H28" i="1"/>
  <c r="I28" i="1" s="1"/>
  <c r="F28" i="1"/>
  <c r="D28" i="1"/>
  <c r="E28" i="1" s="1"/>
  <c r="T27" i="1"/>
  <c r="U27" i="1" s="1"/>
  <c r="R27" i="1"/>
  <c r="S27" i="1" s="1"/>
  <c r="P27" i="1"/>
  <c r="N27" i="1"/>
  <c r="O27" i="1" s="1"/>
  <c r="L27" i="1"/>
  <c r="M27" i="1" s="1"/>
  <c r="K27" i="1"/>
  <c r="J27" i="1"/>
  <c r="H27" i="1"/>
  <c r="V27" i="1" s="1"/>
  <c r="F27" i="1"/>
  <c r="G27" i="1" s="1"/>
  <c r="D27" i="1"/>
  <c r="U26" i="1"/>
  <c r="T26" i="1"/>
  <c r="R26" i="1"/>
  <c r="S26" i="1" s="1"/>
  <c r="P26" i="1"/>
  <c r="Q26" i="1" s="1"/>
  <c r="O26" i="1"/>
  <c r="N26" i="1"/>
  <c r="L26" i="1"/>
  <c r="M26" i="1" s="1"/>
  <c r="J26" i="1"/>
  <c r="K26" i="1" s="1"/>
  <c r="I26" i="1"/>
  <c r="H26" i="1"/>
  <c r="F26" i="1"/>
  <c r="V26" i="1" s="1"/>
  <c r="D26" i="1"/>
  <c r="E26" i="1" s="1"/>
  <c r="T25" i="1"/>
  <c r="U25" i="1" s="1"/>
  <c r="S25" i="1"/>
  <c r="R25" i="1"/>
  <c r="P25" i="1"/>
  <c r="Q25" i="1" s="1"/>
  <c r="N25" i="1"/>
  <c r="O25" i="1" s="1"/>
  <c r="M25" i="1"/>
  <c r="L25" i="1"/>
  <c r="J25" i="1"/>
  <c r="K25" i="1" s="1"/>
  <c r="H25" i="1"/>
  <c r="I25" i="1" s="1"/>
  <c r="G25" i="1"/>
  <c r="F25" i="1"/>
  <c r="D25" i="1"/>
  <c r="V25" i="1" s="1"/>
  <c r="T24" i="1"/>
  <c r="U24" i="1" s="1"/>
  <c r="R24" i="1"/>
  <c r="S24" i="1" s="1"/>
  <c r="Q24" i="1"/>
  <c r="P24" i="1"/>
  <c r="N24" i="1"/>
  <c r="O24" i="1" s="1"/>
  <c r="L24" i="1"/>
  <c r="M24" i="1" s="1"/>
  <c r="K24" i="1"/>
  <c r="J24" i="1"/>
  <c r="H24" i="1"/>
  <c r="I24" i="1" s="1"/>
  <c r="F24" i="1"/>
  <c r="G24" i="1" s="1"/>
  <c r="D24" i="1"/>
  <c r="V24" i="1" s="1"/>
  <c r="U23" i="1"/>
  <c r="T23" i="1"/>
  <c r="R23" i="1"/>
  <c r="S23" i="1" s="1"/>
  <c r="P23" i="1"/>
  <c r="Q23" i="1" s="1"/>
  <c r="O23" i="1"/>
  <c r="N23" i="1"/>
  <c r="L23" i="1"/>
  <c r="M23" i="1" s="1"/>
  <c r="J23" i="1"/>
  <c r="K23" i="1" s="1"/>
  <c r="I23" i="1"/>
  <c r="H23" i="1"/>
  <c r="F23" i="1"/>
  <c r="G23" i="1" s="1"/>
  <c r="D23" i="1"/>
  <c r="V23" i="1" s="1"/>
  <c r="T22" i="1"/>
  <c r="U22" i="1" s="1"/>
  <c r="S22" i="1"/>
  <c r="R22" i="1"/>
  <c r="P22" i="1"/>
  <c r="Q22" i="1" s="1"/>
  <c r="N22" i="1"/>
  <c r="O22" i="1" s="1"/>
  <c r="M22" i="1"/>
  <c r="L22" i="1"/>
  <c r="J22" i="1"/>
  <c r="K22" i="1" s="1"/>
  <c r="H22" i="1"/>
  <c r="I22" i="1" s="1"/>
  <c r="F22" i="1"/>
  <c r="D22" i="1"/>
  <c r="E22" i="1" s="1"/>
  <c r="T21" i="1"/>
  <c r="U21" i="1" s="1"/>
  <c r="R21" i="1"/>
  <c r="S21" i="1" s="1"/>
  <c r="P21" i="1"/>
  <c r="N21" i="1"/>
  <c r="O21" i="1" s="1"/>
  <c r="L21" i="1"/>
  <c r="M21" i="1" s="1"/>
  <c r="K21" i="1"/>
  <c r="J21" i="1"/>
  <c r="H21" i="1"/>
  <c r="V21" i="1" s="1"/>
  <c r="F21" i="1"/>
  <c r="G21" i="1" s="1"/>
  <c r="D21" i="1"/>
  <c r="U20" i="1"/>
  <c r="T20" i="1"/>
  <c r="R20" i="1"/>
  <c r="S20" i="1" s="1"/>
  <c r="P20" i="1"/>
  <c r="Q20" i="1" s="1"/>
  <c r="O20" i="1"/>
  <c r="N20" i="1"/>
  <c r="L20" i="1"/>
  <c r="M20" i="1" s="1"/>
  <c r="J20" i="1"/>
  <c r="K20" i="1" s="1"/>
  <c r="I20" i="1"/>
  <c r="H20" i="1"/>
  <c r="F20" i="1"/>
  <c r="V20" i="1" s="1"/>
  <c r="D20" i="1"/>
  <c r="E20" i="1" s="1"/>
  <c r="T19" i="1"/>
  <c r="U19" i="1" s="1"/>
  <c r="S19" i="1"/>
  <c r="R19" i="1"/>
  <c r="P19" i="1"/>
  <c r="Q19" i="1" s="1"/>
  <c r="N19" i="1"/>
  <c r="O19" i="1" s="1"/>
  <c r="M19" i="1"/>
  <c r="L19" i="1"/>
  <c r="J19" i="1"/>
  <c r="K19" i="1" s="1"/>
  <c r="H19" i="1"/>
  <c r="I19" i="1" s="1"/>
  <c r="G19" i="1"/>
  <c r="F19" i="1"/>
  <c r="D19" i="1"/>
  <c r="V19" i="1" s="1"/>
  <c r="T18" i="1"/>
  <c r="U18" i="1" s="1"/>
  <c r="R18" i="1"/>
  <c r="S18" i="1" s="1"/>
  <c r="Q18" i="1"/>
  <c r="P18" i="1"/>
  <c r="N18" i="1"/>
  <c r="O18" i="1" s="1"/>
  <c r="L18" i="1"/>
  <c r="M18" i="1" s="1"/>
  <c r="K18" i="1"/>
  <c r="J18" i="1"/>
  <c r="H18" i="1"/>
  <c r="I18" i="1" s="1"/>
  <c r="F18" i="1"/>
  <c r="G18" i="1" s="1"/>
  <c r="D18" i="1"/>
  <c r="V18" i="1" s="1"/>
  <c r="U17" i="1"/>
  <c r="T17" i="1"/>
  <c r="R17" i="1"/>
  <c r="S17" i="1" s="1"/>
  <c r="P17" i="1"/>
  <c r="Q17" i="1" s="1"/>
  <c r="O17" i="1"/>
  <c r="N17" i="1"/>
  <c r="L17" i="1"/>
  <c r="M17" i="1" s="1"/>
  <c r="J17" i="1"/>
  <c r="K17" i="1" s="1"/>
  <c r="I17" i="1"/>
  <c r="H17" i="1"/>
  <c r="F17" i="1"/>
  <c r="G17" i="1" s="1"/>
  <c r="D17" i="1"/>
  <c r="V17" i="1" s="1"/>
  <c r="T16" i="1"/>
  <c r="U16" i="1" s="1"/>
  <c r="S16" i="1"/>
  <c r="R16" i="1"/>
  <c r="P16" i="1"/>
  <c r="Q16" i="1" s="1"/>
  <c r="N16" i="1"/>
  <c r="O16" i="1" s="1"/>
  <c r="M16" i="1"/>
  <c r="L16" i="1"/>
  <c r="J16" i="1"/>
  <c r="K16" i="1" s="1"/>
  <c r="H16" i="1"/>
  <c r="I16" i="1" s="1"/>
  <c r="G16" i="1"/>
  <c r="F16" i="1"/>
  <c r="D16" i="1"/>
  <c r="E16" i="1" s="1"/>
  <c r="T15" i="1"/>
  <c r="U15" i="1" s="1"/>
  <c r="R15" i="1"/>
  <c r="S15" i="1" s="1"/>
  <c r="P15" i="1"/>
  <c r="N15" i="1"/>
  <c r="O15" i="1" s="1"/>
  <c r="L15" i="1"/>
  <c r="M15" i="1" s="1"/>
  <c r="K15" i="1"/>
  <c r="J15" i="1"/>
  <c r="H15" i="1"/>
  <c r="V15" i="1" s="1"/>
  <c r="F15" i="1"/>
  <c r="G15" i="1" s="1"/>
  <c r="D15" i="1"/>
  <c r="U14" i="1"/>
  <c r="T14" i="1"/>
  <c r="R14" i="1"/>
  <c r="S14" i="1" s="1"/>
  <c r="P14" i="1"/>
  <c r="Q14" i="1" s="1"/>
  <c r="O14" i="1"/>
  <c r="N14" i="1"/>
  <c r="L14" i="1"/>
  <c r="M14" i="1" s="1"/>
  <c r="J14" i="1"/>
  <c r="K14" i="1" s="1"/>
  <c r="I14" i="1"/>
  <c r="H14" i="1"/>
  <c r="F14" i="1"/>
  <c r="V14" i="1" s="1"/>
  <c r="D14" i="1"/>
  <c r="E14" i="1" s="1"/>
  <c r="T13" i="1"/>
  <c r="U13" i="1" s="1"/>
  <c r="S13" i="1"/>
  <c r="R13" i="1"/>
  <c r="P13" i="1"/>
  <c r="Q13" i="1" s="1"/>
  <c r="N13" i="1"/>
  <c r="O13" i="1" s="1"/>
  <c r="M13" i="1"/>
  <c r="L13" i="1"/>
  <c r="J13" i="1"/>
  <c r="K13" i="1" s="1"/>
  <c r="H13" i="1"/>
  <c r="I13" i="1" s="1"/>
  <c r="G13" i="1"/>
  <c r="F13" i="1"/>
  <c r="D13" i="1"/>
  <c r="V13" i="1" s="1"/>
  <c r="T12" i="1"/>
  <c r="U12" i="1" s="1"/>
  <c r="R12" i="1"/>
  <c r="S12" i="1" s="1"/>
  <c r="Q12" i="1"/>
  <c r="P12" i="1"/>
  <c r="N12" i="1"/>
  <c r="O12" i="1" s="1"/>
  <c r="L12" i="1"/>
  <c r="M12" i="1" s="1"/>
  <c r="K12" i="1"/>
  <c r="J12" i="1"/>
  <c r="H12" i="1"/>
  <c r="I12" i="1" s="1"/>
  <c r="F12" i="1"/>
  <c r="G12" i="1" s="1"/>
  <c r="D12" i="1"/>
  <c r="V12" i="1" s="1"/>
  <c r="U11" i="1"/>
  <c r="T11" i="1"/>
  <c r="R11" i="1"/>
  <c r="S11" i="1" s="1"/>
  <c r="P11" i="1"/>
  <c r="Q11" i="1" s="1"/>
  <c r="O11" i="1"/>
  <c r="N11" i="1"/>
  <c r="L11" i="1"/>
  <c r="M11" i="1" s="1"/>
  <c r="J11" i="1"/>
  <c r="K11" i="1" s="1"/>
  <c r="I11" i="1"/>
  <c r="H11" i="1"/>
  <c r="F11" i="1"/>
  <c r="G11" i="1" s="1"/>
  <c r="D11" i="1"/>
  <c r="V11" i="1" s="1"/>
  <c r="T10" i="1"/>
  <c r="U10" i="1" s="1"/>
  <c r="S10" i="1"/>
  <c r="R10" i="1"/>
  <c r="P10" i="1"/>
  <c r="Q10" i="1" s="1"/>
  <c r="N10" i="1"/>
  <c r="O10" i="1" s="1"/>
  <c r="M10" i="1"/>
  <c r="L10" i="1"/>
  <c r="J10" i="1"/>
  <c r="K10" i="1" s="1"/>
  <c r="H10" i="1"/>
  <c r="I10" i="1" s="1"/>
  <c r="G10" i="1"/>
  <c r="F10" i="1"/>
  <c r="D10" i="1"/>
  <c r="E10" i="1" s="1"/>
  <c r="T9" i="1"/>
  <c r="U9" i="1" s="1"/>
  <c r="R9" i="1"/>
  <c r="S9" i="1" s="1"/>
  <c r="P9" i="1"/>
  <c r="N9" i="1"/>
  <c r="O9" i="1" s="1"/>
  <c r="L9" i="1"/>
  <c r="M9" i="1" s="1"/>
  <c r="K9" i="1"/>
  <c r="J9" i="1"/>
  <c r="H9" i="1"/>
  <c r="V9" i="1" s="1"/>
  <c r="F9" i="1"/>
  <c r="G9" i="1" s="1"/>
  <c r="D9" i="1"/>
  <c r="U8" i="1"/>
  <c r="T8" i="1"/>
  <c r="R8" i="1"/>
  <c r="S8" i="1" s="1"/>
  <c r="P8" i="1"/>
  <c r="Q8" i="1" s="1"/>
  <c r="O8" i="1"/>
  <c r="N8" i="1"/>
  <c r="L8" i="1"/>
  <c r="M8" i="1" s="1"/>
  <c r="J8" i="1"/>
  <c r="K8" i="1" s="1"/>
  <c r="I8" i="1"/>
  <c r="H8" i="1"/>
  <c r="F8" i="1"/>
  <c r="V8" i="1" s="1"/>
  <c r="D8" i="1"/>
  <c r="E8" i="1" s="1"/>
  <c r="T7" i="1"/>
  <c r="U7" i="1" s="1"/>
  <c r="S7" i="1"/>
  <c r="R7" i="1"/>
  <c r="P7" i="1"/>
  <c r="Q7" i="1" s="1"/>
  <c r="N7" i="1"/>
  <c r="O7" i="1" s="1"/>
  <c r="M7" i="1"/>
  <c r="L7" i="1"/>
  <c r="J7" i="1"/>
  <c r="K7" i="1" s="1"/>
  <c r="H7" i="1"/>
  <c r="I7" i="1" s="1"/>
  <c r="G7" i="1"/>
  <c r="F7" i="1"/>
  <c r="D7" i="1"/>
  <c r="V7" i="1" s="1"/>
  <c r="T6" i="1"/>
  <c r="U6" i="1" s="1"/>
  <c r="R6" i="1"/>
  <c r="S6" i="1" s="1"/>
  <c r="Q6" i="1"/>
  <c r="P6" i="1"/>
  <c r="N6" i="1"/>
  <c r="O6" i="1" s="1"/>
  <c r="L6" i="1"/>
  <c r="M6" i="1" s="1"/>
  <c r="K6" i="1"/>
  <c r="J6" i="1"/>
  <c r="H6" i="1"/>
  <c r="I6" i="1" s="1"/>
  <c r="F6" i="1"/>
  <c r="G6" i="1" s="1"/>
  <c r="D6" i="1"/>
  <c r="V6" i="1" s="1"/>
  <c r="T5" i="1"/>
  <c r="U76" i="1" s="1"/>
  <c r="R5" i="1"/>
  <c r="S72" i="1" s="1"/>
  <c r="P5" i="1"/>
  <c r="Q77" i="1" s="1"/>
  <c r="N5" i="1"/>
  <c r="O78" i="1" s="1"/>
  <c r="L5" i="1"/>
  <c r="M77" i="1" s="1"/>
  <c r="J5" i="1"/>
  <c r="K71" i="1" s="1"/>
  <c r="H5" i="1"/>
  <c r="I76" i="1" s="1"/>
  <c r="F5" i="1"/>
  <c r="G72" i="1" s="1"/>
  <c r="D5" i="1"/>
  <c r="E59" i="1" s="1"/>
  <c r="Z9" i="1" l="1"/>
  <c r="Z25" i="1"/>
  <c r="Z43" i="1"/>
  <c r="Z72" i="1"/>
  <c r="Z73" i="1"/>
  <c r="AA73" i="1" s="1"/>
  <c r="W73" i="1"/>
  <c r="W23" i="1"/>
  <c r="Z23" i="1"/>
  <c r="Z24" i="1"/>
  <c r="Z26" i="1"/>
  <c r="Z41" i="1"/>
  <c r="Z42" i="1"/>
  <c r="W42" i="1"/>
  <c r="Z44" i="1"/>
  <c r="AA44" i="1" s="1"/>
  <c r="W44" i="1"/>
  <c r="W54" i="1"/>
  <c r="Z54" i="1"/>
  <c r="Z7" i="2"/>
  <c r="Z27" i="1"/>
  <c r="Z45" i="1"/>
  <c r="W45" i="1"/>
  <c r="Z30" i="2"/>
  <c r="Z19" i="1"/>
  <c r="AA19" i="1" s="1"/>
  <c r="Z37" i="1"/>
  <c r="Z17" i="1"/>
  <c r="Z18" i="1"/>
  <c r="Z20" i="1"/>
  <c r="W20" i="1"/>
  <c r="W35" i="1"/>
  <c r="Z35" i="1"/>
  <c r="AA35" i="1" s="1"/>
  <c r="Z36" i="1"/>
  <c r="AA36" i="1" s="1"/>
  <c r="Z38" i="1"/>
  <c r="Z26" i="3"/>
  <c r="Z21" i="1"/>
  <c r="Z39" i="1"/>
  <c r="W39" i="1"/>
  <c r="Z60" i="1"/>
  <c r="AA60" i="1" s="1"/>
  <c r="W60" i="1"/>
  <c r="Z78" i="1"/>
  <c r="AA78" i="1" s="1"/>
  <c r="Z13" i="1"/>
  <c r="Z11" i="1"/>
  <c r="Z12" i="1"/>
  <c r="Z14" i="1"/>
  <c r="W14" i="1"/>
  <c r="Z31" i="1"/>
  <c r="AA31" i="1" s="1"/>
  <c r="W31" i="1"/>
  <c r="Z49" i="1"/>
  <c r="AA49" i="1" s="1"/>
  <c r="Z58" i="1"/>
  <c r="Z11" i="2"/>
  <c r="Z23" i="2"/>
  <c r="Z15" i="1"/>
  <c r="W15" i="1"/>
  <c r="W29" i="1"/>
  <c r="Z29" i="1"/>
  <c r="AA29" i="1" s="1"/>
  <c r="Z30" i="1"/>
  <c r="AA30" i="1" s="1"/>
  <c r="Z32" i="1"/>
  <c r="W47" i="1"/>
  <c r="Z47" i="1"/>
  <c r="Z48" i="1"/>
  <c r="Z50" i="1"/>
  <c r="W50" i="1"/>
  <c r="Z67" i="1"/>
  <c r="AA67" i="1" s="1"/>
  <c r="W67" i="1"/>
  <c r="AA75" i="1"/>
  <c r="Z37" i="2"/>
  <c r="Z7" i="1"/>
  <c r="W7" i="1"/>
  <c r="Z33" i="1"/>
  <c r="Z56" i="1"/>
  <c r="Z14" i="3"/>
  <c r="Z20" i="3"/>
  <c r="Z6" i="1"/>
  <c r="Z8" i="1"/>
  <c r="W8" i="1"/>
  <c r="V5" i="1"/>
  <c r="Z5" i="1" s="1"/>
  <c r="V10" i="1"/>
  <c r="V16" i="1"/>
  <c r="V22" i="1"/>
  <c r="V28" i="1"/>
  <c r="V34" i="1"/>
  <c r="V40" i="1"/>
  <c r="V46" i="1"/>
  <c r="E66" i="1"/>
  <c r="E68" i="1"/>
  <c r="E77" i="1"/>
  <c r="V15" i="2"/>
  <c r="V21" i="2"/>
  <c r="V44" i="2"/>
  <c r="K44" i="2"/>
  <c r="Z47" i="2"/>
  <c r="K76" i="3"/>
  <c r="K70" i="3"/>
  <c r="K64" i="3"/>
  <c r="K58" i="3"/>
  <c r="K71" i="3"/>
  <c r="K65" i="3"/>
  <c r="K59" i="3"/>
  <c r="K53" i="3"/>
  <c r="K47" i="3"/>
  <c r="K61" i="3"/>
  <c r="K52" i="3"/>
  <c r="K45" i="3"/>
  <c r="K36" i="3"/>
  <c r="K50" i="3"/>
  <c r="K43" i="3"/>
  <c r="K40" i="3"/>
  <c r="K68" i="3"/>
  <c r="K57" i="3"/>
  <c r="K60" i="3"/>
  <c r="K55" i="3"/>
  <c r="K48" i="3"/>
  <c r="K37" i="3"/>
  <c r="K33" i="3"/>
  <c r="K27" i="3"/>
  <c r="K41" i="3"/>
  <c r="K67" i="3"/>
  <c r="K46" i="3"/>
  <c r="K44" i="3"/>
  <c r="K38" i="3"/>
  <c r="K74" i="3"/>
  <c r="K51" i="3"/>
  <c r="K39" i="3"/>
  <c r="K49" i="3"/>
  <c r="K62" i="3"/>
  <c r="K56" i="3"/>
  <c r="K54" i="3"/>
  <c r="I19" i="3"/>
  <c r="V19" i="3"/>
  <c r="K21" i="3"/>
  <c r="Z51" i="3"/>
  <c r="V7" i="4"/>
  <c r="E7" i="4"/>
  <c r="Z47" i="4"/>
  <c r="E7" i="1"/>
  <c r="G8" i="1"/>
  <c r="I9" i="1"/>
  <c r="E13" i="1"/>
  <c r="G14" i="1"/>
  <c r="I15" i="1"/>
  <c r="E19" i="1"/>
  <c r="G20" i="1"/>
  <c r="I21" i="1"/>
  <c r="E25" i="1"/>
  <c r="G26" i="1"/>
  <c r="I27" i="1"/>
  <c r="E31" i="1"/>
  <c r="G32" i="1"/>
  <c r="I33" i="1"/>
  <c r="E37" i="1"/>
  <c r="G38" i="1"/>
  <c r="I39" i="1"/>
  <c r="E43" i="1"/>
  <c r="G44" i="1"/>
  <c r="I45" i="1"/>
  <c r="E49" i="1"/>
  <c r="G50" i="1"/>
  <c r="E54" i="1"/>
  <c r="E73" i="1"/>
  <c r="E75" i="1"/>
  <c r="V9" i="2"/>
  <c r="V12" i="2"/>
  <c r="V28" i="2"/>
  <c r="E28" i="2"/>
  <c r="Z32" i="2"/>
  <c r="E47" i="2"/>
  <c r="Z49" i="2"/>
  <c r="E14" i="3"/>
  <c r="K18" i="3"/>
  <c r="K19" i="3"/>
  <c r="O26" i="3"/>
  <c r="Z31" i="3"/>
  <c r="Z55" i="3"/>
  <c r="V60" i="3"/>
  <c r="Z79" i="4"/>
  <c r="G52" i="1"/>
  <c r="E56" i="1"/>
  <c r="E60" i="1"/>
  <c r="E62" i="1"/>
  <c r="V64" i="1"/>
  <c r="V68" i="1"/>
  <c r="Q71" i="1"/>
  <c r="E75" i="2"/>
  <c r="E69" i="2"/>
  <c r="E66" i="2"/>
  <c r="E54" i="2"/>
  <c r="E42" i="2"/>
  <c r="E73" i="2"/>
  <c r="E61" i="2"/>
  <c r="E49" i="2"/>
  <c r="E37" i="2"/>
  <c r="E68" i="2"/>
  <c r="E56" i="2"/>
  <c r="E44" i="2"/>
  <c r="E74" i="2"/>
  <c r="E62" i="2"/>
  <c r="E50" i="2"/>
  <c r="E38" i="2"/>
  <c r="E13" i="2"/>
  <c r="E6" i="2"/>
  <c r="E25" i="2"/>
  <c r="V29" i="2"/>
  <c r="E29" i="2"/>
  <c r="E33" i="2"/>
  <c r="I37" i="2"/>
  <c r="E48" i="2"/>
  <c r="Z59" i="2"/>
  <c r="Z61" i="2"/>
  <c r="Z71" i="2"/>
  <c r="Z73" i="2"/>
  <c r="Z43" i="3"/>
  <c r="G55" i="3"/>
  <c r="K72" i="3"/>
  <c r="K73" i="3"/>
  <c r="E6" i="1"/>
  <c r="E12" i="1"/>
  <c r="E18" i="1"/>
  <c r="E24" i="1"/>
  <c r="E30" i="1"/>
  <c r="E36" i="1"/>
  <c r="E42" i="1"/>
  <c r="E48" i="1"/>
  <c r="V52" i="1"/>
  <c r="E58" i="1"/>
  <c r="E64" i="1"/>
  <c r="V66" i="1"/>
  <c r="AA71" i="1"/>
  <c r="V10" i="2"/>
  <c r="E10" i="2"/>
  <c r="V48" i="2"/>
  <c r="G48" i="2"/>
  <c r="V56" i="2"/>
  <c r="K56" i="2"/>
  <c r="V68" i="2"/>
  <c r="K68" i="2"/>
  <c r="G12" i="3"/>
  <c r="V12" i="3"/>
  <c r="V32" i="3"/>
  <c r="E32" i="3"/>
  <c r="K63" i="3"/>
  <c r="V63" i="3"/>
  <c r="Z24" i="4"/>
  <c r="V37" i="4"/>
  <c r="E37" i="4"/>
  <c r="Q51" i="1"/>
  <c r="G58" i="1"/>
  <c r="O61" i="1"/>
  <c r="V62" i="1"/>
  <c r="G64" i="1"/>
  <c r="E71" i="1"/>
  <c r="O72" i="1"/>
  <c r="O74" i="1"/>
  <c r="I75" i="1"/>
  <c r="W75" i="1"/>
  <c r="E78" i="1"/>
  <c r="S78" i="1"/>
  <c r="O11" i="2"/>
  <c r="V13" i="2"/>
  <c r="V19" i="2"/>
  <c r="E22" i="2"/>
  <c r="G25" i="2"/>
  <c r="E30" i="2"/>
  <c r="S43" i="2"/>
  <c r="V60" i="2"/>
  <c r="G60" i="2"/>
  <c r="V72" i="2"/>
  <c r="G72" i="2"/>
  <c r="S77" i="2"/>
  <c r="Z8" i="3"/>
  <c r="I13" i="3"/>
  <c r="V13" i="3"/>
  <c r="K15" i="3"/>
  <c r="K35" i="3"/>
  <c r="Z78" i="4"/>
  <c r="E11" i="1"/>
  <c r="E17" i="1"/>
  <c r="E23" i="1"/>
  <c r="E29" i="1"/>
  <c r="E35" i="1"/>
  <c r="E41" i="1"/>
  <c r="E47" i="1"/>
  <c r="K52" i="1"/>
  <c r="Q55" i="1"/>
  <c r="Q61" i="1"/>
  <c r="K66" i="1"/>
  <c r="E67" i="1"/>
  <c r="E69" i="1"/>
  <c r="S69" i="1"/>
  <c r="U71" i="1"/>
  <c r="I73" i="1"/>
  <c r="K77" i="1"/>
  <c r="K72" i="2"/>
  <c r="K77" i="2"/>
  <c r="K65" i="2"/>
  <c r="K53" i="2"/>
  <c r="K41" i="2"/>
  <c r="K22" i="2"/>
  <c r="K17" i="2"/>
  <c r="K34" i="2"/>
  <c r="K69" i="2"/>
  <c r="K57" i="2"/>
  <c r="K50" i="2"/>
  <c r="K45" i="2"/>
  <c r="K38" i="2"/>
  <c r="K76" i="2"/>
  <c r="K64" i="2"/>
  <c r="K52" i="2"/>
  <c r="K40" i="2"/>
  <c r="K75" i="2"/>
  <c r="K63" i="2"/>
  <c r="K51" i="2"/>
  <c r="K39" i="2"/>
  <c r="K16" i="2"/>
  <c r="E7" i="2"/>
  <c r="Q11" i="2"/>
  <c r="G13" i="2"/>
  <c r="S20" i="2"/>
  <c r="S23" i="2"/>
  <c r="E26" i="2"/>
  <c r="K28" i="2"/>
  <c r="K29" i="2"/>
  <c r="V41" i="2"/>
  <c r="E41" i="2"/>
  <c r="Q45" i="2"/>
  <c r="K47" i="2"/>
  <c r="Q55" i="2"/>
  <c r="Q67" i="2"/>
  <c r="K12" i="3"/>
  <c r="K13" i="3"/>
  <c r="Z69" i="3"/>
  <c r="E51" i="1"/>
  <c r="S51" i="1"/>
  <c r="K54" i="1"/>
  <c r="Q57" i="1"/>
  <c r="I58" i="1"/>
  <c r="I60" i="1"/>
  <c r="Q63" i="1"/>
  <c r="I64" i="1"/>
  <c r="Q65" i="1"/>
  <c r="U69" i="1"/>
  <c r="G71" i="1"/>
  <c r="W71" i="1"/>
  <c r="Q72" i="1"/>
  <c r="Q74" i="1"/>
  <c r="K75" i="1"/>
  <c r="V76" i="1"/>
  <c r="S76" i="1"/>
  <c r="G78" i="1"/>
  <c r="U78" i="1"/>
  <c r="E20" i="2"/>
  <c r="K25" i="2"/>
  <c r="V26" i="2"/>
  <c r="S31" i="2"/>
  <c r="V34" i="2"/>
  <c r="E34" i="2"/>
  <c r="V35" i="2"/>
  <c r="V39" i="2"/>
  <c r="E43" i="2"/>
  <c r="S53" i="2"/>
  <c r="K58" i="2"/>
  <c r="S65" i="2"/>
  <c r="K70" i="2"/>
  <c r="V77" i="2"/>
  <c r="E77" i="2"/>
  <c r="K30" i="3"/>
  <c r="E75" i="3"/>
  <c r="V75" i="3"/>
  <c r="G22" i="4"/>
  <c r="V22" i="4"/>
  <c r="E60" i="4"/>
  <c r="V60" i="4"/>
  <c r="U51" i="1"/>
  <c r="E55" i="1"/>
  <c r="K58" i="1"/>
  <c r="K60" i="1"/>
  <c r="E61" i="1"/>
  <c r="K64" i="1"/>
  <c r="V65" i="1"/>
  <c r="M66" i="1"/>
  <c r="G67" i="1"/>
  <c r="G69" i="1"/>
  <c r="V69" i="1"/>
  <c r="O70" i="1"/>
  <c r="I71" i="1"/>
  <c r="S74" i="1"/>
  <c r="E76" i="1"/>
  <c r="S8" i="2"/>
  <c r="E11" i="2"/>
  <c r="S11" i="2"/>
  <c r="E14" i="2"/>
  <c r="V17" i="2"/>
  <c r="S17" i="2"/>
  <c r="V20" i="2"/>
  <c r="E23" i="2"/>
  <c r="Q24" i="2"/>
  <c r="K33" i="2"/>
  <c r="S36" i="2"/>
  <c r="V43" i="2"/>
  <c r="S55" i="2"/>
  <c r="Q56" i="2"/>
  <c r="K59" i="2"/>
  <c r="S67" i="2"/>
  <c r="K71" i="2"/>
  <c r="G6" i="3"/>
  <c r="V6" i="3"/>
  <c r="K11" i="3"/>
  <c r="G24" i="3"/>
  <c r="V24" i="3"/>
  <c r="K29" i="3"/>
  <c r="K42" i="3"/>
  <c r="V15" i="4"/>
  <c r="E15" i="4"/>
  <c r="V16" i="4"/>
  <c r="U17" i="4"/>
  <c r="V17" i="4"/>
  <c r="O50" i="1"/>
  <c r="G51" i="1"/>
  <c r="V51" i="1"/>
  <c r="U53" i="1"/>
  <c r="M54" i="1"/>
  <c r="E57" i="1"/>
  <c r="S57" i="1"/>
  <c r="V59" i="1"/>
  <c r="E63" i="1"/>
  <c r="S63" i="1"/>
  <c r="E65" i="1"/>
  <c r="S65" i="1"/>
  <c r="O66" i="1"/>
  <c r="O68" i="1"/>
  <c r="I69" i="1"/>
  <c r="E72" i="1"/>
  <c r="M73" i="1"/>
  <c r="E74" i="1"/>
  <c r="M75" i="1"/>
  <c r="G76" i="1"/>
  <c r="Q75" i="2"/>
  <c r="Q69" i="2"/>
  <c r="Q71" i="2"/>
  <c r="Q59" i="2"/>
  <c r="Q47" i="2"/>
  <c r="Q26" i="2"/>
  <c r="Q66" i="2"/>
  <c r="Q54" i="2"/>
  <c r="Q42" i="2"/>
  <c r="Q35" i="2"/>
  <c r="Q73" i="2"/>
  <c r="Q61" i="2"/>
  <c r="Q49" i="2"/>
  <c r="Q37" i="2"/>
  <c r="Q31" i="2"/>
  <c r="Q13" i="2"/>
  <c r="V8" i="2"/>
  <c r="E8" i="2"/>
  <c r="K10" i="2"/>
  <c r="K13" i="2"/>
  <c r="V14" i="2"/>
  <c r="Q15" i="2"/>
  <c r="E17" i="2"/>
  <c r="Q18" i="2"/>
  <c r="Q21" i="2"/>
  <c r="E31" i="2"/>
  <c r="V31" i="2"/>
  <c r="E36" i="2"/>
  <c r="Q38" i="2"/>
  <c r="Q46" i="2"/>
  <c r="V53" i="2"/>
  <c r="E53" i="2"/>
  <c r="Q57" i="2"/>
  <c r="K62" i="2"/>
  <c r="V65" i="2"/>
  <c r="E65" i="2"/>
  <c r="K74" i="2"/>
  <c r="I7" i="3"/>
  <c r="V7" i="3"/>
  <c r="K9" i="3"/>
  <c r="I25" i="3"/>
  <c r="V25" i="3"/>
  <c r="O56" i="4"/>
  <c r="V56" i="4"/>
  <c r="Z58" i="4"/>
  <c r="E9" i="1"/>
  <c r="Q9" i="1"/>
  <c r="E15" i="1"/>
  <c r="Q15" i="1"/>
  <c r="E21" i="1"/>
  <c r="Q21" i="1"/>
  <c r="G22" i="1"/>
  <c r="E27" i="1"/>
  <c r="Q27" i="1"/>
  <c r="G28" i="1"/>
  <c r="E33" i="1"/>
  <c r="Q33" i="1"/>
  <c r="G34" i="1"/>
  <c r="E39" i="1"/>
  <c r="Q39" i="1"/>
  <c r="G40" i="1"/>
  <c r="E45" i="1"/>
  <c r="Q45" i="1"/>
  <c r="G46" i="1"/>
  <c r="G53" i="1"/>
  <c r="V53" i="1"/>
  <c r="G55" i="1"/>
  <c r="G61" i="1"/>
  <c r="Q70" i="1"/>
  <c r="G74" i="1"/>
  <c r="K78" i="1"/>
  <c r="S76" i="2"/>
  <c r="S70" i="2"/>
  <c r="S66" i="2"/>
  <c r="S54" i="2"/>
  <c r="S42" i="2"/>
  <c r="S73" i="2"/>
  <c r="S61" i="2"/>
  <c r="S49" i="2"/>
  <c r="S37" i="2"/>
  <c r="S75" i="2"/>
  <c r="S68" i="2"/>
  <c r="S63" i="2"/>
  <c r="S56" i="2"/>
  <c r="S51" i="2"/>
  <c r="S44" i="2"/>
  <c r="S39" i="2"/>
  <c r="S74" i="2"/>
  <c r="S69" i="2"/>
  <c r="S62" i="2"/>
  <c r="S57" i="2"/>
  <c r="S50" i="2"/>
  <c r="S45" i="2"/>
  <c r="S38" i="2"/>
  <c r="S14" i="2"/>
  <c r="S21" i="2"/>
  <c r="S24" i="2"/>
  <c r="V36" i="2"/>
  <c r="Z54" i="2"/>
  <c r="E55" i="2"/>
  <c r="Z66" i="2"/>
  <c r="W66" i="2"/>
  <c r="E67" i="2"/>
  <c r="K6" i="3"/>
  <c r="K7" i="3"/>
  <c r="K24" i="3"/>
  <c r="K25" i="3"/>
  <c r="Z57" i="3"/>
  <c r="Z10" i="4"/>
  <c r="V57" i="4"/>
  <c r="I53" i="1"/>
  <c r="V55" i="1"/>
  <c r="O56" i="1"/>
  <c r="V57" i="1"/>
  <c r="U59" i="1"/>
  <c r="O60" i="1"/>
  <c r="V61" i="1"/>
  <c r="O62" i="1"/>
  <c r="G63" i="1"/>
  <c r="V63" i="1"/>
  <c r="Q68" i="1"/>
  <c r="V70" i="1"/>
  <c r="S70" i="1"/>
  <c r="M71" i="1"/>
  <c r="O73" i="1"/>
  <c r="V74" i="1"/>
  <c r="S9" i="2"/>
  <c r="E15" i="2"/>
  <c r="S15" i="2"/>
  <c r="E24" i="2"/>
  <c r="V27" i="2"/>
  <c r="S28" i="2"/>
  <c r="Q29" i="2"/>
  <c r="S32" i="2"/>
  <c r="Q39" i="2"/>
  <c r="S47" i="2"/>
  <c r="Q48" i="2"/>
  <c r="G54" i="2"/>
  <c r="V55" i="2"/>
  <c r="G66" i="2"/>
  <c r="V67" i="2"/>
  <c r="K28" i="3"/>
  <c r="V45" i="3"/>
  <c r="Q45" i="3"/>
  <c r="E57" i="3"/>
  <c r="S50" i="1"/>
  <c r="I57" i="1"/>
  <c r="I63" i="1"/>
  <c r="I65" i="1"/>
  <c r="S68" i="1"/>
  <c r="E70" i="1"/>
  <c r="Q73" i="1"/>
  <c r="I74" i="1"/>
  <c r="Q75" i="1"/>
  <c r="K76" i="1"/>
  <c r="V77" i="1"/>
  <c r="M78" i="1"/>
  <c r="V5" i="2"/>
  <c r="Z5" i="2" s="1"/>
  <c r="AA50" i="2" s="1"/>
  <c r="V18" i="2"/>
  <c r="E18" i="2"/>
  <c r="E21" i="2"/>
  <c r="V24" i="2"/>
  <c r="Q25" i="2"/>
  <c r="S29" i="2"/>
  <c r="E32" i="2"/>
  <c r="Q40" i="2"/>
  <c r="Q50" i="2"/>
  <c r="Q58" i="2"/>
  <c r="S59" i="2"/>
  <c r="Q60" i="2"/>
  <c r="Q70" i="2"/>
  <c r="S71" i="2"/>
  <c r="Q72" i="2"/>
  <c r="G18" i="3"/>
  <c r="V18" i="3"/>
  <c r="K23" i="3"/>
  <c r="V36" i="3"/>
  <c r="E36" i="3"/>
  <c r="V37" i="3"/>
  <c r="K66" i="3"/>
  <c r="V8" i="4"/>
  <c r="E8" i="4"/>
  <c r="U77" i="2"/>
  <c r="U71" i="2"/>
  <c r="O12" i="2"/>
  <c r="G14" i="2"/>
  <c r="U15" i="2"/>
  <c r="Q28" i="2"/>
  <c r="K31" i="2"/>
  <c r="Q34" i="2"/>
  <c r="K37" i="2"/>
  <c r="V40" i="2"/>
  <c r="E40" i="2"/>
  <c r="I42" i="2"/>
  <c r="V45" i="2"/>
  <c r="G47" i="2"/>
  <c r="K49" i="2"/>
  <c r="V52" i="2"/>
  <c r="E52" i="2"/>
  <c r="I54" i="2"/>
  <c r="V57" i="2"/>
  <c r="G59" i="2"/>
  <c r="K61" i="2"/>
  <c r="V64" i="2"/>
  <c r="E64" i="2"/>
  <c r="I66" i="2"/>
  <c r="V69" i="2"/>
  <c r="G71" i="2"/>
  <c r="K73" i="2"/>
  <c r="V76" i="2"/>
  <c r="E76" i="2"/>
  <c r="K10" i="3"/>
  <c r="K16" i="3"/>
  <c r="O21" i="3"/>
  <c r="K22" i="3"/>
  <c r="G30" i="3"/>
  <c r="U31" i="3"/>
  <c r="K34" i="3"/>
  <c r="S38" i="3"/>
  <c r="Z48" i="3"/>
  <c r="S49" i="3"/>
  <c r="Q51" i="3"/>
  <c r="G59" i="3"/>
  <c r="Z66" i="3"/>
  <c r="Q76" i="3"/>
  <c r="I23" i="4"/>
  <c r="W65" i="4"/>
  <c r="Z65" i="4"/>
  <c r="AA65" i="4" s="1"/>
  <c r="W68" i="4"/>
  <c r="Z68" i="4"/>
  <c r="I75" i="4"/>
  <c r="G74" i="3"/>
  <c r="G68" i="3"/>
  <c r="G62" i="3"/>
  <c r="G75" i="3"/>
  <c r="G69" i="3"/>
  <c r="G63" i="3"/>
  <c r="G57" i="3"/>
  <c r="G51" i="3"/>
  <c r="G45" i="3"/>
  <c r="G66" i="3"/>
  <c r="G58" i="3"/>
  <c r="G56" i="3"/>
  <c r="G49" i="3"/>
  <c r="G42" i="3"/>
  <c r="G35" i="3"/>
  <c r="G47" i="3"/>
  <c r="G65" i="3"/>
  <c r="G54" i="3"/>
  <c r="G39" i="3"/>
  <c r="G76" i="3"/>
  <c r="G52" i="3"/>
  <c r="G31" i="3"/>
  <c r="G25" i="3"/>
  <c r="G36" i="3"/>
  <c r="G72" i="3"/>
  <c r="G50" i="3"/>
  <c r="V5" i="3"/>
  <c r="W8" i="3" s="1"/>
  <c r="G7" i="3"/>
  <c r="G13" i="3"/>
  <c r="G19" i="3"/>
  <c r="V9" i="4"/>
  <c r="E9" i="4"/>
  <c r="V38" i="4"/>
  <c r="E38" i="4"/>
  <c r="K42" i="4"/>
  <c r="V42" i="4"/>
  <c r="G76" i="2"/>
  <c r="G70" i="2"/>
  <c r="V16" i="2"/>
  <c r="G22" i="2"/>
  <c r="Q27" i="2"/>
  <c r="K30" i="2"/>
  <c r="Q33" i="2"/>
  <c r="K36" i="2"/>
  <c r="U41" i="2"/>
  <c r="O42" i="2"/>
  <c r="S46" i="2"/>
  <c r="M47" i="2"/>
  <c r="U53" i="2"/>
  <c r="O54" i="2"/>
  <c r="S58" i="2"/>
  <c r="M59" i="2"/>
  <c r="U65" i="2"/>
  <c r="O66" i="2"/>
  <c r="M71" i="2"/>
  <c r="G8" i="3"/>
  <c r="V9" i="3"/>
  <c r="U9" i="3"/>
  <c r="O12" i="3"/>
  <c r="G14" i="3"/>
  <c r="V15" i="3"/>
  <c r="U15" i="3"/>
  <c r="S17" i="3"/>
  <c r="O18" i="3"/>
  <c r="G20" i="3"/>
  <c r="V21" i="3"/>
  <c r="U21" i="3"/>
  <c r="S23" i="3"/>
  <c r="O24" i="3"/>
  <c r="G26" i="3"/>
  <c r="Q29" i="3"/>
  <c r="K31" i="3"/>
  <c r="S40" i="3"/>
  <c r="Q41" i="3"/>
  <c r="V50" i="3"/>
  <c r="Q55" i="3"/>
  <c r="O62" i="3"/>
  <c r="Q64" i="3"/>
  <c r="U67" i="3"/>
  <c r="K6" i="4"/>
  <c r="V6" i="4"/>
  <c r="G50" i="4"/>
  <c r="V50" i="4"/>
  <c r="E59" i="4"/>
  <c r="V59" i="4"/>
  <c r="I77" i="2"/>
  <c r="I71" i="2"/>
  <c r="E16" i="2"/>
  <c r="M23" i="2"/>
  <c r="E27" i="2"/>
  <c r="E39" i="2"/>
  <c r="G41" i="2"/>
  <c r="K43" i="2"/>
  <c r="V46" i="2"/>
  <c r="E46" i="2"/>
  <c r="I48" i="2"/>
  <c r="V51" i="2"/>
  <c r="G53" i="2"/>
  <c r="K55" i="2"/>
  <c r="V58" i="2"/>
  <c r="E58" i="2"/>
  <c r="I60" i="2"/>
  <c r="V63" i="2"/>
  <c r="G65" i="2"/>
  <c r="K67" i="2"/>
  <c r="V70" i="2"/>
  <c r="E70" i="2"/>
  <c r="I72" i="2"/>
  <c r="V75" i="2"/>
  <c r="G77" i="2"/>
  <c r="O72" i="3"/>
  <c r="O66" i="3"/>
  <c r="O60" i="3"/>
  <c r="O73" i="3"/>
  <c r="O67" i="3"/>
  <c r="O61" i="3"/>
  <c r="O55" i="3"/>
  <c r="O49" i="3"/>
  <c r="O43" i="3"/>
  <c r="O37" i="3"/>
  <c r="O64" i="3"/>
  <c r="O48" i="3"/>
  <c r="O41" i="3"/>
  <c r="O75" i="3"/>
  <c r="O46" i="3"/>
  <c r="O44" i="3"/>
  <c r="O38" i="3"/>
  <c r="O74" i="3"/>
  <c r="O63" i="3"/>
  <c r="O51" i="3"/>
  <c r="O29" i="3"/>
  <c r="O23" i="3"/>
  <c r="O70" i="3"/>
  <c r="O42" i="3"/>
  <c r="O39" i="3"/>
  <c r="Q6" i="3"/>
  <c r="E9" i="3"/>
  <c r="Q12" i="3"/>
  <c r="E15" i="3"/>
  <c r="Q18" i="3"/>
  <c r="E21" i="3"/>
  <c r="V27" i="3"/>
  <c r="U27" i="3"/>
  <c r="S29" i="3"/>
  <c r="O30" i="3"/>
  <c r="G32" i="3"/>
  <c r="V33" i="3"/>
  <c r="U33" i="3"/>
  <c r="Z40" i="3"/>
  <c r="W40" i="3"/>
  <c r="O57" i="3"/>
  <c r="O58" i="3"/>
  <c r="Z71" i="3"/>
  <c r="U71" i="3"/>
  <c r="I19" i="4"/>
  <c r="I34" i="4"/>
  <c r="I25" i="4"/>
  <c r="I40" i="4"/>
  <c r="V5" i="4"/>
  <c r="Z5" i="4" s="1"/>
  <c r="AA30" i="4" s="1"/>
  <c r="I31" i="4"/>
  <c r="I37" i="4"/>
  <c r="W30" i="4"/>
  <c r="I36" i="4"/>
  <c r="V45" i="4"/>
  <c r="E45" i="4"/>
  <c r="E49" i="4"/>
  <c r="V49" i="4"/>
  <c r="I50" i="4"/>
  <c r="S35" i="2"/>
  <c r="K48" i="2"/>
  <c r="G58" i="2"/>
  <c r="U58" i="2"/>
  <c r="O59" i="2"/>
  <c r="K60" i="2"/>
  <c r="M62" i="2"/>
  <c r="M64" i="2"/>
  <c r="I65" i="2"/>
  <c r="M67" i="2"/>
  <c r="U70" i="2"/>
  <c r="M74" i="2"/>
  <c r="M76" i="2"/>
  <c r="Q73" i="3"/>
  <c r="Q67" i="3"/>
  <c r="Q61" i="3"/>
  <c r="Q74" i="3"/>
  <c r="Q68" i="3"/>
  <c r="Q62" i="3"/>
  <c r="Q56" i="3"/>
  <c r="Q50" i="3"/>
  <c r="Q44" i="3"/>
  <c r="Q53" i="3"/>
  <c r="Q46" i="3"/>
  <c r="Q71" i="3"/>
  <c r="Q38" i="3"/>
  <c r="Q59" i="3"/>
  <c r="Q35" i="3"/>
  <c r="Q70" i="3"/>
  <c r="Q49" i="3"/>
  <c r="Q42" i="3"/>
  <c r="Q30" i="3"/>
  <c r="Q24" i="3"/>
  <c r="Q47" i="3"/>
  <c r="Q58" i="3"/>
  <c r="Q52" i="3"/>
  <c r="K8" i="3"/>
  <c r="E10" i="3"/>
  <c r="V10" i="3"/>
  <c r="K14" i="3"/>
  <c r="E16" i="3"/>
  <c r="V16" i="3"/>
  <c r="K20" i="3"/>
  <c r="E22" i="3"/>
  <c r="V22" i="3"/>
  <c r="V34" i="3"/>
  <c r="U68" i="3"/>
  <c r="E72" i="3"/>
  <c r="V72" i="3"/>
  <c r="Z35" i="4"/>
  <c r="AA35" i="4" s="1"/>
  <c r="W35" i="4"/>
  <c r="K36" i="4"/>
  <c r="V36" i="4"/>
  <c r="Z44" i="4"/>
  <c r="AA44" i="4" s="1"/>
  <c r="W44" i="4"/>
  <c r="G46" i="4"/>
  <c r="V46" i="4"/>
  <c r="U29" i="2"/>
  <c r="M32" i="2"/>
  <c r="E35" i="2"/>
  <c r="U35" i="2"/>
  <c r="O38" i="2"/>
  <c r="G39" i="2"/>
  <c r="U39" i="2"/>
  <c r="V42" i="2"/>
  <c r="G44" i="2"/>
  <c r="U44" i="2"/>
  <c r="O50" i="2"/>
  <c r="G51" i="2"/>
  <c r="U51" i="2"/>
  <c r="G56" i="2"/>
  <c r="U56" i="2"/>
  <c r="O62" i="2"/>
  <c r="G63" i="2"/>
  <c r="U63" i="2"/>
  <c r="G68" i="2"/>
  <c r="U68" i="2"/>
  <c r="G75" i="2"/>
  <c r="U75" i="2"/>
  <c r="S74" i="3"/>
  <c r="S68" i="3"/>
  <c r="S62" i="3"/>
  <c r="S75" i="3"/>
  <c r="S69" i="3"/>
  <c r="S63" i="3"/>
  <c r="S57" i="3"/>
  <c r="S51" i="3"/>
  <c r="S45" i="3"/>
  <c r="S44" i="3"/>
  <c r="S59" i="3"/>
  <c r="S35" i="3"/>
  <c r="S56" i="3"/>
  <c r="S42" i="3"/>
  <c r="S47" i="3"/>
  <c r="S39" i="3"/>
  <c r="S66" i="3"/>
  <c r="S58" i="3"/>
  <c r="S54" i="3"/>
  <c r="S31" i="3"/>
  <c r="S25" i="3"/>
  <c r="S36" i="3"/>
  <c r="S65" i="3"/>
  <c r="S50" i="3"/>
  <c r="U6" i="3"/>
  <c r="V11" i="3"/>
  <c r="U12" i="3"/>
  <c r="V17" i="3"/>
  <c r="U18" i="3"/>
  <c r="V23" i="3"/>
  <c r="U24" i="3"/>
  <c r="K26" i="3"/>
  <c r="E28" i="3"/>
  <c r="V28" i="3"/>
  <c r="S30" i="3"/>
  <c r="Q36" i="3"/>
  <c r="G40" i="3"/>
  <c r="U41" i="3"/>
  <c r="Q43" i="3"/>
  <c r="O47" i="3"/>
  <c r="S61" i="3"/>
  <c r="G67" i="3"/>
  <c r="V67" i="3"/>
  <c r="V23" i="4"/>
  <c r="K35" i="4"/>
  <c r="E44" i="4"/>
  <c r="I47" i="4"/>
  <c r="O74" i="2"/>
  <c r="O68" i="2"/>
  <c r="I11" i="2"/>
  <c r="U11" i="2"/>
  <c r="U24" i="2"/>
  <c r="M25" i="2"/>
  <c r="U27" i="2"/>
  <c r="M28" i="2"/>
  <c r="G29" i="2"/>
  <c r="O30" i="2"/>
  <c r="G31" i="2"/>
  <c r="U31" i="2"/>
  <c r="O32" i="2"/>
  <c r="G33" i="2"/>
  <c r="U33" i="2"/>
  <c r="M34" i="2"/>
  <c r="G35" i="2"/>
  <c r="O36" i="2"/>
  <c r="G37" i="2"/>
  <c r="U37" i="2"/>
  <c r="O40" i="2"/>
  <c r="O43" i="2"/>
  <c r="O45" i="2"/>
  <c r="I46" i="2"/>
  <c r="M48" i="2"/>
  <c r="G49" i="2"/>
  <c r="U49" i="2"/>
  <c r="O52" i="2"/>
  <c r="O55" i="2"/>
  <c r="O57" i="2"/>
  <c r="I58" i="2"/>
  <c r="M60" i="2"/>
  <c r="G61" i="2"/>
  <c r="U61" i="2"/>
  <c r="O64" i="2"/>
  <c r="O67" i="2"/>
  <c r="O69" i="2"/>
  <c r="I70" i="2"/>
  <c r="M72" i="2"/>
  <c r="G73" i="2"/>
  <c r="U73" i="2"/>
  <c r="O76" i="2"/>
  <c r="U75" i="3"/>
  <c r="U69" i="3"/>
  <c r="U63" i="3"/>
  <c r="U57" i="3"/>
  <c r="U76" i="3"/>
  <c r="U70" i="3"/>
  <c r="U64" i="3"/>
  <c r="U58" i="3"/>
  <c r="U52" i="3"/>
  <c r="U46" i="3"/>
  <c r="U49" i="3"/>
  <c r="U42" i="3"/>
  <c r="U47" i="3"/>
  <c r="U39" i="3"/>
  <c r="U66" i="3"/>
  <c r="U54" i="3"/>
  <c r="U36" i="3"/>
  <c r="U73" i="3"/>
  <c r="U65" i="3"/>
  <c r="U45" i="3"/>
  <c r="U40" i="3"/>
  <c r="U32" i="3"/>
  <c r="U26" i="3"/>
  <c r="U43" i="3"/>
  <c r="U61" i="3"/>
  <c r="U37" i="3"/>
  <c r="U72" i="3"/>
  <c r="U55" i="3"/>
  <c r="U48" i="3"/>
  <c r="Q7" i="3"/>
  <c r="G10" i="3"/>
  <c r="G11" i="3"/>
  <c r="Q13" i="3"/>
  <c r="G16" i="3"/>
  <c r="G17" i="3"/>
  <c r="Q19" i="3"/>
  <c r="G22" i="3"/>
  <c r="G23" i="3"/>
  <c r="Q25" i="3"/>
  <c r="G27" i="3"/>
  <c r="V29" i="3"/>
  <c r="U30" i="3"/>
  <c r="O31" i="3"/>
  <c r="K32" i="3"/>
  <c r="G33" i="3"/>
  <c r="G34" i="3"/>
  <c r="Q37" i="3"/>
  <c r="S43" i="3"/>
  <c r="O45" i="3"/>
  <c r="G53" i="3"/>
  <c r="U59" i="3"/>
  <c r="U60" i="3"/>
  <c r="V64" i="3"/>
  <c r="G71" i="3"/>
  <c r="I29" i="4"/>
  <c r="V29" i="4"/>
  <c r="V43" i="4"/>
  <c r="E43" i="4"/>
  <c r="I45" i="4"/>
  <c r="I46" i="4"/>
  <c r="M35" i="3"/>
  <c r="M56" i="3"/>
  <c r="V68" i="3"/>
  <c r="V76" i="3"/>
  <c r="O6" i="4"/>
  <c r="I8" i="4"/>
  <c r="V11" i="4"/>
  <c r="O20" i="4"/>
  <c r="O28" i="4"/>
  <c r="I30" i="4"/>
  <c r="V31" i="4"/>
  <c r="E31" i="4"/>
  <c r="U32" i="4"/>
  <c r="S34" i="4"/>
  <c r="V39" i="4"/>
  <c r="E39" i="4"/>
  <c r="S41" i="4"/>
  <c r="O42" i="4"/>
  <c r="V48" i="4"/>
  <c r="V53" i="4"/>
  <c r="S66" i="4"/>
  <c r="G74" i="4"/>
  <c r="V74" i="4"/>
  <c r="S80" i="4"/>
  <c r="M51" i="3"/>
  <c r="E52" i="3"/>
  <c r="I55" i="3"/>
  <c r="I60" i="3"/>
  <c r="M63" i="3"/>
  <c r="V65" i="3"/>
  <c r="Q66" i="3"/>
  <c r="S73" i="3"/>
  <c r="M74" i="3"/>
  <c r="K75" i="3"/>
  <c r="E76" i="3"/>
  <c r="I9" i="4"/>
  <c r="I17" i="4"/>
  <c r="V18" i="4"/>
  <c r="S19" i="4"/>
  <c r="O21" i="4"/>
  <c r="U25" i="4"/>
  <c r="S26" i="4"/>
  <c r="O29" i="4"/>
  <c r="V32" i="4"/>
  <c r="U33" i="4"/>
  <c r="V40" i="4"/>
  <c r="U41" i="4"/>
  <c r="I49" i="4"/>
  <c r="S55" i="4"/>
  <c r="O65" i="4"/>
  <c r="I74" i="4"/>
  <c r="U80" i="4"/>
  <c r="E45" i="2"/>
  <c r="E51" i="2"/>
  <c r="E57" i="2"/>
  <c r="E63" i="2"/>
  <c r="M38" i="3"/>
  <c r="E39" i="3"/>
  <c r="M44" i="3"/>
  <c r="V47" i="3"/>
  <c r="I57" i="3"/>
  <c r="O59" i="3"/>
  <c r="G61" i="3"/>
  <c r="V61" i="3"/>
  <c r="I68" i="3"/>
  <c r="U12" i="4"/>
  <c r="O14" i="4"/>
  <c r="O22" i="4"/>
  <c r="I24" i="4"/>
  <c r="V25" i="4"/>
  <c r="E25" i="4"/>
  <c r="U26" i="4"/>
  <c r="S28" i="4"/>
  <c r="E32" i="4"/>
  <c r="V33" i="4"/>
  <c r="E33" i="4"/>
  <c r="S35" i="4"/>
  <c r="O36" i="4"/>
  <c r="I38" i="4"/>
  <c r="V41" i="4"/>
  <c r="I48" i="4"/>
  <c r="I53" i="4"/>
  <c r="O54" i="4"/>
  <c r="U55" i="4"/>
  <c r="E63" i="4"/>
  <c r="V63" i="4"/>
  <c r="V67" i="4"/>
  <c r="E73" i="4"/>
  <c r="V73" i="4"/>
  <c r="V77" i="4"/>
  <c r="M16" i="5"/>
  <c r="M28" i="5"/>
  <c r="E73" i="3"/>
  <c r="E67" i="3"/>
  <c r="E61" i="3"/>
  <c r="E74" i="3"/>
  <c r="E68" i="3"/>
  <c r="E62" i="3"/>
  <c r="E56" i="3"/>
  <c r="E50" i="3"/>
  <c r="E44" i="3"/>
  <c r="M22" i="3"/>
  <c r="E24" i="3"/>
  <c r="M28" i="3"/>
  <c r="E30" i="3"/>
  <c r="M34" i="3"/>
  <c r="V35" i="3"/>
  <c r="M46" i="3"/>
  <c r="E47" i="3"/>
  <c r="V49" i="3"/>
  <c r="I50" i="3"/>
  <c r="M53" i="3"/>
  <c r="V58" i="3"/>
  <c r="M67" i="3"/>
  <c r="E69" i="3"/>
  <c r="O7" i="4"/>
  <c r="I11" i="4"/>
  <c r="V12" i="4"/>
  <c r="S13" i="4"/>
  <c r="O15" i="4"/>
  <c r="U19" i="4"/>
  <c r="S20" i="4"/>
  <c r="O23" i="4"/>
  <c r="V26" i="4"/>
  <c r="U27" i="4"/>
  <c r="V34" i="4"/>
  <c r="U35" i="4"/>
  <c r="I39" i="4"/>
  <c r="S42" i="4"/>
  <c r="O44" i="4"/>
  <c r="O45" i="4"/>
  <c r="O47" i="4"/>
  <c r="S79" i="4"/>
  <c r="V56" i="3"/>
  <c r="U62" i="3"/>
  <c r="O71" i="3"/>
  <c r="G73" i="3"/>
  <c r="V73" i="3"/>
  <c r="I18" i="4"/>
  <c r="V19" i="4"/>
  <c r="E19" i="4"/>
  <c r="V27" i="4"/>
  <c r="E27" i="4"/>
  <c r="I32" i="4"/>
  <c r="U42" i="4"/>
  <c r="S46" i="4"/>
  <c r="G52" i="4"/>
  <c r="V52" i="4"/>
  <c r="S54" i="4"/>
  <c r="I63" i="4"/>
  <c r="O64" i="4"/>
  <c r="I73" i="4"/>
  <c r="O78" i="4"/>
  <c r="I75" i="3"/>
  <c r="I69" i="3"/>
  <c r="I63" i="3"/>
  <c r="I76" i="3"/>
  <c r="I70" i="3"/>
  <c r="I64" i="3"/>
  <c r="I58" i="3"/>
  <c r="I52" i="3"/>
  <c r="I46" i="3"/>
  <c r="V38" i="3"/>
  <c r="V62" i="3"/>
  <c r="V70" i="3"/>
  <c r="S7" i="4"/>
  <c r="O9" i="4"/>
  <c r="U13" i="4"/>
  <c r="S14" i="4"/>
  <c r="O17" i="4"/>
  <c r="V20" i="4"/>
  <c r="U21" i="4"/>
  <c r="V28" i="4"/>
  <c r="U29" i="4"/>
  <c r="I33" i="4"/>
  <c r="S36" i="4"/>
  <c r="I41" i="4"/>
  <c r="S43" i="4"/>
  <c r="O53" i="4"/>
  <c r="U69" i="4"/>
  <c r="W70" i="4"/>
  <c r="E72" i="4"/>
  <c r="V72" i="4"/>
  <c r="V80" i="4"/>
  <c r="M13" i="5"/>
  <c r="V44" i="3"/>
  <c r="V59" i="3"/>
  <c r="Q60" i="3"/>
  <c r="S67" i="3"/>
  <c r="K69" i="3"/>
  <c r="U74" i="3"/>
  <c r="I12" i="4"/>
  <c r="V13" i="4"/>
  <c r="E13" i="4"/>
  <c r="V21" i="4"/>
  <c r="E21" i="4"/>
  <c r="I26" i="4"/>
  <c r="O48" i="4"/>
  <c r="E51" i="4"/>
  <c r="V51" i="4"/>
  <c r="V55" i="4"/>
  <c r="G62" i="4"/>
  <c r="V62" i="4"/>
  <c r="S68" i="4"/>
  <c r="W69" i="4"/>
  <c r="AA70" i="4"/>
  <c r="M71" i="3"/>
  <c r="M65" i="3"/>
  <c r="M59" i="3"/>
  <c r="M72" i="3"/>
  <c r="M66" i="3"/>
  <c r="M60" i="3"/>
  <c r="M54" i="3"/>
  <c r="M48" i="3"/>
  <c r="M42" i="3"/>
  <c r="E34" i="3"/>
  <c r="V41" i="3"/>
  <c r="V46" i="3"/>
  <c r="M50" i="3"/>
  <c r="V53" i="3"/>
  <c r="W54" i="3"/>
  <c r="E59" i="3"/>
  <c r="I62" i="3"/>
  <c r="V74" i="3"/>
  <c r="O11" i="4"/>
  <c r="V14" i="4"/>
  <c r="U15" i="4"/>
  <c r="U23" i="4"/>
  <c r="I27" i="4"/>
  <c r="I35" i="4"/>
  <c r="S37" i="4"/>
  <c r="O39" i="4"/>
  <c r="U44" i="4"/>
  <c r="U45" i="4"/>
  <c r="U47" i="4"/>
  <c r="S58" i="4"/>
  <c r="U59" i="4"/>
  <c r="E61" i="4"/>
  <c r="V61" i="4"/>
  <c r="I62" i="4"/>
  <c r="U68" i="4"/>
  <c r="Z69" i="4"/>
  <c r="AA69" i="4" s="1"/>
  <c r="E71" i="4"/>
  <c r="V71" i="4"/>
  <c r="O77" i="4"/>
  <c r="M74" i="5"/>
  <c r="M68" i="5"/>
  <c r="M62" i="5"/>
  <c r="M56" i="5"/>
  <c r="M50" i="5"/>
  <c r="M44" i="5"/>
  <c r="M38" i="5"/>
  <c r="M32" i="5"/>
  <c r="M29" i="5"/>
  <c r="M26" i="5"/>
  <c r="M23" i="5"/>
  <c r="M20" i="5"/>
  <c r="M17" i="5"/>
  <c r="M14" i="5"/>
  <c r="M11" i="5"/>
  <c r="M8" i="5"/>
  <c r="M33" i="5"/>
  <c r="M30" i="5"/>
  <c r="M27" i="5"/>
  <c r="M24" i="5"/>
  <c r="M21" i="5"/>
  <c r="M18" i="5"/>
  <c r="M15" i="5"/>
  <c r="M12" i="5"/>
  <c r="M9" i="5"/>
  <c r="M6" i="5"/>
  <c r="E52" i="4"/>
  <c r="G53" i="4"/>
  <c r="I54" i="4"/>
  <c r="K55" i="4"/>
  <c r="M56" i="4"/>
  <c r="O57" i="4"/>
  <c r="Q58" i="4"/>
  <c r="S59" i="4"/>
  <c r="U60" i="4"/>
  <c r="E64" i="4"/>
  <c r="G65" i="4"/>
  <c r="I66" i="4"/>
  <c r="K67" i="4"/>
  <c r="M68" i="4"/>
  <c r="O69" i="4"/>
  <c r="Q70" i="4"/>
  <c r="S71" i="4"/>
  <c r="U72" i="4"/>
  <c r="E76" i="4"/>
  <c r="G77" i="4"/>
  <c r="I78" i="4"/>
  <c r="K79" i="4"/>
  <c r="M80" i="4"/>
  <c r="V5" i="5"/>
  <c r="E76" i="5"/>
  <c r="E70" i="5"/>
  <c r="E64" i="5"/>
  <c r="E58" i="5"/>
  <c r="E52" i="5"/>
  <c r="E46" i="5"/>
  <c r="E40" i="5"/>
  <c r="E34" i="5"/>
  <c r="M37" i="5"/>
  <c r="Z40" i="5"/>
  <c r="M41" i="5"/>
  <c r="M45" i="5"/>
  <c r="M49" i="5"/>
  <c r="Z52" i="5"/>
  <c r="W52" i="5"/>
  <c r="M53" i="5"/>
  <c r="M57" i="5"/>
  <c r="M61" i="5"/>
  <c r="M65" i="5"/>
  <c r="M69" i="5"/>
  <c r="M73" i="5"/>
  <c r="M77" i="5"/>
  <c r="I65" i="4"/>
  <c r="O68" i="4"/>
  <c r="S70" i="4"/>
  <c r="U71" i="4"/>
  <c r="G76" i="4"/>
  <c r="I77" i="4"/>
  <c r="K78" i="4"/>
  <c r="O80" i="4"/>
  <c r="E50" i="4"/>
  <c r="G51" i="4"/>
  <c r="I52" i="4"/>
  <c r="K53" i="4"/>
  <c r="M54" i="4"/>
  <c r="O55" i="4"/>
  <c r="Q56" i="4"/>
  <c r="S57" i="4"/>
  <c r="U58" i="4"/>
  <c r="E62" i="4"/>
  <c r="G63" i="4"/>
  <c r="I64" i="4"/>
  <c r="K65" i="4"/>
  <c r="M66" i="4"/>
  <c r="O67" i="4"/>
  <c r="Q68" i="4"/>
  <c r="S69" i="4"/>
  <c r="U70" i="4"/>
  <c r="E74" i="4"/>
  <c r="G75" i="4"/>
  <c r="I76" i="4"/>
  <c r="K77" i="4"/>
  <c r="M78" i="4"/>
  <c r="O79" i="4"/>
  <c r="Q80" i="4"/>
  <c r="I78" i="5"/>
  <c r="I72" i="5"/>
  <c r="I66" i="5"/>
  <c r="I60" i="5"/>
  <c r="I54" i="5"/>
  <c r="I48" i="5"/>
  <c r="I42" i="5"/>
  <c r="I36" i="5"/>
  <c r="E35" i="5"/>
  <c r="Q37" i="5"/>
  <c r="Z39" i="5"/>
  <c r="W39" i="5"/>
  <c r="Q41" i="5"/>
  <c r="E43" i="5"/>
  <c r="Q45" i="5"/>
  <c r="E47" i="5"/>
  <c r="Q49" i="5"/>
  <c r="Z51" i="5"/>
  <c r="W51" i="5"/>
  <c r="Q53" i="5"/>
  <c r="E55" i="5"/>
  <c r="Q57" i="5"/>
  <c r="E59" i="5"/>
  <c r="Q61" i="5"/>
  <c r="Z63" i="5"/>
  <c r="W63" i="5"/>
  <c r="Q65" i="5"/>
  <c r="E67" i="5"/>
  <c r="Q69" i="5"/>
  <c r="E71" i="5"/>
  <c r="Q73" i="5"/>
  <c r="Z75" i="5"/>
  <c r="W75" i="5"/>
  <c r="Q77" i="5"/>
  <c r="E79" i="5"/>
  <c r="K74" i="4"/>
  <c r="M75" i="4"/>
  <c r="O76" i="4"/>
  <c r="Q77" i="4"/>
  <c r="S78" i="4"/>
  <c r="U79" i="4"/>
  <c r="Q36" i="5"/>
  <c r="E38" i="5"/>
  <c r="E42" i="5"/>
  <c r="Q44" i="5"/>
  <c r="Q48" i="5"/>
  <c r="E50" i="5"/>
  <c r="E54" i="5"/>
  <c r="Q56" i="5"/>
  <c r="Z58" i="5"/>
  <c r="W58" i="5"/>
  <c r="Q60" i="5"/>
  <c r="E62" i="5"/>
  <c r="E66" i="5"/>
  <c r="Q68" i="5"/>
  <c r="Z70" i="5"/>
  <c r="W70" i="5"/>
  <c r="Q72" i="5"/>
  <c r="E74" i="5"/>
  <c r="E78" i="5"/>
  <c r="K49" i="4"/>
  <c r="M50" i="4"/>
  <c r="O51" i="4"/>
  <c r="Q52" i="4"/>
  <c r="S53" i="4"/>
  <c r="U54" i="4"/>
  <c r="E58" i="4"/>
  <c r="G59" i="4"/>
  <c r="I60" i="4"/>
  <c r="K61" i="4"/>
  <c r="M62" i="4"/>
  <c r="O63" i="4"/>
  <c r="Q64" i="4"/>
  <c r="S65" i="4"/>
  <c r="U66" i="4"/>
  <c r="E70" i="4"/>
  <c r="G71" i="4"/>
  <c r="I72" i="4"/>
  <c r="K73" i="4"/>
  <c r="M74" i="4"/>
  <c r="O75" i="4"/>
  <c r="Q76" i="4"/>
  <c r="S77" i="4"/>
  <c r="U78" i="4"/>
  <c r="Q76" i="5"/>
  <c r="Q70" i="5"/>
  <c r="Q64" i="5"/>
  <c r="Q58" i="5"/>
  <c r="Q52" i="5"/>
  <c r="Q46" i="5"/>
  <c r="Q40" i="5"/>
  <c r="Q34" i="5"/>
  <c r="Z34" i="5"/>
  <c r="W34" i="5"/>
  <c r="M35" i="5"/>
  <c r="M39" i="5"/>
  <c r="M43" i="5"/>
  <c r="Z46" i="5"/>
  <c r="W46" i="5"/>
  <c r="M47" i="5"/>
  <c r="M51" i="5"/>
  <c r="M55" i="5"/>
  <c r="M59" i="5"/>
  <c r="M63" i="5"/>
  <c r="M67" i="5"/>
  <c r="M71" i="5"/>
  <c r="M75" i="5"/>
  <c r="M79" i="5"/>
  <c r="M49" i="4"/>
  <c r="O50" i="4"/>
  <c r="Q51" i="4"/>
  <c r="S52" i="4"/>
  <c r="U53" i="4"/>
  <c r="V54" i="4"/>
  <c r="E57" i="4"/>
  <c r="G58" i="4"/>
  <c r="I59" i="4"/>
  <c r="K60" i="4"/>
  <c r="M61" i="4"/>
  <c r="O62" i="4"/>
  <c r="Q63" i="4"/>
  <c r="S64" i="4"/>
  <c r="U65" i="4"/>
  <c r="V66" i="4"/>
  <c r="E69" i="4"/>
  <c r="G70" i="4"/>
  <c r="I71" i="4"/>
  <c r="K72" i="4"/>
  <c r="M73" i="4"/>
  <c r="O74" i="4"/>
  <c r="Q75" i="4"/>
  <c r="S76" i="4"/>
  <c r="U77" i="4"/>
  <c r="E7" i="5"/>
  <c r="Q7" i="5"/>
  <c r="I8" i="5"/>
  <c r="U8" i="5"/>
  <c r="E10" i="5"/>
  <c r="Q10" i="5"/>
  <c r="I11" i="5"/>
  <c r="U11" i="5"/>
  <c r="E13" i="5"/>
  <c r="Q13" i="5"/>
  <c r="I14" i="5"/>
  <c r="U14" i="5"/>
  <c r="E16" i="5"/>
  <c r="Q16" i="5"/>
  <c r="I17" i="5"/>
  <c r="U17" i="5"/>
  <c r="E19" i="5"/>
  <c r="Q19" i="5"/>
  <c r="I20" i="5"/>
  <c r="U20" i="5"/>
  <c r="E22" i="5"/>
  <c r="Q22" i="5"/>
  <c r="I23" i="5"/>
  <c r="U23" i="5"/>
  <c r="E25" i="5"/>
  <c r="Q25" i="5"/>
  <c r="I26" i="5"/>
  <c r="U26" i="5"/>
  <c r="E28" i="5"/>
  <c r="Q28" i="5"/>
  <c r="I29" i="5"/>
  <c r="U29" i="5"/>
  <c r="E31" i="5"/>
  <c r="Q31" i="5"/>
  <c r="I32" i="5"/>
  <c r="I34" i="5"/>
  <c r="I38" i="5"/>
  <c r="U40" i="5"/>
  <c r="U44" i="5"/>
  <c r="I46" i="5"/>
  <c r="I50" i="5"/>
  <c r="U52" i="5"/>
  <c r="U56" i="5"/>
  <c r="I58" i="5"/>
  <c r="I62" i="5"/>
  <c r="U64" i="5"/>
  <c r="U68" i="5"/>
  <c r="I70" i="5"/>
  <c r="I74" i="5"/>
  <c r="U76" i="5"/>
  <c r="O49" i="4"/>
  <c r="Q50" i="4"/>
  <c r="S51" i="4"/>
  <c r="U52" i="4"/>
  <c r="E56" i="4"/>
  <c r="G57" i="4"/>
  <c r="I58" i="4"/>
  <c r="K59" i="4"/>
  <c r="M60" i="4"/>
  <c r="O61" i="4"/>
  <c r="Q62" i="4"/>
  <c r="S63" i="4"/>
  <c r="U64" i="4"/>
  <c r="E68" i="4"/>
  <c r="G69" i="4"/>
  <c r="I70" i="4"/>
  <c r="K71" i="4"/>
  <c r="M72" i="4"/>
  <c r="O73" i="4"/>
  <c r="Q74" i="4"/>
  <c r="S75" i="4"/>
  <c r="U76" i="4"/>
  <c r="E80" i="4"/>
  <c r="U78" i="5"/>
  <c r="U72" i="5"/>
  <c r="U66" i="5"/>
  <c r="U60" i="5"/>
  <c r="U54" i="5"/>
  <c r="U48" i="5"/>
  <c r="U42" i="5"/>
  <c r="U36" i="5"/>
  <c r="W8" i="5"/>
  <c r="W14" i="5"/>
  <c r="W20" i="5"/>
  <c r="W26" i="5"/>
  <c r="W29" i="5"/>
  <c r="W32" i="5"/>
  <c r="Q35" i="5"/>
  <c r="E37" i="5"/>
  <c r="Q39" i="5"/>
  <c r="E41" i="5"/>
  <c r="Q43" i="5"/>
  <c r="Z45" i="5"/>
  <c r="W45" i="5"/>
  <c r="Q47" i="5"/>
  <c r="E49" i="5"/>
  <c r="Q51" i="5"/>
  <c r="E53" i="5"/>
  <c r="Q55" i="5"/>
  <c r="Z57" i="5"/>
  <c r="W57" i="5"/>
  <c r="Q59" i="5"/>
  <c r="E61" i="5"/>
  <c r="Q63" i="5"/>
  <c r="E65" i="5"/>
  <c r="Q67" i="5"/>
  <c r="Z69" i="5"/>
  <c r="W69" i="5"/>
  <c r="Q71" i="5"/>
  <c r="E73" i="5"/>
  <c r="Q75" i="5"/>
  <c r="E77" i="5"/>
  <c r="Q79" i="5"/>
  <c r="S48" i="4"/>
  <c r="Q49" i="4"/>
  <c r="S50" i="4"/>
  <c r="U51" i="4"/>
  <c r="E55" i="4"/>
  <c r="G56" i="4"/>
  <c r="I57" i="4"/>
  <c r="K58" i="4"/>
  <c r="M59" i="4"/>
  <c r="O60" i="4"/>
  <c r="Q61" i="4"/>
  <c r="S62" i="4"/>
  <c r="U63" i="4"/>
  <c r="V64" i="4"/>
  <c r="E67" i="4"/>
  <c r="G68" i="4"/>
  <c r="I69" i="4"/>
  <c r="K70" i="4"/>
  <c r="M71" i="4"/>
  <c r="O72" i="4"/>
  <c r="Q73" i="4"/>
  <c r="S74" i="4"/>
  <c r="U75" i="4"/>
  <c r="V76" i="4"/>
  <c r="E79" i="4"/>
  <c r="G80" i="4"/>
  <c r="M34" i="5"/>
  <c r="M42" i="5"/>
  <c r="M46" i="5"/>
  <c r="M54" i="5"/>
  <c r="M58" i="5"/>
  <c r="M66" i="5"/>
  <c r="M70" i="5"/>
  <c r="M78" i="5"/>
  <c r="U48" i="4"/>
  <c r="S49" i="4"/>
  <c r="U50" i="4"/>
  <c r="G55" i="4"/>
  <c r="I56" i="4"/>
  <c r="K57" i="4"/>
  <c r="O59" i="4"/>
  <c r="S61" i="4"/>
  <c r="U62" i="4"/>
  <c r="G67" i="4"/>
  <c r="I68" i="4"/>
  <c r="K69" i="4"/>
  <c r="O71" i="4"/>
  <c r="S73" i="4"/>
  <c r="U74" i="4"/>
  <c r="V75" i="4"/>
  <c r="E78" i="4"/>
  <c r="G79" i="4"/>
  <c r="I80" i="4"/>
  <c r="Z33" i="5"/>
  <c r="W33" i="5"/>
  <c r="I65" i="5"/>
  <c r="U67" i="5"/>
  <c r="I69" i="5"/>
  <c r="U71" i="5"/>
  <c r="I73" i="5"/>
  <c r="U75" i="5"/>
  <c r="I77" i="5"/>
  <c r="U79" i="5"/>
  <c r="U49" i="4"/>
  <c r="E53" i="4"/>
  <c r="G54" i="4"/>
  <c r="I55" i="4"/>
  <c r="K56" i="4"/>
  <c r="M57" i="4"/>
  <c r="O58" i="4"/>
  <c r="Q59" i="4"/>
  <c r="S60" i="4"/>
  <c r="U61" i="4"/>
  <c r="E65" i="4"/>
  <c r="G66" i="4"/>
  <c r="I67" i="4"/>
  <c r="K68" i="4"/>
  <c r="M69" i="4"/>
  <c r="O70" i="4"/>
  <c r="Q71" i="4"/>
  <c r="S72" i="4"/>
  <c r="U73" i="4"/>
  <c r="E77" i="4"/>
  <c r="G78" i="4"/>
  <c r="I79" i="4"/>
  <c r="K80" i="4"/>
  <c r="E6" i="5"/>
  <c r="Q6" i="5"/>
  <c r="I7" i="5"/>
  <c r="U7" i="5"/>
  <c r="E9" i="5"/>
  <c r="Q9" i="5"/>
  <c r="I10" i="5"/>
  <c r="U10" i="5"/>
  <c r="E12" i="5"/>
  <c r="Q12" i="5"/>
  <c r="I13" i="5"/>
  <c r="U13" i="5"/>
  <c r="E15" i="5"/>
  <c r="Q15" i="5"/>
  <c r="I16" i="5"/>
  <c r="U16" i="5"/>
  <c r="E18" i="5"/>
  <c r="Q18" i="5"/>
  <c r="I19" i="5"/>
  <c r="U19" i="5"/>
  <c r="E21" i="5"/>
  <c r="Q21" i="5"/>
  <c r="I22" i="5"/>
  <c r="U22" i="5"/>
  <c r="E24" i="5"/>
  <c r="Q24" i="5"/>
  <c r="I25" i="5"/>
  <c r="U25" i="5"/>
  <c r="E27" i="5"/>
  <c r="Q27" i="5"/>
  <c r="I28" i="5"/>
  <c r="U28" i="5"/>
  <c r="E30" i="5"/>
  <c r="Q30" i="5"/>
  <c r="I31" i="5"/>
  <c r="U31" i="5"/>
  <c r="E33" i="5"/>
  <c r="Q33" i="5"/>
  <c r="E36" i="5"/>
  <c r="Q38" i="5"/>
  <c r="Q42" i="5"/>
  <c r="E44" i="5"/>
  <c r="E48" i="5"/>
  <c r="Q50" i="5"/>
  <c r="Q54" i="5"/>
  <c r="E56" i="5"/>
  <c r="E60" i="5"/>
  <c r="Q62" i="5"/>
  <c r="Z64" i="5"/>
  <c r="W64" i="5"/>
  <c r="Q66" i="5"/>
  <c r="E68" i="5"/>
  <c r="E72" i="5"/>
  <c r="Q74" i="5"/>
  <c r="Z76" i="5"/>
  <c r="W76" i="5"/>
  <c r="Q78" i="5"/>
  <c r="V37" i="5"/>
  <c r="V43" i="5"/>
  <c r="V49" i="5"/>
  <c r="V55" i="5"/>
  <c r="V61" i="5"/>
  <c r="V67" i="5"/>
  <c r="V73" i="5"/>
  <c r="V79" i="5"/>
  <c r="G35" i="5"/>
  <c r="S35" i="5"/>
  <c r="K37" i="5"/>
  <c r="O39" i="5"/>
  <c r="G41" i="5"/>
  <c r="S41" i="5"/>
  <c r="K43" i="5"/>
  <c r="O45" i="5"/>
  <c r="G47" i="5"/>
  <c r="S47" i="5"/>
  <c r="K49" i="5"/>
  <c r="O51" i="5"/>
  <c r="G53" i="5"/>
  <c r="S53" i="5"/>
  <c r="K55" i="5"/>
  <c r="O57" i="5"/>
  <c r="G59" i="5"/>
  <c r="S59" i="5"/>
  <c r="K61" i="5"/>
  <c r="O63" i="5"/>
  <c r="G65" i="5"/>
  <c r="S65" i="5"/>
  <c r="K67" i="5"/>
  <c r="O69" i="5"/>
  <c r="G71" i="5"/>
  <c r="S71" i="5"/>
  <c r="K73" i="5"/>
  <c r="V36" i="5"/>
  <c r="V42" i="5"/>
  <c r="V48" i="5"/>
  <c r="V54" i="5"/>
  <c r="V60" i="5"/>
  <c r="V66" i="5"/>
  <c r="V72" i="5"/>
  <c r="V78" i="5"/>
  <c r="G34" i="5"/>
  <c r="E39" i="5"/>
  <c r="G40" i="5"/>
  <c r="E45" i="5"/>
  <c r="G46" i="5"/>
  <c r="E51" i="5"/>
  <c r="G52" i="5"/>
  <c r="E57" i="5"/>
  <c r="E63" i="5"/>
  <c r="E69" i="5"/>
  <c r="E75" i="5"/>
  <c r="V35" i="5"/>
  <c r="V41" i="5"/>
  <c r="V47" i="5"/>
  <c r="V53" i="5"/>
  <c r="V59" i="5"/>
  <c r="V65" i="5"/>
  <c r="V71" i="5"/>
  <c r="V77" i="5"/>
  <c r="V38" i="5"/>
  <c r="V44" i="5"/>
  <c r="V50" i="5"/>
  <c r="V56" i="5"/>
  <c r="V62" i="5"/>
  <c r="V68" i="5"/>
  <c r="V74" i="5"/>
  <c r="W74" i="5" l="1"/>
  <c r="Z74" i="5"/>
  <c r="Z47" i="5"/>
  <c r="W47" i="5"/>
  <c r="W70" i="3"/>
  <c r="Z70" i="3"/>
  <c r="Z39" i="4"/>
  <c r="AA39" i="4" s="1"/>
  <c r="W39" i="4"/>
  <c r="Z68" i="3"/>
  <c r="AA68" i="3" s="1"/>
  <c r="W68" i="3"/>
  <c r="W23" i="4"/>
  <c r="Z23" i="4"/>
  <c r="AA23" i="4" s="1"/>
  <c r="W63" i="2"/>
  <c r="Z63" i="2"/>
  <c r="AA63" i="2" s="1"/>
  <c r="Z38" i="4"/>
  <c r="AA38" i="4" s="1"/>
  <c r="W38" i="4"/>
  <c r="Z69" i="2"/>
  <c r="AA69" i="2" s="1"/>
  <c r="W69" i="2"/>
  <c r="Z45" i="2"/>
  <c r="AA45" i="2" s="1"/>
  <c r="W45" i="2"/>
  <c r="W56" i="4"/>
  <c r="Z56" i="4"/>
  <c r="AA56" i="4" s="1"/>
  <c r="Z24" i="3"/>
  <c r="W24" i="3"/>
  <c r="Z48" i="2"/>
  <c r="AA48" i="2" s="1"/>
  <c r="W48" i="2"/>
  <c r="W30" i="3"/>
  <c r="Z28" i="2"/>
  <c r="AA28" i="2" s="1"/>
  <c r="W28" i="2"/>
  <c r="W19" i="3"/>
  <c r="Z19" i="3"/>
  <c r="AA19" i="3" s="1"/>
  <c r="Z46" i="1"/>
  <c r="AA46" i="1" s="1"/>
  <c r="W46" i="1"/>
  <c r="W68" i="5"/>
  <c r="Z68" i="5"/>
  <c r="Z41" i="5"/>
  <c r="W41" i="5"/>
  <c r="Z79" i="5"/>
  <c r="W79" i="5"/>
  <c r="Z44" i="3"/>
  <c r="AA44" i="3" s="1"/>
  <c r="W44" i="3"/>
  <c r="Z62" i="3"/>
  <c r="AA62" i="3" s="1"/>
  <c r="W62" i="3"/>
  <c r="W19" i="4"/>
  <c r="Z19" i="4"/>
  <c r="AA19" i="4" s="1"/>
  <c r="Z47" i="3"/>
  <c r="W47" i="3"/>
  <c r="W18" i="4"/>
  <c r="Z18" i="4"/>
  <c r="AA18" i="4" s="1"/>
  <c r="Z67" i="3"/>
  <c r="W67" i="3"/>
  <c r="W18" i="2"/>
  <c r="Z18" i="2"/>
  <c r="AA18" i="2" s="1"/>
  <c r="W55" i="1"/>
  <c r="Z55" i="1"/>
  <c r="AA55" i="1" s="1"/>
  <c r="Z53" i="2"/>
  <c r="AA53" i="2" s="1"/>
  <c r="W53" i="2"/>
  <c r="Z51" i="1"/>
  <c r="AA51" i="1" s="1"/>
  <c r="W51" i="1"/>
  <c r="W60" i="4"/>
  <c r="Z60" i="4"/>
  <c r="AA60" i="4" s="1"/>
  <c r="W62" i="2"/>
  <c r="W25" i="2"/>
  <c r="W73" i="2"/>
  <c r="Z29" i="2"/>
  <c r="AA29" i="2" s="1"/>
  <c r="W29" i="2"/>
  <c r="Z12" i="2"/>
  <c r="AA12" i="2" s="1"/>
  <c r="W12" i="2"/>
  <c r="Z40" i="1"/>
  <c r="AA40" i="1" s="1"/>
  <c r="W40" i="1"/>
  <c r="W20" i="3"/>
  <c r="AA30" i="2"/>
  <c r="AA33" i="2"/>
  <c r="W62" i="5"/>
  <c r="Z62" i="5"/>
  <c r="Z35" i="5"/>
  <c r="AA35" i="5" s="1"/>
  <c r="W35" i="5"/>
  <c r="Z78" i="5"/>
  <c r="W78" i="5"/>
  <c r="Z73" i="5"/>
  <c r="W73" i="5"/>
  <c r="W71" i="4"/>
  <c r="Z71" i="4"/>
  <c r="AA71" i="4" s="1"/>
  <c r="Z53" i="3"/>
  <c r="W53" i="3"/>
  <c r="Z38" i="3"/>
  <c r="AA38" i="3" s="1"/>
  <c r="W38" i="3"/>
  <c r="Z35" i="3"/>
  <c r="W35" i="3"/>
  <c r="Z23" i="3"/>
  <c r="W23" i="3"/>
  <c r="Z10" i="3"/>
  <c r="W10" i="3"/>
  <c r="W21" i="3"/>
  <c r="Z21" i="3"/>
  <c r="Z9" i="4"/>
  <c r="AA9" i="4" s="1"/>
  <c r="W9" i="4"/>
  <c r="Z8" i="4"/>
  <c r="AA8" i="4" s="1"/>
  <c r="W8" i="4"/>
  <c r="AA66" i="2"/>
  <c r="Z53" i="1"/>
  <c r="AA53" i="1" s="1"/>
  <c r="W53" i="1"/>
  <c r="W25" i="3"/>
  <c r="Z25" i="3"/>
  <c r="Z69" i="1"/>
  <c r="AA69" i="1" s="1"/>
  <c r="W69" i="1"/>
  <c r="Z62" i="1"/>
  <c r="AA62" i="1" s="1"/>
  <c r="W62" i="1"/>
  <c r="W32" i="3"/>
  <c r="Z32" i="3"/>
  <c r="AA32" i="3" s="1"/>
  <c r="AA25" i="2"/>
  <c r="AA73" i="2"/>
  <c r="Z9" i="2"/>
  <c r="AA9" i="2" s="1"/>
  <c r="W9" i="2"/>
  <c r="W47" i="2"/>
  <c r="Z34" i="1"/>
  <c r="AA34" i="1" s="1"/>
  <c r="W34" i="1"/>
  <c r="W30" i="2"/>
  <c r="W56" i="5"/>
  <c r="Z56" i="5"/>
  <c r="AA56" i="5" s="1"/>
  <c r="Z72" i="5"/>
  <c r="AA72" i="5" s="1"/>
  <c r="W72" i="5"/>
  <c r="Z67" i="5"/>
  <c r="W67" i="5"/>
  <c r="Z21" i="4"/>
  <c r="AA21" i="4" s="1"/>
  <c r="W21" i="4"/>
  <c r="Z73" i="3"/>
  <c r="W73" i="3"/>
  <c r="W12" i="4"/>
  <c r="Z12" i="4"/>
  <c r="AA12" i="4" s="1"/>
  <c r="W25" i="4"/>
  <c r="Z25" i="4"/>
  <c r="AA25" i="4" s="1"/>
  <c r="Z72" i="3"/>
  <c r="W72" i="3"/>
  <c r="Z58" i="2"/>
  <c r="AA58" i="2" s="1"/>
  <c r="W58" i="2"/>
  <c r="Z64" i="2"/>
  <c r="AA64" i="2" s="1"/>
  <c r="W64" i="2"/>
  <c r="Z40" i="2"/>
  <c r="AA40" i="2" s="1"/>
  <c r="W40" i="2"/>
  <c r="W70" i="1"/>
  <c r="Z70" i="1"/>
  <c r="AA70" i="1" s="1"/>
  <c r="W57" i="4"/>
  <c r="Z57" i="4"/>
  <c r="AA57" i="4" s="1"/>
  <c r="W8" i="2"/>
  <c r="Z8" i="2"/>
  <c r="AA8" i="2" s="1"/>
  <c r="Z6" i="3"/>
  <c r="AA6" i="3" s="1"/>
  <c r="W6" i="3"/>
  <c r="Z20" i="2"/>
  <c r="AA20" i="2" s="1"/>
  <c r="W20" i="2"/>
  <c r="Z22" i="4"/>
  <c r="AA22" i="4" s="1"/>
  <c r="W22" i="4"/>
  <c r="W76" i="1"/>
  <c r="Z76" i="1"/>
  <c r="AA76" i="1" s="1"/>
  <c r="AA74" i="2"/>
  <c r="Z19" i="2"/>
  <c r="AA19" i="2" s="1"/>
  <c r="W19" i="2"/>
  <c r="Z12" i="3"/>
  <c r="W12" i="3"/>
  <c r="AA22" i="2"/>
  <c r="W71" i="2"/>
  <c r="AA47" i="2"/>
  <c r="Z28" i="1"/>
  <c r="AA28" i="1" s="1"/>
  <c r="W28" i="1"/>
  <c r="W14" i="3"/>
  <c r="W50" i="5"/>
  <c r="Z50" i="5"/>
  <c r="AA50" i="5" s="1"/>
  <c r="Z66" i="5"/>
  <c r="AA66" i="5" s="1"/>
  <c r="W66" i="5"/>
  <c r="Z61" i="5"/>
  <c r="W61" i="5"/>
  <c r="Z46" i="3"/>
  <c r="W46" i="3"/>
  <c r="Z28" i="4"/>
  <c r="AA28" i="4" s="1"/>
  <c r="W28" i="4"/>
  <c r="W74" i="4"/>
  <c r="Z74" i="4"/>
  <c r="AA74" i="4" s="1"/>
  <c r="W31" i="4"/>
  <c r="Z31" i="4"/>
  <c r="AA31" i="4" s="1"/>
  <c r="Z17" i="3"/>
  <c r="W17" i="3"/>
  <c r="Z33" i="3"/>
  <c r="AA33" i="3" s="1"/>
  <c r="W33" i="3"/>
  <c r="Z77" i="1"/>
  <c r="AA77" i="1" s="1"/>
  <c r="W77" i="1"/>
  <c r="W10" i="4"/>
  <c r="W54" i="2"/>
  <c r="W58" i="4"/>
  <c r="W39" i="2"/>
  <c r="Z39" i="2"/>
  <c r="AA39" i="2" s="1"/>
  <c r="W13" i="2"/>
  <c r="Z13" i="2"/>
  <c r="AA13" i="2" s="1"/>
  <c r="AA71" i="2"/>
  <c r="Z22" i="1"/>
  <c r="AA22" i="1" s="1"/>
  <c r="W22" i="1"/>
  <c r="W56" i="1"/>
  <c r="AA50" i="1"/>
  <c r="AA15" i="1"/>
  <c r="AA14" i="1"/>
  <c r="AA39" i="1"/>
  <c r="AA20" i="1"/>
  <c r="AA45" i="1"/>
  <c r="AA42" i="1"/>
  <c r="W72" i="1"/>
  <c r="W44" i="5"/>
  <c r="Z44" i="5"/>
  <c r="Z60" i="5"/>
  <c r="W60" i="5"/>
  <c r="Z55" i="5"/>
  <c r="W55" i="5"/>
  <c r="Z41" i="3"/>
  <c r="AA41" i="3" s="1"/>
  <c r="W41" i="3"/>
  <c r="W13" i="4"/>
  <c r="Z13" i="4"/>
  <c r="AA13" i="4" s="1"/>
  <c r="W80" i="4"/>
  <c r="Z80" i="4"/>
  <c r="AA80" i="4" s="1"/>
  <c r="W52" i="4"/>
  <c r="Z52" i="4"/>
  <c r="AA52" i="4" s="1"/>
  <c r="Z41" i="4"/>
  <c r="AA41" i="4" s="1"/>
  <c r="W41" i="4"/>
  <c r="Z40" i="4"/>
  <c r="AA40" i="4" s="1"/>
  <c r="W40" i="4"/>
  <c r="Z50" i="3"/>
  <c r="AA50" i="3" s="1"/>
  <c r="W50" i="3"/>
  <c r="Z16" i="2"/>
  <c r="AA16" i="2" s="1"/>
  <c r="W16" i="2"/>
  <c r="W66" i="3"/>
  <c r="Z37" i="3"/>
  <c r="AA37" i="3" s="1"/>
  <c r="W37" i="3"/>
  <c r="W63" i="1"/>
  <c r="Z63" i="1"/>
  <c r="AA63" i="1" s="1"/>
  <c r="AA10" i="4"/>
  <c r="AA54" i="2"/>
  <c r="W7" i="3"/>
  <c r="Z7" i="3"/>
  <c r="AA7" i="3" s="1"/>
  <c r="W31" i="2"/>
  <c r="Z31" i="2"/>
  <c r="AA31" i="2" s="1"/>
  <c r="Z17" i="4"/>
  <c r="AA17" i="4" s="1"/>
  <c r="W17" i="4"/>
  <c r="Z17" i="2"/>
  <c r="AA17" i="2" s="1"/>
  <c r="W17" i="2"/>
  <c r="W75" i="3"/>
  <c r="Z75" i="3"/>
  <c r="Z35" i="2"/>
  <c r="AA35" i="2" s="1"/>
  <c r="W35" i="2"/>
  <c r="Z72" i="2"/>
  <c r="AA72" i="2" s="1"/>
  <c r="W72" i="2"/>
  <c r="Z10" i="2"/>
  <c r="AA10" i="2" s="1"/>
  <c r="W10" i="2"/>
  <c r="W61" i="2"/>
  <c r="AA79" i="4"/>
  <c r="W49" i="2"/>
  <c r="W47" i="4"/>
  <c r="Z44" i="2"/>
  <c r="AA44" i="2" s="1"/>
  <c r="W44" i="2"/>
  <c r="Z16" i="1"/>
  <c r="AA16" i="1" s="1"/>
  <c r="W16" i="1"/>
  <c r="AA56" i="1"/>
  <c r="W48" i="1"/>
  <c r="W23" i="2"/>
  <c r="W12" i="1"/>
  <c r="W21" i="1"/>
  <c r="W18" i="1"/>
  <c r="W27" i="1"/>
  <c r="AA41" i="1"/>
  <c r="AA72" i="1"/>
  <c r="W38" i="5"/>
  <c r="Z38" i="5"/>
  <c r="Z54" i="5"/>
  <c r="W54" i="5"/>
  <c r="Z49" i="5"/>
  <c r="W49" i="5"/>
  <c r="W75" i="4"/>
  <c r="Z75" i="4"/>
  <c r="AA75" i="4" s="1"/>
  <c r="W64" i="4"/>
  <c r="Z64" i="4"/>
  <c r="AA64" i="4" s="1"/>
  <c r="W72" i="4"/>
  <c r="Z72" i="4"/>
  <c r="AA72" i="4" s="1"/>
  <c r="Z20" i="4"/>
  <c r="AA20" i="4" s="1"/>
  <c r="W20" i="4"/>
  <c r="W43" i="4"/>
  <c r="Z43" i="4"/>
  <c r="AA43" i="4" s="1"/>
  <c r="Z11" i="3"/>
  <c r="AA11" i="3" s="1"/>
  <c r="W11" i="3"/>
  <c r="W75" i="2"/>
  <c r="Z75" i="2"/>
  <c r="AA75" i="2" s="1"/>
  <c r="W51" i="2"/>
  <c r="Z51" i="2"/>
  <c r="AA51" i="2" s="1"/>
  <c r="W52" i="3"/>
  <c r="Z5" i="3"/>
  <c r="AA14" i="3" s="1"/>
  <c r="W39" i="3"/>
  <c r="W42" i="3"/>
  <c r="AA66" i="3"/>
  <c r="Z57" i="2"/>
  <c r="AA57" i="2" s="1"/>
  <c r="W57" i="2"/>
  <c r="Z45" i="3"/>
  <c r="AA45" i="3" s="1"/>
  <c r="W45" i="3"/>
  <c r="Z27" i="2"/>
  <c r="AA27" i="2" s="1"/>
  <c r="W27" i="2"/>
  <c r="AA57" i="3"/>
  <c r="W36" i="2"/>
  <c r="Z36" i="2"/>
  <c r="AA36" i="2" s="1"/>
  <c r="Z65" i="1"/>
  <c r="AA65" i="1" s="1"/>
  <c r="W65" i="1"/>
  <c r="Z41" i="2"/>
  <c r="AA41" i="2" s="1"/>
  <c r="W41" i="2"/>
  <c r="AA62" i="2"/>
  <c r="AA6" i="2"/>
  <c r="AA61" i="2"/>
  <c r="W79" i="4"/>
  <c r="AA49" i="2"/>
  <c r="AA47" i="4"/>
  <c r="AA38" i="2"/>
  <c r="Z10" i="1"/>
  <c r="AA10" i="1" s="1"/>
  <c r="W10" i="1"/>
  <c r="W33" i="1"/>
  <c r="AA48" i="1"/>
  <c r="AA23" i="2"/>
  <c r="AA12" i="1"/>
  <c r="AA21" i="1"/>
  <c r="AA18" i="1"/>
  <c r="AA27" i="1"/>
  <c r="W41" i="1"/>
  <c r="W43" i="1"/>
  <c r="Z77" i="5"/>
  <c r="W77" i="5"/>
  <c r="Z48" i="5"/>
  <c r="W48" i="5"/>
  <c r="Z43" i="5"/>
  <c r="W43" i="5"/>
  <c r="AA52" i="5"/>
  <c r="W61" i="4"/>
  <c r="Z61" i="4"/>
  <c r="AA61" i="4" s="1"/>
  <c r="W62" i="4"/>
  <c r="Z62" i="4"/>
  <c r="AA62" i="4" s="1"/>
  <c r="Z56" i="3"/>
  <c r="AA56" i="3" s="1"/>
  <c r="W56" i="3"/>
  <c r="Z34" i="4"/>
  <c r="AA34" i="4" s="1"/>
  <c r="W34" i="4"/>
  <c r="W77" i="4"/>
  <c r="Z77" i="4"/>
  <c r="AA77" i="4" s="1"/>
  <c r="Z32" i="4"/>
  <c r="AA32" i="4" s="1"/>
  <c r="W32" i="4"/>
  <c r="W53" i="4"/>
  <c r="Z53" i="4"/>
  <c r="AA53" i="4" s="1"/>
  <c r="W29" i="4"/>
  <c r="Z29" i="4"/>
  <c r="AA29" i="4" s="1"/>
  <c r="Z46" i="4"/>
  <c r="AA46" i="4" s="1"/>
  <c r="W46" i="4"/>
  <c r="Z34" i="3"/>
  <c r="AA34" i="3" s="1"/>
  <c r="W34" i="3"/>
  <c r="W49" i="4"/>
  <c r="Z49" i="4"/>
  <c r="AA49" i="4" s="1"/>
  <c r="W59" i="4"/>
  <c r="Z59" i="4"/>
  <c r="AA59" i="4" s="1"/>
  <c r="W15" i="3"/>
  <c r="Z15" i="3"/>
  <c r="AA15" i="3" s="1"/>
  <c r="Z36" i="3"/>
  <c r="AA36" i="3" s="1"/>
  <c r="W36" i="3"/>
  <c r="W57" i="3"/>
  <c r="Z16" i="4"/>
  <c r="AA16" i="4" s="1"/>
  <c r="W16" i="4"/>
  <c r="Z34" i="2"/>
  <c r="AA34" i="2" s="1"/>
  <c r="W34" i="2"/>
  <c r="AA69" i="3"/>
  <c r="AA78" i="4"/>
  <c r="Z68" i="2"/>
  <c r="AA68" i="2" s="1"/>
  <c r="W68" i="2"/>
  <c r="W59" i="2"/>
  <c r="Z60" i="3"/>
  <c r="AA60" i="3" s="1"/>
  <c r="W60" i="3"/>
  <c r="W21" i="2"/>
  <c r="Z21" i="2"/>
  <c r="AA21" i="2" s="1"/>
  <c r="AA33" i="1"/>
  <c r="AA47" i="1"/>
  <c r="W11" i="2"/>
  <c r="AA11" i="1"/>
  <c r="AA26" i="3"/>
  <c r="AA17" i="1"/>
  <c r="W26" i="1"/>
  <c r="AA43" i="1"/>
  <c r="Z71" i="5"/>
  <c r="W71" i="5"/>
  <c r="Z42" i="5"/>
  <c r="W42" i="5"/>
  <c r="Z37" i="5"/>
  <c r="W37" i="5"/>
  <c r="W76" i="4"/>
  <c r="Z76" i="4"/>
  <c r="AA76" i="4" s="1"/>
  <c r="W54" i="4"/>
  <c r="Z54" i="4"/>
  <c r="AA54" i="4" s="1"/>
  <c r="Z14" i="4"/>
  <c r="AA14" i="4" s="1"/>
  <c r="W14" i="4"/>
  <c r="W58" i="3"/>
  <c r="Z58" i="3"/>
  <c r="AA58" i="3" s="1"/>
  <c r="W73" i="4"/>
  <c r="Z73" i="4"/>
  <c r="AA73" i="4" s="1"/>
  <c r="W48" i="4"/>
  <c r="Z48" i="4"/>
  <c r="AA48" i="4" s="1"/>
  <c r="Z11" i="4"/>
  <c r="AA11" i="4" s="1"/>
  <c r="W11" i="4"/>
  <c r="Z22" i="3"/>
  <c r="AA22" i="3" s="1"/>
  <c r="W22" i="3"/>
  <c r="Z67" i="2"/>
  <c r="AA67" i="2" s="1"/>
  <c r="W67" i="2"/>
  <c r="W61" i="1"/>
  <c r="Z61" i="1"/>
  <c r="AA61" i="1" s="1"/>
  <c r="W59" i="1"/>
  <c r="Z59" i="1"/>
  <c r="AA59" i="1" s="1"/>
  <c r="W69" i="3"/>
  <c r="W78" i="4"/>
  <c r="Z60" i="2"/>
  <c r="AA60" i="2" s="1"/>
  <c r="W60" i="2"/>
  <c r="W37" i="4"/>
  <c r="Z37" i="4"/>
  <c r="AA37" i="4" s="1"/>
  <c r="Z66" i="1"/>
  <c r="AA66" i="1" s="1"/>
  <c r="W66" i="1"/>
  <c r="AA59" i="2"/>
  <c r="W55" i="3"/>
  <c r="W38" i="2"/>
  <c r="W7" i="4"/>
  <c r="Z7" i="4"/>
  <c r="AA7" i="4" s="1"/>
  <c r="Z15" i="2"/>
  <c r="AA15" i="2" s="1"/>
  <c r="W15" i="2"/>
  <c r="AA11" i="2"/>
  <c r="W11" i="1"/>
  <c r="W26" i="3"/>
  <c r="W17" i="1"/>
  <c r="W7" i="2"/>
  <c r="AA26" i="1"/>
  <c r="W25" i="1"/>
  <c r="Z65" i="5"/>
  <c r="W65" i="5"/>
  <c r="Z36" i="5"/>
  <c r="W36" i="5"/>
  <c r="W55" i="4"/>
  <c r="Z55" i="4"/>
  <c r="AA55" i="4" s="1"/>
  <c r="Z26" i="4"/>
  <c r="AA26" i="4" s="1"/>
  <c r="W26" i="4"/>
  <c r="Z61" i="3"/>
  <c r="AA61" i="3" s="1"/>
  <c r="W61" i="3"/>
  <c r="Z65" i="3"/>
  <c r="AA65" i="3" s="1"/>
  <c r="W65" i="3"/>
  <c r="W71" i="3"/>
  <c r="W27" i="3"/>
  <c r="Z27" i="3"/>
  <c r="AA27" i="3" s="1"/>
  <c r="Z70" i="2"/>
  <c r="AA70" i="2" s="1"/>
  <c r="W70" i="2"/>
  <c r="Z46" i="2"/>
  <c r="AA46" i="2" s="1"/>
  <c r="W46" i="2"/>
  <c r="W50" i="4"/>
  <c r="Z50" i="4"/>
  <c r="AA50" i="4" s="1"/>
  <c r="W42" i="4"/>
  <c r="Z42" i="4"/>
  <c r="AA42" i="4" s="1"/>
  <c r="Z76" i="2"/>
  <c r="AA76" i="2" s="1"/>
  <c r="W76" i="2"/>
  <c r="Z52" i="2"/>
  <c r="AA52" i="2" s="1"/>
  <c r="W52" i="2"/>
  <c r="Z18" i="3"/>
  <c r="AA18" i="3" s="1"/>
  <c r="W18" i="3"/>
  <c r="Z65" i="2"/>
  <c r="AA65" i="2" s="1"/>
  <c r="W65" i="2"/>
  <c r="Z15" i="4"/>
  <c r="AA15" i="4" s="1"/>
  <c r="W15" i="4"/>
  <c r="Z26" i="2"/>
  <c r="AA26" i="2" s="1"/>
  <c r="W26" i="2"/>
  <c r="W50" i="2"/>
  <c r="AA24" i="4"/>
  <c r="Z56" i="2"/>
  <c r="AA56" i="2" s="1"/>
  <c r="W56" i="2"/>
  <c r="AA55" i="3"/>
  <c r="W32" i="2"/>
  <c r="W51" i="3"/>
  <c r="AA8" i="1"/>
  <c r="AA7" i="1"/>
  <c r="W32" i="1"/>
  <c r="AA58" i="1"/>
  <c r="W13" i="1"/>
  <c r="W38" i="1"/>
  <c r="W37" i="1"/>
  <c r="AA7" i="2"/>
  <c r="W24" i="1"/>
  <c r="AA25" i="1"/>
  <c r="Z59" i="5"/>
  <c r="AA59" i="5" s="1"/>
  <c r="W59" i="5"/>
  <c r="W66" i="4"/>
  <c r="Z66" i="4"/>
  <c r="AA66" i="4" s="1"/>
  <c r="Z5" i="5"/>
  <c r="AA39" i="5" s="1"/>
  <c r="W23" i="5"/>
  <c r="W17" i="5"/>
  <c r="W11" i="5"/>
  <c r="W31" i="5"/>
  <c r="W28" i="5"/>
  <c r="W25" i="5"/>
  <c r="W22" i="5"/>
  <c r="W19" i="5"/>
  <c r="W16" i="5"/>
  <c r="W13" i="5"/>
  <c r="W10" i="5"/>
  <c r="W7" i="5"/>
  <c r="W27" i="5"/>
  <c r="W15" i="5"/>
  <c r="W30" i="5"/>
  <c r="W18" i="5"/>
  <c r="W6" i="5"/>
  <c r="W21" i="5"/>
  <c r="W9" i="5"/>
  <c r="W12" i="5"/>
  <c r="W24" i="5"/>
  <c r="Z74" i="3"/>
  <c r="AA74" i="3" s="1"/>
  <c r="W74" i="3"/>
  <c r="W51" i="4"/>
  <c r="Z51" i="4"/>
  <c r="AA51" i="4" s="1"/>
  <c r="W67" i="4"/>
  <c r="Z67" i="4"/>
  <c r="AA67" i="4" s="1"/>
  <c r="Z33" i="4"/>
  <c r="AA33" i="4" s="1"/>
  <c r="W33" i="4"/>
  <c r="W64" i="3"/>
  <c r="Z64" i="3"/>
  <c r="AA64" i="3" s="1"/>
  <c r="Z29" i="3"/>
  <c r="AA29" i="3" s="1"/>
  <c r="W29" i="3"/>
  <c r="Z28" i="3"/>
  <c r="AA28" i="3" s="1"/>
  <c r="W28" i="3"/>
  <c r="Z42" i="2"/>
  <c r="AA42" i="2" s="1"/>
  <c r="W42" i="2"/>
  <c r="Z45" i="4"/>
  <c r="AA45" i="4" s="1"/>
  <c r="W45" i="4"/>
  <c r="AA71" i="3"/>
  <c r="W48" i="3"/>
  <c r="W24" i="2"/>
  <c r="Z24" i="2"/>
  <c r="AA24" i="2" s="1"/>
  <c r="Z55" i="2"/>
  <c r="AA55" i="2" s="1"/>
  <c r="W55" i="2"/>
  <c r="Z43" i="2"/>
  <c r="AA43" i="2" s="1"/>
  <c r="W43" i="2"/>
  <c r="Z77" i="2"/>
  <c r="AA77" i="2" s="1"/>
  <c r="W77" i="2"/>
  <c r="W24" i="4"/>
  <c r="Z68" i="1"/>
  <c r="AA68" i="1" s="1"/>
  <c r="W68" i="1"/>
  <c r="AA31" i="3"/>
  <c r="AA32" i="2"/>
  <c r="AA51" i="3"/>
  <c r="W6" i="1"/>
  <c r="W37" i="2"/>
  <c r="AA32" i="1"/>
  <c r="W58" i="1"/>
  <c r="AA13" i="1"/>
  <c r="AA38" i="1"/>
  <c r="AA37" i="1"/>
  <c r="W6" i="2"/>
  <c r="AA24" i="1"/>
  <c r="W9" i="1"/>
  <c r="Z53" i="5"/>
  <c r="W53" i="5"/>
  <c r="AA76" i="5"/>
  <c r="W40" i="5"/>
  <c r="Z59" i="3"/>
  <c r="AA59" i="3" s="1"/>
  <c r="W59" i="3"/>
  <c r="Z27" i="4"/>
  <c r="AA27" i="4" s="1"/>
  <c r="W27" i="4"/>
  <c r="W49" i="3"/>
  <c r="Z49" i="3"/>
  <c r="AA49" i="3" s="1"/>
  <c r="W63" i="4"/>
  <c r="Z63" i="4"/>
  <c r="AA63" i="4" s="1"/>
  <c r="W76" i="3"/>
  <c r="Z76" i="3"/>
  <c r="AA76" i="3" s="1"/>
  <c r="W36" i="4"/>
  <c r="Z36" i="4"/>
  <c r="AA36" i="4" s="1"/>
  <c r="Z16" i="3"/>
  <c r="AA16" i="3" s="1"/>
  <c r="W16" i="3"/>
  <c r="W6" i="4"/>
  <c r="Z6" i="4"/>
  <c r="AA6" i="4" s="1"/>
  <c r="W9" i="3"/>
  <c r="Z9" i="3"/>
  <c r="AA9" i="3" s="1"/>
  <c r="AA68" i="4"/>
  <c r="AA48" i="3"/>
  <c r="Z74" i="1"/>
  <c r="AA74" i="1" s="1"/>
  <c r="W74" i="1"/>
  <c r="W57" i="1"/>
  <c r="Z57" i="1"/>
  <c r="AA57" i="1" s="1"/>
  <c r="AA58" i="4"/>
  <c r="Z14" i="2"/>
  <c r="AA14" i="2" s="1"/>
  <c r="W14" i="2"/>
  <c r="W74" i="2"/>
  <c r="W22" i="2"/>
  <c r="W13" i="3"/>
  <c r="Z13" i="3"/>
  <c r="AA13" i="3" s="1"/>
  <c r="W33" i="2"/>
  <c r="W63" i="3"/>
  <c r="Z63" i="3"/>
  <c r="AA63" i="3" s="1"/>
  <c r="W52" i="1"/>
  <c r="Z52" i="1"/>
  <c r="AA52" i="1" s="1"/>
  <c r="W43" i="3"/>
  <c r="W64" i="1"/>
  <c r="Z64" i="1"/>
  <c r="AA64" i="1" s="1"/>
  <c r="W31" i="3"/>
  <c r="AA6" i="1"/>
  <c r="AA37" i="2"/>
  <c r="W30" i="1"/>
  <c r="W49" i="1"/>
  <c r="W78" i="1"/>
  <c r="W36" i="1"/>
  <c r="W19" i="1"/>
  <c r="AA54" i="1"/>
  <c r="AA23" i="1"/>
  <c r="AA9" i="1"/>
  <c r="AA57" i="5" l="1"/>
  <c r="AA43" i="5"/>
  <c r="AA49" i="5"/>
  <c r="AA62" i="5"/>
  <c r="AA53" i="5"/>
  <c r="AA34" i="5"/>
  <c r="AA21" i="3"/>
  <c r="AA53" i="3"/>
  <c r="AA8" i="3"/>
  <c r="AA63" i="5"/>
  <c r="AA70" i="3"/>
  <c r="AA36" i="5"/>
  <c r="AA48" i="5"/>
  <c r="AA54" i="5"/>
  <c r="AA64" i="5"/>
  <c r="AA67" i="3"/>
  <c r="AA37" i="5"/>
  <c r="AA30" i="3"/>
  <c r="AA42" i="3"/>
  <c r="AA52" i="3"/>
  <c r="AA39" i="3"/>
  <c r="AA54" i="3"/>
  <c r="AA38" i="5"/>
  <c r="AA73" i="3"/>
  <c r="AA40" i="3"/>
  <c r="AA79" i="5"/>
  <c r="AA40" i="5"/>
  <c r="AA65" i="5"/>
  <c r="AA77" i="5"/>
  <c r="AA75" i="3"/>
  <c r="AA55" i="5"/>
  <c r="AA25" i="3"/>
  <c r="AA69" i="5"/>
  <c r="AA43" i="3"/>
  <c r="AA58" i="5"/>
  <c r="C82" i="1"/>
  <c r="C81" i="1"/>
  <c r="C85" i="1"/>
  <c r="C84" i="1"/>
  <c r="C83" i="1"/>
  <c r="C86" i="1"/>
  <c r="AA42" i="5"/>
  <c r="AA75" i="5"/>
  <c r="AA46" i="3"/>
  <c r="AA10" i="3"/>
  <c r="AA33" i="5"/>
  <c r="AA41" i="5"/>
  <c r="AA46" i="5"/>
  <c r="C86" i="4"/>
  <c r="C84" i="4"/>
  <c r="C88" i="4"/>
  <c r="C87" i="4"/>
  <c r="C85" i="4"/>
  <c r="C83" i="4"/>
  <c r="AA70" i="5"/>
  <c r="AA60" i="5"/>
  <c r="AA45" i="5"/>
  <c r="AA47" i="3"/>
  <c r="AA68" i="5"/>
  <c r="AA12" i="5"/>
  <c r="AA6" i="5"/>
  <c r="AA31" i="5"/>
  <c r="AA28" i="5"/>
  <c r="AA25" i="5"/>
  <c r="AA22" i="5"/>
  <c r="AA19" i="5"/>
  <c r="AA16" i="5"/>
  <c r="AA13" i="5"/>
  <c r="AA10" i="5"/>
  <c r="AA7" i="5"/>
  <c r="AA11" i="5"/>
  <c r="AA18" i="5"/>
  <c r="AA15" i="5"/>
  <c r="AA24" i="5"/>
  <c r="AA8" i="5"/>
  <c r="AA30" i="5"/>
  <c r="AA23" i="5"/>
  <c r="AA32" i="5"/>
  <c r="AA27" i="5"/>
  <c r="AA29" i="5"/>
  <c r="AA21" i="5"/>
  <c r="AA20" i="5"/>
  <c r="AA17" i="5"/>
  <c r="AA9" i="5"/>
  <c r="AA14" i="5"/>
  <c r="AA26" i="5"/>
  <c r="AA71" i="5"/>
  <c r="AA44" i="5"/>
  <c r="C82" i="3"/>
  <c r="AA23" i="3"/>
  <c r="C80" i="3" s="1"/>
  <c r="AA73" i="5"/>
  <c r="AA47" i="5"/>
  <c r="AA61" i="5"/>
  <c r="AA12" i="3"/>
  <c r="C81" i="3" s="1"/>
  <c r="AA67" i="5"/>
  <c r="AA20" i="3"/>
  <c r="C84" i="3" s="1"/>
  <c r="AA24" i="3"/>
  <c r="AA74" i="5"/>
  <c r="AA51" i="5"/>
  <c r="C80" i="2"/>
  <c r="C85" i="2"/>
  <c r="C82" i="2"/>
  <c r="C81" i="2"/>
  <c r="C84" i="2"/>
  <c r="C83" i="2"/>
  <c r="AA17" i="3"/>
  <c r="AA72" i="3"/>
  <c r="AA35" i="3"/>
  <c r="AA78" i="5"/>
  <c r="C83" i="3" l="1"/>
  <c r="C86" i="2"/>
  <c r="C79" i="3"/>
  <c r="C85" i="3" s="1"/>
  <c r="C89" i="4"/>
  <c r="C87" i="5"/>
  <c r="C86" i="5"/>
  <c r="C85" i="5"/>
  <c r="C84" i="5"/>
  <c r="C83" i="5"/>
  <c r="C82" i="5"/>
  <c r="C87" i="1"/>
  <c r="C88" i="5" l="1"/>
</calcChain>
</file>

<file path=xl/sharedStrings.xml><?xml version="1.0" encoding="utf-8"?>
<sst xmlns="http://schemas.openxmlformats.org/spreadsheetml/2006/main" count="902" uniqueCount="741">
  <si>
    <t>___</t>
  </si>
  <si>
    <t xml:space="preserve">Department of CSE </t>
  </si>
  <si>
    <t>2024 AB CSE-M N O P Q (REC) II B.Tech I Semester Attendance as on 11.06.2025 onwards</t>
  </si>
  <si>
    <t>S.No</t>
  </si>
  <si>
    <t>Regd. No</t>
  </si>
  <si>
    <t>Name of the student</t>
  </si>
  <si>
    <t>DM&amp;GT</t>
  </si>
  <si>
    <t>UHV</t>
  </si>
  <si>
    <t>DL&amp;CO</t>
  </si>
  <si>
    <t>ADSA</t>
  </si>
  <si>
    <t>JAVA</t>
  </si>
  <si>
    <t>FOSS LAB</t>
  </si>
  <si>
    <t>PP</t>
  </si>
  <si>
    <t>NPTEL</t>
  </si>
  <si>
    <t>CRT</t>
  </si>
  <si>
    <t>Total</t>
  </si>
  <si>
    <t>Percentage</t>
  </si>
  <si>
    <t>others</t>
  </si>
  <si>
    <t>mid1 + others</t>
  </si>
  <si>
    <t>updated total</t>
  </si>
  <si>
    <t>updated percentage</t>
  </si>
  <si>
    <t>Total classes taken till today</t>
  </si>
  <si>
    <t>%</t>
  </si>
  <si>
    <t>24981A05PS</t>
  </si>
  <si>
    <t>AMBALLA JASWANTH</t>
  </si>
  <si>
    <t>24981A05PT</t>
  </si>
  <si>
    <t>ANNAM SURYA CHANDRA TRINADH</t>
  </si>
  <si>
    <t>24981A05PU</t>
  </si>
  <si>
    <t>AYIREDDI SURYA ANUGJNA</t>
  </si>
  <si>
    <t>24981A05PV</t>
  </si>
  <si>
    <t>BAKI DURGA RAO</t>
  </si>
  <si>
    <t>24981A05PW</t>
  </si>
  <si>
    <t>BASAVA YAGNA SEKHAR</t>
  </si>
  <si>
    <t>24981A05PX</t>
  </si>
  <si>
    <t>BAVIRISETTI SAI</t>
  </si>
  <si>
    <t>24981A05PY</t>
  </si>
  <si>
    <t>BELLANA SIDDU</t>
  </si>
  <si>
    <t>24981A05PZ</t>
  </si>
  <si>
    <t>BHEEMIREDDI RAMANAMMA</t>
  </si>
  <si>
    <t>24981A05Q0</t>
  </si>
  <si>
    <t>BODDETI YASWANTH</t>
  </si>
  <si>
    <t>24981A05Q1</t>
  </si>
  <si>
    <t>BODDU SAI DEEPAK</t>
  </si>
  <si>
    <t>24981A05Q2</t>
  </si>
  <si>
    <t>BONU MANASA</t>
  </si>
  <si>
    <t>24981A05Q3</t>
  </si>
  <si>
    <t>BUGATHA SRUTHI</t>
  </si>
  <si>
    <t>24981A05Q4</t>
  </si>
  <si>
    <t>BURLE DURGAPRASAD</t>
  </si>
  <si>
    <t>24981A05Q5</t>
  </si>
  <si>
    <t>BYREDDI TEJASWINI</t>
  </si>
  <si>
    <t>24981A05Q6</t>
  </si>
  <si>
    <t>CHELLANGI JYOTHI SWAROOP</t>
  </si>
  <si>
    <t>24981A05Q7</t>
  </si>
  <si>
    <t>CHANDAKA SRINU</t>
  </si>
  <si>
    <t>24981A05Q8</t>
  </si>
  <si>
    <t>CHEEPULLA LIKHITHA</t>
  </si>
  <si>
    <t>24981A05Q9</t>
  </si>
  <si>
    <t>CHINTAPALLI JYOTHSNA</t>
  </si>
  <si>
    <t>24981A05QA</t>
  </si>
  <si>
    <t>CHINTAPALLI TULASI TANUJA</t>
  </si>
  <si>
    <t>24981A05QB</t>
  </si>
  <si>
    <t>CHITTELA VENKATA NIKHIL REDDY</t>
  </si>
  <si>
    <t>24981A05QC</t>
  </si>
  <si>
    <t>DAMALAPATI PADMAJA</t>
  </si>
  <si>
    <t>24981A05QD</t>
  </si>
  <si>
    <t>VANAMAREDDI NAVEENKUMAR REDDY</t>
  </si>
  <si>
    <t>24981A05QE</t>
  </si>
  <si>
    <t>DASARI VINAY KUMAR</t>
  </si>
  <si>
    <t>24981A05QF</t>
  </si>
  <si>
    <t>DEVARASETTY SAMIKSHA</t>
  </si>
  <si>
    <t>24981A05QG</t>
  </si>
  <si>
    <t>DOKI SAI CHARAN</t>
  </si>
  <si>
    <t>24981A05QH</t>
  </si>
  <si>
    <t>EATI AKANKSHA</t>
  </si>
  <si>
    <t>24981A05QI</t>
  </si>
  <si>
    <t>GADI THIRUMALA</t>
  </si>
  <si>
    <t>24981A05QJ</t>
  </si>
  <si>
    <t>GANDEM BHARATH</t>
  </si>
  <si>
    <t>24981A05QK</t>
  </si>
  <si>
    <t>GANGU DILLESWARA RAO</t>
  </si>
  <si>
    <t>24981A05QL</t>
  </si>
  <si>
    <t>GOTTAPU MOHAN KRISHNA</t>
  </si>
  <si>
    <t>24981A05QM</t>
  </si>
  <si>
    <t>JAMI SAHITHI</t>
  </si>
  <si>
    <t>24981A05QN</t>
  </si>
  <si>
    <t>JARUGULLA VISHNU VARDHAN</t>
  </si>
  <si>
    <t>24981A05QP</t>
  </si>
  <si>
    <t>KADAVALA JYOSHIKA</t>
  </si>
  <si>
    <t>24981A05QQ</t>
  </si>
  <si>
    <t>KARRI YUGANDHAR VINAYAKA NAGENDRA</t>
  </si>
  <si>
    <t>24981A05QR</t>
  </si>
  <si>
    <t>KAVALI MADHAVA BHUVANESWAR</t>
  </si>
  <si>
    <t>24981A05QS</t>
  </si>
  <si>
    <t>KORADA DEEKSHITHA</t>
  </si>
  <si>
    <t>24981A05QT</t>
  </si>
  <si>
    <t>KORADA LALITHASRI</t>
  </si>
  <si>
    <t>24981A05QU</t>
  </si>
  <si>
    <t>KOTNI JASHWANTH KUMAR</t>
  </si>
  <si>
    <t>24981A05QV</t>
  </si>
  <si>
    <t>KOTYADA GEETHANJALI</t>
  </si>
  <si>
    <t>24981A05QW</t>
  </si>
  <si>
    <t>KOYILADA GEETH MOUNISH</t>
  </si>
  <si>
    <t>24981A05QX</t>
  </si>
  <si>
    <t>THARUN KUMAR LACHIREDDI</t>
  </si>
  <si>
    <t>24981A05QY</t>
  </si>
  <si>
    <t>LANKA RESHMA</t>
  </si>
  <si>
    <t>24981A05QZ</t>
  </si>
  <si>
    <t>LENKA RAMU NAIDU</t>
  </si>
  <si>
    <t>24981A05R0</t>
  </si>
  <si>
    <t>MARISA JNANENEDRA SAI PRADEEP</t>
  </si>
  <si>
    <t>24981A05R1</t>
  </si>
  <si>
    <t>MIDATHANA SAI VINAY</t>
  </si>
  <si>
    <t>24981A05R2</t>
  </si>
  <si>
    <t>MUTYALA MEGHANA</t>
  </si>
  <si>
    <t>24981A05R3</t>
  </si>
  <si>
    <t>NAMMI VENKATA SATYA NARAYANA</t>
  </si>
  <si>
    <t>24981A05R4</t>
  </si>
  <si>
    <t>NADUPURU YASHWANTH</t>
  </si>
  <si>
    <t>24981A05R5</t>
  </si>
  <si>
    <t>NAGURI PAVAN KUMAR REDDY</t>
  </si>
  <si>
    <t>24981A05R6</t>
  </si>
  <si>
    <t>NALLA SAI DEVA HARSHA</t>
  </si>
  <si>
    <t>24981A05R7</t>
  </si>
  <si>
    <t>NALLAPATRUNI DURGA PRASAD</t>
  </si>
  <si>
    <t>24981A05R8</t>
  </si>
  <si>
    <t>NARMALA BHARGAVI</t>
  </si>
  <si>
    <t>24981A05R9</t>
  </si>
  <si>
    <t>NERADABILLI MOHANARAO</t>
  </si>
  <si>
    <t>24981A05RA</t>
  </si>
  <si>
    <t>PADALA LEKHYA</t>
  </si>
  <si>
    <t>24981A05RB</t>
  </si>
  <si>
    <t>PERAMBUDURU KUNDHANA VAISHNAVI</t>
  </si>
  <si>
    <t>24981A05RC</t>
  </si>
  <si>
    <t>POLANKAMPALLI SANJAY</t>
  </si>
  <si>
    <t>24981A05RD</t>
  </si>
  <si>
    <t>POTNURU BHAVANI</t>
  </si>
  <si>
    <t>24981A05RE</t>
  </si>
  <si>
    <t>RAMISETTI CHAITANYA</t>
  </si>
  <si>
    <t>24981A05RF</t>
  </si>
  <si>
    <t>SAKALABAKTHULA HEMA HASINI</t>
  </si>
  <si>
    <t>24981A05RG</t>
  </si>
  <si>
    <t>SARAGADAM RESWANTH</t>
  </si>
  <si>
    <t>24981A05RH</t>
  </si>
  <si>
    <t>SETTI KRANTHI KUMAR</t>
  </si>
  <si>
    <t>24981A05RI</t>
  </si>
  <si>
    <t>SIMHADRI KANAKA RAJU</t>
  </si>
  <si>
    <t>24981A05RJ</t>
  </si>
  <si>
    <t>SIRIKI DEVI CHARAN TEJA</t>
  </si>
  <si>
    <t>24981A05RK</t>
  </si>
  <si>
    <t>TAMTAM RAM SAI CHARAN</t>
  </si>
  <si>
    <t>24981A05RL</t>
  </si>
  <si>
    <t>TELLAGADDAM YASWANTH SAI</t>
  </si>
  <si>
    <t>24981A05RM</t>
  </si>
  <si>
    <t>TERLI DEEPIKA</t>
  </si>
  <si>
    <t>24981A05RN</t>
  </si>
  <si>
    <t>THOTA SIVA DURGA RAO</t>
  </si>
  <si>
    <t>24981A05RP</t>
  </si>
  <si>
    <t>TUMMALA ASWANI SAI TEJA</t>
  </si>
  <si>
    <t>24981A05RQ</t>
  </si>
  <si>
    <t>VALLE JAYAVARDHAN</t>
  </si>
  <si>
    <t>24981A05RR</t>
  </si>
  <si>
    <t>AMBATI JANARDHAN</t>
  </si>
  <si>
    <t>24981A05RS</t>
  </si>
  <si>
    <t>ADAPALA AVINASH</t>
  </si>
  <si>
    <t>24981A05RT</t>
  </si>
  <si>
    <t>ALLU JAHNAVI</t>
  </si>
  <si>
    <t>24981A05RU</t>
  </si>
  <si>
    <t>GORLI SAI NITEESH</t>
  </si>
  <si>
    <t>CSE - M</t>
  </si>
  <si>
    <t>&gt;75</t>
  </si>
  <si>
    <t>&gt;65 AND &lt;74</t>
  </si>
  <si>
    <t>&gt;50 AND &lt;64</t>
  </si>
  <si>
    <t>&gt;25 AND &lt;49</t>
  </si>
  <si>
    <t>&gt;1 AND &lt;24</t>
  </si>
  <si>
    <t>24981A05RV</t>
  </si>
  <si>
    <t>BIDDIKA AJAY</t>
  </si>
  <si>
    <t>24981A05RW</t>
  </si>
  <si>
    <t>BONGI RUCHITHA</t>
  </si>
  <si>
    <t>24981A05RX</t>
  </si>
  <si>
    <t>CHINAPANA AJAY</t>
  </si>
  <si>
    <t>24981A05RY</t>
  </si>
  <si>
    <t>CHINTA JAHNAVI</t>
  </si>
  <si>
    <t>24981A05RZ</t>
  </si>
  <si>
    <t>CHIRRA SANTHOSH REDDY</t>
  </si>
  <si>
    <t>24981A05S0</t>
  </si>
  <si>
    <t>DARLA PRAVEEN KUMAR</t>
  </si>
  <si>
    <t>24981A05S1</t>
  </si>
  <si>
    <t>DEVARAPALLI GLORY JASIKA</t>
  </si>
  <si>
    <t>24981A05S2</t>
  </si>
  <si>
    <t>DOPPALA GOUTHAM</t>
  </si>
  <si>
    <t>24981A05S3</t>
  </si>
  <si>
    <t>DURISETI USHA ABHINAYA</t>
  </si>
  <si>
    <t>24981A05S4</t>
  </si>
  <si>
    <t>GODA KAUSHIK</t>
  </si>
  <si>
    <t>24981A05S5</t>
  </si>
  <si>
    <t>GOLLAPALLI ARAVIND</t>
  </si>
  <si>
    <t>24981A05S6</t>
  </si>
  <si>
    <t>GOLLAPALLI MAHENDRA</t>
  </si>
  <si>
    <t>24981A05S7</t>
  </si>
  <si>
    <t>GORLE PARAMESH KUMAR</t>
  </si>
  <si>
    <t>24981A05S8</t>
  </si>
  <si>
    <t>GORUSETTI NITHIN</t>
  </si>
  <si>
    <t>24981A05S9</t>
  </si>
  <si>
    <t>GOWRIPATTAPU HARSHAVARDHAN</t>
  </si>
  <si>
    <t>24981A05SA</t>
  </si>
  <si>
    <t>GUNTHA RAHUL</t>
  </si>
  <si>
    <t>24981A05SB</t>
  </si>
  <si>
    <t>GURUNADHAM MANOHAR</t>
  </si>
  <si>
    <t>24981A05SC</t>
  </si>
  <si>
    <t>INJETI PRIYADARSHINI</t>
  </si>
  <si>
    <t>24981A05SD</t>
  </si>
  <si>
    <t>IPPILI HASINI</t>
  </si>
  <si>
    <t>24981A05SE</t>
  </si>
  <si>
    <t>JALIYA VIVEK</t>
  </si>
  <si>
    <t>24981A05SF</t>
  </si>
  <si>
    <t>JAMANA GURU CHARAN TEJA</t>
  </si>
  <si>
    <t>24981A05SG</t>
  </si>
  <si>
    <t>KAKARA HEMANTH KAKODHKAR</t>
  </si>
  <si>
    <t>24981A05SH</t>
  </si>
  <si>
    <t>KAMMINANA MANASA</t>
  </si>
  <si>
    <t>24981A05SI</t>
  </si>
  <si>
    <t>KARUPATI ASIRVADAM</t>
  </si>
  <si>
    <t>24981A05SJ</t>
  </si>
  <si>
    <t>KASARLA CHARANKUMAR</t>
  </si>
  <si>
    <t>24981A05SK</t>
  </si>
  <si>
    <t>KATTA ACHYUTH KUMAR</t>
  </si>
  <si>
    <t>24981A05SL</t>
  </si>
  <si>
    <t>KOLLI KARTHIK</t>
  </si>
  <si>
    <t>24981A05SM</t>
  </si>
  <si>
    <t>KONDALA VASANTHA KUMAR</t>
  </si>
  <si>
    <t>24981A05SN</t>
  </si>
  <si>
    <t>KONNI LOKESH</t>
  </si>
  <si>
    <t>24981A05SP</t>
  </si>
  <si>
    <t>KOPPISETTI SATYA VENKATA SURYA DURGAPRASAD</t>
  </si>
  <si>
    <t>24981A05SQ</t>
  </si>
  <si>
    <t>KORRA CHANDANA</t>
  </si>
  <si>
    <t>24981A05SR</t>
  </si>
  <si>
    <t>KUKKALA ANAND</t>
  </si>
  <si>
    <t>24981A05SS</t>
  </si>
  <si>
    <t>LAKKIMSETTI LOHITH KUMARA SWAMY</t>
  </si>
  <si>
    <t>24981A05ST</t>
  </si>
  <si>
    <t>LOTLA SRI SATYA NAVADEEP</t>
  </si>
  <si>
    <t>24981A05SU</t>
  </si>
  <si>
    <t>MANIKANETULA MOUNIKA</t>
  </si>
  <si>
    <t>24981A05SV</t>
  </si>
  <si>
    <t>MADUGULA SAI DORA</t>
  </si>
  <si>
    <t>24981A05SW</t>
  </si>
  <si>
    <t>MAMIDI KARTHIK</t>
  </si>
  <si>
    <t>24981A05SX</t>
  </si>
  <si>
    <t>MATTA GIRIPRIYA</t>
  </si>
  <si>
    <t>24981A05SY</t>
  </si>
  <si>
    <t>METTA DEEPTHI</t>
  </si>
  <si>
    <t>24981A05SZ</t>
  </si>
  <si>
    <t>MODALAVALASA JYOTHI SWAROOP</t>
  </si>
  <si>
    <t>24981A05T0</t>
  </si>
  <si>
    <t>MUHAMMAD AFZAL</t>
  </si>
  <si>
    <t>24981A05T1</t>
  </si>
  <si>
    <t>N KAVYA KRISHNA</t>
  </si>
  <si>
    <t>24981A05T2</t>
  </si>
  <si>
    <t>BEJJAMKI NARENDRA</t>
  </si>
  <si>
    <t>24981A05T3</t>
  </si>
  <si>
    <t>PAIDI PARIMALA</t>
  </si>
  <si>
    <t>24981A05T4</t>
  </si>
  <si>
    <t>PALLEKONDA SIRI CHANDANA</t>
  </si>
  <si>
    <t>24981A05T5</t>
  </si>
  <si>
    <t>PANDRANKI CHANDRA SEKHAR</t>
  </si>
  <si>
    <t>24981A05T6</t>
  </si>
  <si>
    <t>PARAPATI MAHESH</t>
  </si>
  <si>
    <t>24981A05T7</t>
  </si>
  <si>
    <t>PEETANI JOSHI NAGA VENKATA SAILAKSHMI</t>
  </si>
  <si>
    <t>24981A05T8</t>
  </si>
  <si>
    <t>RUTTALA KUMAR KARTHIK</t>
  </si>
  <si>
    <t>24981A05T9</t>
  </si>
  <si>
    <t>RAGINI DEVI PRASAD</t>
  </si>
  <si>
    <t>24981A05TA</t>
  </si>
  <si>
    <t>RAMPATHOTI NANI BABU</t>
  </si>
  <si>
    <t>24981A05TB</t>
  </si>
  <si>
    <t>SAGIRAJU LOHITHVARMA</t>
  </si>
  <si>
    <t>24981A05TD</t>
  </si>
  <si>
    <t>SHAIK SHANVAZ</t>
  </si>
  <si>
    <t>24981A05TE</t>
  </si>
  <si>
    <t>TEPPALA MADHU</t>
  </si>
  <si>
    <t>24981A05TF</t>
  </si>
  <si>
    <t>THONTA SRINU</t>
  </si>
  <si>
    <t>24981A05TG</t>
  </si>
  <si>
    <t>TIPPANA HEMALATHA</t>
  </si>
  <si>
    <t>24981A05TH</t>
  </si>
  <si>
    <t>VADAREVU ANITHA</t>
  </si>
  <si>
    <t>24981A05TI</t>
  </si>
  <si>
    <t>VANACHARLA CHANDAN</t>
  </si>
  <si>
    <t>24981A05TJ</t>
  </si>
  <si>
    <t>VEERABATHINI STEFFI STRONG</t>
  </si>
  <si>
    <t>24981A05TK</t>
  </si>
  <si>
    <t>VELIGATLA PARDHU VENKATA SAI</t>
  </si>
  <si>
    <t>24981A05TL</t>
  </si>
  <si>
    <t>VILLA SAI TARISH</t>
  </si>
  <si>
    <t>24981A05TM</t>
  </si>
  <si>
    <t>YERUKALA TEJA</t>
  </si>
  <si>
    <t>24981A05TN</t>
  </si>
  <si>
    <t>GOLLAPALLI VIGNESH</t>
  </si>
  <si>
    <t>24981A05TP</t>
  </si>
  <si>
    <t>DARLA VENKATA DHANUSH</t>
  </si>
  <si>
    <t>24981A05TQ</t>
  </si>
  <si>
    <t>ALLAMSETTI VAMSI</t>
  </si>
  <si>
    <t>24981A05TR</t>
  </si>
  <si>
    <t>BANGARI NIVAS</t>
  </si>
  <si>
    <t>25985A0501</t>
  </si>
  <si>
    <t>25985A0502</t>
  </si>
  <si>
    <t>25985A0503</t>
  </si>
  <si>
    <t>25985A0504</t>
  </si>
  <si>
    <t>25985A0505</t>
  </si>
  <si>
    <t>25985A0506</t>
  </si>
  <si>
    <t>CSE - N</t>
  </si>
  <si>
    <t>24981A05TS</t>
  </si>
  <si>
    <t>VANDANA THANU SRI</t>
  </si>
  <si>
    <t>24981A05TT</t>
  </si>
  <si>
    <t>BAKI SAI SRUJANA</t>
  </si>
  <si>
    <t>24981A05TU</t>
  </si>
  <si>
    <t>BOGADI VENI CHANDRIKA</t>
  </si>
  <si>
    <t>24981A05TV</t>
  </si>
  <si>
    <t>BOJJA VINEEL</t>
  </si>
  <si>
    <t>24981A05TW</t>
  </si>
  <si>
    <t>BOOSA LOKESWARI</t>
  </si>
  <si>
    <t>24981A05TX</t>
  </si>
  <si>
    <t>CHUKKA RESHMA</t>
  </si>
  <si>
    <t>24981A05TY</t>
  </si>
  <si>
    <t>DAGGUPATI KARTHIK</t>
  </si>
  <si>
    <t>24981A05TZ</t>
  </si>
  <si>
    <t>DAMARASINGI LAHARI</t>
  </si>
  <si>
    <t>24981A05U0</t>
  </si>
  <si>
    <t>DONAKA HEPSIBHA</t>
  </si>
  <si>
    <t>24981A05U1</t>
  </si>
  <si>
    <t>DOWLAPALLI YOGESH</t>
  </si>
  <si>
    <t>24981A05U2</t>
  </si>
  <si>
    <t>DURGAM NEHAL NIHARIKA</t>
  </si>
  <si>
    <t>24981A05U3</t>
  </si>
  <si>
    <t>EMANDI BHUVAN VENKATA SAI</t>
  </si>
  <si>
    <t>24981A05U5</t>
  </si>
  <si>
    <t>GANDEPALLI JAYAPRAKASH</t>
  </si>
  <si>
    <t>24981A05U6</t>
  </si>
  <si>
    <t>GINNI MOHAN SAI KUMAR REDDY</t>
  </si>
  <si>
    <t>24981A05U7</t>
  </si>
  <si>
    <t>GUDIVADA KRISHNAVENI</t>
  </si>
  <si>
    <t>24981A05U8</t>
  </si>
  <si>
    <t>GUJJELA DEVI</t>
  </si>
  <si>
    <t>24981A05U9</t>
  </si>
  <si>
    <t>ILLURI ANAND BABU</t>
  </si>
  <si>
    <t>24981A05UA</t>
  </si>
  <si>
    <t>JEERU DHEERAJ REDDY</t>
  </si>
  <si>
    <t>24981A05UB</t>
  </si>
  <si>
    <t>JALUMURI TULASI</t>
  </si>
  <si>
    <t>24981A05UC</t>
  </si>
  <si>
    <t>JOSHUA ANTHONY SUDHAKAR</t>
  </si>
  <si>
    <t>24981A05UD</t>
  </si>
  <si>
    <t>KOMMANAMANCHI SAI HANISHA</t>
  </si>
  <si>
    <t>24981A05UE</t>
  </si>
  <si>
    <t>KORANANA MANIKANTA</t>
  </si>
  <si>
    <t>24981A05UF</t>
  </si>
  <si>
    <t>VEMULAMANDA SHANMUK SAI SANTHOSH VARMA</t>
  </si>
  <si>
    <t>24981A05UG</t>
  </si>
  <si>
    <t>KAMBAPU BHAVANI</t>
  </si>
  <si>
    <t>24981A05UH</t>
  </si>
  <si>
    <t>KANDIKATLA KEERTAN RAHUL SIDDU</t>
  </si>
  <si>
    <t>24981A05UI</t>
  </si>
  <si>
    <t>YELLETI JYOTHI</t>
  </si>
  <si>
    <t>24981A05UJ</t>
  </si>
  <si>
    <t>KARINKI DINESH</t>
  </si>
  <si>
    <t>24981A05UK</t>
  </si>
  <si>
    <t>KOLA NOMIKA</t>
  </si>
  <si>
    <t>24981A05UL</t>
  </si>
  <si>
    <t>KOMMOJU VYSHNAVI</t>
  </si>
  <si>
    <t>24981A05UM</t>
  </si>
  <si>
    <t>KONAKALLA HEMANTH BABU</t>
  </si>
  <si>
    <t>24981A05UN</t>
  </si>
  <si>
    <t>KORUPOLU CHANDRIKA</t>
  </si>
  <si>
    <t>24981A05UP</t>
  </si>
  <si>
    <t>KOTHURU SAI CHARAN</t>
  </si>
  <si>
    <t>24981A05UQ</t>
  </si>
  <si>
    <t>KOTTALA JAYANTHI</t>
  </si>
  <si>
    <t>24981A05UR</t>
  </si>
  <si>
    <t>LIMMI PRAVEEN BISAI</t>
  </si>
  <si>
    <t>24981A05US</t>
  </si>
  <si>
    <t>MOLLI CHANDRA KIRAN YADAV</t>
  </si>
  <si>
    <t>24981A05UT</t>
  </si>
  <si>
    <t>MANDAVILLI SOHITHA</t>
  </si>
  <si>
    <t>24981A05UU</t>
  </si>
  <si>
    <t>MEESALA JYOTHI SAI</t>
  </si>
  <si>
    <t>24981A05UV</t>
  </si>
  <si>
    <t>MEHNAZ ZAHERA</t>
  </si>
  <si>
    <t>24981A05UW</t>
  </si>
  <si>
    <t>MOHAMMAD ASMA</t>
  </si>
  <si>
    <t>24981A05UX</t>
  </si>
  <si>
    <t>MOSYA SIDDARTH JAIN</t>
  </si>
  <si>
    <t>24981A05UY</t>
  </si>
  <si>
    <t>MULLA DAAYANA</t>
  </si>
  <si>
    <t>24981A05UZ</t>
  </si>
  <si>
    <t>MUNUKOTI VENKATA KARTHIK</t>
  </si>
  <si>
    <t>24981A05V0</t>
  </si>
  <si>
    <t>NAKKA BHAVANA REDDY</t>
  </si>
  <si>
    <t>24981A05V1</t>
  </si>
  <si>
    <t>NAGALA MOUNIKA</t>
  </si>
  <si>
    <t>24981A05V2</t>
  </si>
  <si>
    <t>NAGAVARAPU KUSUMA KUMARI</t>
  </si>
  <si>
    <t>24981A05V3</t>
  </si>
  <si>
    <t>NEELLA KARUNA KUMAR</t>
  </si>
  <si>
    <t>24981A05V4</t>
  </si>
  <si>
    <t>YENNI MEENAKSHI</t>
  </si>
  <si>
    <t>24981A05V5</t>
  </si>
  <si>
    <t>NERELLA DINESH KUMARI</t>
  </si>
  <si>
    <t>24981A05V6</t>
  </si>
  <si>
    <t>NETALA SUKUMAR</t>
  </si>
  <si>
    <t>24981A05V7</t>
  </si>
  <si>
    <t>PONUGUPATY SAI PAVAN</t>
  </si>
  <si>
    <t>24981A05V8</t>
  </si>
  <si>
    <t>PULLETI SAMPATH</t>
  </si>
  <si>
    <t>24981A05V9</t>
  </si>
  <si>
    <t>PEDAPATI BHARATH KUMAR</t>
  </si>
  <si>
    <t>24981A05VA</t>
  </si>
  <si>
    <t>PILLA VAMSI</t>
  </si>
  <si>
    <t>24981A05VB</t>
  </si>
  <si>
    <t>POTLA DILEEP</t>
  </si>
  <si>
    <t>24981A05VC</t>
  </si>
  <si>
    <t>SESETTI KUSHAL KUMAR</t>
  </si>
  <si>
    <t>24981A05VD</t>
  </si>
  <si>
    <t>ABDUL RASHED</t>
  </si>
  <si>
    <t>24981A05VE</t>
  </si>
  <si>
    <t>SHAIK ALTHAF</t>
  </si>
  <si>
    <t>24981A05VF</t>
  </si>
  <si>
    <t>SHAIK SHAMEEM BHANU</t>
  </si>
  <si>
    <t>24981A05VG</t>
  </si>
  <si>
    <t>SIMMALA SAILAJA</t>
  </si>
  <si>
    <t>24981A05VH</t>
  </si>
  <si>
    <t>SONDI RAHUL</t>
  </si>
  <si>
    <t>24981A05VI</t>
  </si>
  <si>
    <t>SURADA KIRANMAYI</t>
  </si>
  <si>
    <t>24981A05VJ</t>
  </si>
  <si>
    <t>SUVVARI SAILAJA</t>
  </si>
  <si>
    <t>24981A05VK</t>
  </si>
  <si>
    <t>UPPADA KEERTHI</t>
  </si>
  <si>
    <t>24981A05VL</t>
  </si>
  <si>
    <t>VANAPALLI DINESH</t>
  </si>
  <si>
    <t>24981A05VM</t>
  </si>
  <si>
    <t>VANKA RISHI</t>
  </si>
  <si>
    <t>24981A05VN</t>
  </si>
  <si>
    <t>ATHIKINASETTI AKASH</t>
  </si>
  <si>
    <t>24981A05VP</t>
  </si>
  <si>
    <t>BORA HARSHAVARDHAN REDDY</t>
  </si>
  <si>
    <t>24981A05VQ</t>
  </si>
  <si>
    <t>BILLASONTI KSHANDINI</t>
  </si>
  <si>
    <t>24981A05VS</t>
  </si>
  <si>
    <t>ABDUL SHAHID</t>
  </si>
  <si>
    <t>23981A05AJ</t>
  </si>
  <si>
    <t>VARTHANA VISHNU VARDHAN NANI BABU</t>
  </si>
  <si>
    <t>23981A05J9</t>
  </si>
  <si>
    <t>GAZULA VINUSHA HANI</t>
  </si>
  <si>
    <t>CSE - O</t>
  </si>
  <si>
    <t>25985A0507</t>
  </si>
  <si>
    <t>ANGULURI LAHARI</t>
  </si>
  <si>
    <t>25985A0508</t>
  </si>
  <si>
    <t>AVANIGADDA VINAY</t>
  </si>
  <si>
    <t>25985A0509</t>
  </si>
  <si>
    <t>BAIPOTHU GEYASRI</t>
  </si>
  <si>
    <t>25985A0510</t>
  </si>
  <si>
    <t>BALI MAHESH BABU</t>
  </si>
  <si>
    <t>25985A0511</t>
  </si>
  <si>
    <t>BALLA ANJI AKASH</t>
  </si>
  <si>
    <t>25985A0512</t>
  </si>
  <si>
    <t>BANDELA GANESH</t>
  </si>
  <si>
    <t>25985A0513</t>
  </si>
  <si>
    <t>BARNIKALA NITHIN</t>
  </si>
  <si>
    <t>25985A0514</t>
  </si>
  <si>
    <t>BHIMAVARAPU GEETHU</t>
  </si>
  <si>
    <t>25985A0515</t>
  </si>
  <si>
    <t>BODAPUDI DEVI PAVANI</t>
  </si>
  <si>
    <t>25985A0516</t>
  </si>
  <si>
    <t>BODDU AKSHY KUMAR</t>
  </si>
  <si>
    <t>25985A0517</t>
  </si>
  <si>
    <t>BOJJA MADHUSUDHAN RAO</t>
  </si>
  <si>
    <t>25985A0518</t>
  </si>
  <si>
    <t>BOTCHU MOKSHA SAI</t>
  </si>
  <si>
    <t>25985A0519</t>
  </si>
  <si>
    <t>BURAGAPU LASYA CHANDRIKA</t>
  </si>
  <si>
    <t>25985A0520</t>
  </si>
  <si>
    <t>BUTHADA VINAY</t>
  </si>
  <si>
    <t>25985A0521</t>
  </si>
  <si>
    <t>BYRISETTI KAMALESH</t>
  </si>
  <si>
    <t>25985A0522</t>
  </si>
  <si>
    <t>CHATLA SNEHA</t>
  </si>
  <si>
    <t>25985A0523</t>
  </si>
  <si>
    <t>CHEEKATLA UDAY SAI BHASKAR</t>
  </si>
  <si>
    <t>25985A0524</t>
  </si>
  <si>
    <t>CHIKKALA ROHITH KUMAR</t>
  </si>
  <si>
    <t>25985A0525</t>
  </si>
  <si>
    <t>CHILAKA SUVARNA KUMARI</t>
  </si>
  <si>
    <t>25985A0526</t>
  </si>
  <si>
    <t>CHINTAPALLI SAI</t>
  </si>
  <si>
    <t>25985A0527</t>
  </si>
  <si>
    <t>CHITTURI SAMUEL</t>
  </si>
  <si>
    <t>25985A0528</t>
  </si>
  <si>
    <t>DANABALA SAILAJA</t>
  </si>
  <si>
    <t>25985A0529</t>
  </si>
  <si>
    <t>DEVAGANUGULA N V D S S KOTESH</t>
  </si>
  <si>
    <t>25985A0530</t>
  </si>
  <si>
    <t>DINESH KUMAR CHIDARABOYINA</t>
  </si>
  <si>
    <t>25985A0531</t>
  </si>
  <si>
    <t>DOPPALAPUDI HEMANTH</t>
  </si>
  <si>
    <t>25985A0532</t>
  </si>
  <si>
    <t>DUVVARAPU YASWANTH</t>
  </si>
  <si>
    <t>25985A0533</t>
  </si>
  <si>
    <t>ELAPANDA PURNIMA</t>
  </si>
  <si>
    <t>25985A0534</t>
  </si>
  <si>
    <t>GEDDAM SANJAY KUMAR</t>
  </si>
  <si>
    <t>25985A0535</t>
  </si>
  <si>
    <t>GOPASANA ANUSH KUMAR</t>
  </si>
  <si>
    <t>25985A0536</t>
  </si>
  <si>
    <t>GOTTAPU BHANU PRAKASH</t>
  </si>
  <si>
    <t>25985A0537</t>
  </si>
  <si>
    <t>GUDURI KUMARA VEERA VENKATA SUBRAHMANYAM</t>
  </si>
  <si>
    <t>25985A0538</t>
  </si>
  <si>
    <t>GUNTUR PAVAN</t>
  </si>
  <si>
    <t>25985A0539</t>
  </si>
  <si>
    <t>GURAJAPU THARUN</t>
  </si>
  <si>
    <t>25985A0540</t>
  </si>
  <si>
    <t>GURANA SWAPNA</t>
  </si>
  <si>
    <t>25985A0541</t>
  </si>
  <si>
    <t>ILAPARTHI ISSAKU</t>
  </si>
  <si>
    <t>25985A0542</t>
  </si>
  <si>
    <t>JALLU KUSUMA</t>
  </si>
  <si>
    <t>25985A0543</t>
  </si>
  <si>
    <t>JAMAMU ESWARA RAO</t>
  </si>
  <si>
    <t>25985A0544</t>
  </si>
  <si>
    <t>JAMI CHARITHA</t>
  </si>
  <si>
    <t>25985A0545</t>
  </si>
  <si>
    <t>JANAPAREDDY YOGAMRUTHA</t>
  </si>
  <si>
    <t>25985A0546</t>
  </si>
  <si>
    <t>JANGILI BUNNY</t>
  </si>
  <si>
    <t>25985A0547</t>
  </si>
  <si>
    <t>JEELAKARRA RAJESH</t>
  </si>
  <si>
    <t>25985A0548</t>
  </si>
  <si>
    <t>KALLA JASWANTH</t>
  </si>
  <si>
    <t>25985A0549</t>
  </si>
  <si>
    <t>KAMANA SAI SANTHOSH</t>
  </si>
  <si>
    <t>25985A0550</t>
  </si>
  <si>
    <t>KAMBALA DHANUSH KUMAR</t>
  </si>
  <si>
    <t>25985A0551</t>
  </si>
  <si>
    <t>KANAPAREDDY SAI MOHAN</t>
  </si>
  <si>
    <t>25985A0552</t>
  </si>
  <si>
    <t>KANITHI NEHA</t>
  </si>
  <si>
    <t>25985A0553</t>
  </si>
  <si>
    <t>KANITHI VENKATARAMANA</t>
  </si>
  <si>
    <t>25985A0554</t>
  </si>
  <si>
    <t>KANUGULA THRINAYANI</t>
  </si>
  <si>
    <t>25985A0555</t>
  </si>
  <si>
    <t>KAPU DINESH</t>
  </si>
  <si>
    <t>25985A0556</t>
  </si>
  <si>
    <t>KARANAM SRAVANI</t>
  </si>
  <si>
    <t>25985A0557</t>
  </si>
  <si>
    <t>KARUKOLA AKHIL</t>
  </si>
  <si>
    <t>25985A0558</t>
  </si>
  <si>
    <t>KELLA BHARGAV VENKATA NAGA TEJA</t>
  </si>
  <si>
    <t>25985A0559</t>
  </si>
  <si>
    <t>KILLANA DILLESWARI</t>
  </si>
  <si>
    <t>25985A0560</t>
  </si>
  <si>
    <t>KOLLI DIVAKAR SAI KRISHNA</t>
  </si>
  <si>
    <t>25985A0561</t>
  </si>
  <si>
    <t>KOLUSU HARI BABU</t>
  </si>
  <si>
    <t>25985A0562</t>
  </si>
  <si>
    <t>KOPPISETTI SANTOSHKUMAR</t>
  </si>
  <si>
    <t>25985A0563</t>
  </si>
  <si>
    <t>KORUKONDA DAVID BLESSON</t>
  </si>
  <si>
    <t>25985A0564</t>
  </si>
  <si>
    <t>KOTA REENA MAITHILI</t>
  </si>
  <si>
    <t>25985A0565</t>
  </si>
  <si>
    <t>KOTUPALLI KAVYA</t>
  </si>
  <si>
    <t>25985A0566</t>
  </si>
  <si>
    <t>KUDUPUDI PAVAN SAI SATISH</t>
  </si>
  <si>
    <t>25985A0567</t>
  </si>
  <si>
    <t>KUMMARAGUNTA POOJITHA</t>
  </si>
  <si>
    <t>25985A0568</t>
  </si>
  <si>
    <t>KUMPATLA PULLAYYA NAIDU</t>
  </si>
  <si>
    <t>25985A0569</t>
  </si>
  <si>
    <t>KURUMUJU RAJESH</t>
  </si>
  <si>
    <t>25985A0570</t>
  </si>
  <si>
    <t>KUSUMA SAMUEL</t>
  </si>
  <si>
    <t>25985A0571</t>
  </si>
  <si>
    <t>LANKA SATISH</t>
  </si>
  <si>
    <t>25985A0572</t>
  </si>
  <si>
    <t>MADDILI KIRAN KUMAR</t>
  </si>
  <si>
    <t>25985A0573</t>
  </si>
  <si>
    <t>MADE NAGA CHAITHANYA</t>
  </si>
  <si>
    <t>25985A0574</t>
  </si>
  <si>
    <t>MARNI ABHINAYA</t>
  </si>
  <si>
    <t>25985A0575</t>
  </si>
  <si>
    <t>MERUGUMALLA JOSEPH</t>
  </si>
  <si>
    <t>25985A0576</t>
  </si>
  <si>
    <t>MITTANA LAXMI DEVI</t>
  </si>
  <si>
    <t>25985A0577</t>
  </si>
  <si>
    <t>MOLLETI DHANAJI</t>
  </si>
  <si>
    <t>25985A0578</t>
  </si>
  <si>
    <t>MOYILLA VEERA LAKSHMI</t>
  </si>
  <si>
    <t>25985A0579</t>
  </si>
  <si>
    <t>MUDDINETI KIRAN</t>
  </si>
  <si>
    <t>25985A0580</t>
  </si>
  <si>
    <t>MUNAKALA TARUN</t>
  </si>
  <si>
    <t>25985A0581</t>
  </si>
  <si>
    <t>NAGIRIKATAKAM SAI</t>
  </si>
  <si>
    <t>CSE - P</t>
  </si>
  <si>
    <t>2024 AB CSE-M N O  P Q (REC) II B.Tech I Semester Attendance as on 11.06.2025 onwards</t>
  </si>
  <si>
    <t>25985A0582</t>
  </si>
  <si>
    <t>NALLA VINAY KUMAR</t>
  </si>
  <si>
    <t>25985A0583</t>
  </si>
  <si>
    <t>NARAVA SRI HARI KARTHIK</t>
  </si>
  <si>
    <t>25985A0584</t>
  </si>
  <si>
    <t>NERALLA DILLESWARA RAO</t>
  </si>
  <si>
    <t>25985A0585</t>
  </si>
  <si>
    <t>PAIDI SIVA PRASAD</t>
  </si>
  <si>
    <t>25985A0586</t>
  </si>
  <si>
    <t>PAILA VYKUNTA RAO</t>
  </si>
  <si>
    <t>25985A0587</t>
  </si>
  <si>
    <t>PALLA SIVA SHANKAR</t>
  </si>
  <si>
    <t>25985A0588</t>
  </si>
  <si>
    <t>PALLA SUBHASH</t>
  </si>
  <si>
    <t>25985A0589</t>
  </si>
  <si>
    <t>PATARLAPALLI SRAVANTHI</t>
  </si>
  <si>
    <t>25985A0590</t>
  </si>
  <si>
    <t>PATHALA VENU</t>
  </si>
  <si>
    <t>25985A0591</t>
  </si>
  <si>
    <t>PENKI PARDHA SARADHI</t>
  </si>
  <si>
    <t>25985A0592</t>
  </si>
  <si>
    <t>PENUGURTHY PURNIMA</t>
  </si>
  <si>
    <t>25985A0593</t>
  </si>
  <si>
    <t>PINABOINA JAYA SURYA</t>
  </si>
  <si>
    <t>25985A0594</t>
  </si>
  <si>
    <t>PINDI PYDI VENKATA GANESH</t>
  </si>
  <si>
    <t>25985A0595</t>
  </si>
  <si>
    <t>POOLAGONI MANASA</t>
  </si>
  <si>
    <t>25985A0596</t>
  </si>
  <si>
    <t>POTHALA SRI RATNA</t>
  </si>
  <si>
    <t>25985A0597</t>
  </si>
  <si>
    <t>POTHU SRINIVASA RAO</t>
  </si>
  <si>
    <t>25985A0598</t>
  </si>
  <si>
    <t>PRASADULA VINAY KUMAR</t>
  </si>
  <si>
    <t>25985A0599</t>
  </si>
  <si>
    <t>PULIVARTHI VENKATESH</t>
  </si>
  <si>
    <t>25985A05A0</t>
  </si>
  <si>
    <t>PYDADA SAILU</t>
  </si>
  <si>
    <t>25985A05A1</t>
  </si>
  <si>
    <t>RAJETI SHINY</t>
  </si>
  <si>
    <t>25985A05A2</t>
  </si>
  <si>
    <t>RASAMSETTI YUVA SATYA PRASANNA</t>
  </si>
  <si>
    <t>25985A05A3</t>
  </si>
  <si>
    <t>RAYAPUDI SUMANTH</t>
  </si>
  <si>
    <t>25985A05A4</t>
  </si>
  <si>
    <t>RAYI MANI KANTA</t>
  </si>
  <si>
    <t>25985A05A5</t>
  </si>
  <si>
    <t>SALUGULA BHANU SRI</t>
  </si>
  <si>
    <t>25985A05A6</t>
  </si>
  <si>
    <t>SAMBANGI SRAVANI</t>
  </si>
  <si>
    <t>25985A05A7</t>
  </si>
  <si>
    <t>SANTHA NAGA CHARAN TEJA</t>
  </si>
  <si>
    <t>25985A05A8</t>
  </si>
  <si>
    <t>SARAGADAM VENKATA GANESH</t>
  </si>
  <si>
    <t>25985A05A9</t>
  </si>
  <si>
    <t>SETTYPALLI KARTHIK</t>
  </si>
  <si>
    <t>25985A05B0</t>
  </si>
  <si>
    <t>SHAIK AHMAD MOHIDDIN</t>
  </si>
  <si>
    <t>25985A05B1</t>
  </si>
  <si>
    <t>SHAIK JOHNVALI</t>
  </si>
  <si>
    <t>25985A05B2</t>
  </si>
  <si>
    <t>SHAIK RAHEEM</t>
  </si>
  <si>
    <t>25985A05B3</t>
  </si>
  <si>
    <t>SHAIK SAMEERA</t>
  </si>
  <si>
    <t>25985A05B4</t>
  </si>
  <si>
    <t>SHAIK YASIN</t>
  </si>
  <si>
    <t>25985A05B5</t>
  </si>
  <si>
    <t>SHEK BASHEER</t>
  </si>
  <si>
    <t>25985A05B6</t>
  </si>
  <si>
    <t>SONTYANA SELINA</t>
  </si>
  <si>
    <t>25985A05B7</t>
  </si>
  <si>
    <t>SUDHEER KUMAR</t>
  </si>
  <si>
    <t>25985A05B8</t>
  </si>
  <si>
    <t>SUNDARAPU HARSHA VARDHAN</t>
  </si>
  <si>
    <t>25985A05B9</t>
  </si>
  <si>
    <t>SURADA NIHARIKA</t>
  </si>
  <si>
    <t>25985A05C0</t>
  </si>
  <si>
    <t>SURAMPUDI SATYA LAKSHMI</t>
  </si>
  <si>
    <t>25985A05C1</t>
  </si>
  <si>
    <t>TADI THARUN</t>
  </si>
  <si>
    <t>25985A05C2</t>
  </si>
  <si>
    <t>TATAVOLU SATYA GANGA LAKSHMI PRASANTHI</t>
  </si>
  <si>
    <t>25985A05C3</t>
  </si>
  <si>
    <t>UDDAGIRI PHANINDRA</t>
  </si>
  <si>
    <t>25985A05C4</t>
  </si>
  <si>
    <t>UMMAREDDY NAGA DINESH</t>
  </si>
  <si>
    <t>25985A05C5</t>
  </si>
  <si>
    <t>UPPADA NITHIN KUMAR</t>
  </si>
  <si>
    <t>25985A05C6</t>
  </si>
  <si>
    <t>VANJARAPU SHANKAR</t>
  </si>
  <si>
    <t>25985A05C7</t>
  </si>
  <si>
    <t>VANTAKULA SATHWIK</t>
  </si>
  <si>
    <t>25985A05C8</t>
  </si>
  <si>
    <t>VARADA RUPA</t>
  </si>
  <si>
    <t>25985A05C9</t>
  </si>
  <si>
    <t>VARADA SOWJANYA</t>
  </si>
  <si>
    <t>25985A05D0</t>
  </si>
  <si>
    <t>VARRI PRUDVI RAJ</t>
  </si>
  <si>
    <t>25985A05D1</t>
  </si>
  <si>
    <t>VASUPALLI KARTHIK NARAYANA</t>
  </si>
  <si>
    <t>25985A05D2</t>
  </si>
  <si>
    <t>VECHALAPU NITHISHA</t>
  </si>
  <si>
    <t>25985A05D3</t>
  </si>
  <si>
    <t>YALAKALA YUVARAJU</t>
  </si>
  <si>
    <t>25985A05D4</t>
  </si>
  <si>
    <t>YELLAPU VENKATA APPALA NAIDU</t>
  </si>
  <si>
    <t>25985A05D5</t>
  </si>
  <si>
    <t>YERIPILLI PRAVEEN PRAKASH</t>
  </si>
  <si>
    <t>25985A05D6</t>
  </si>
  <si>
    <t>KATTA SRI NAGA DURGA MANIKANTA</t>
  </si>
  <si>
    <t>25985A05D7</t>
  </si>
  <si>
    <t>ANDE JYOTHI KRISHNA</t>
  </si>
  <si>
    <t>25985A05D8</t>
  </si>
  <si>
    <t>PENUMAJJI KARTEEK</t>
  </si>
  <si>
    <t>AAKULA ROHITH</t>
  </si>
  <si>
    <t>AKKIREDDY CHARAN</t>
  </si>
  <si>
    <t>ARLI UDAYASHISH</t>
  </si>
  <si>
    <t>BALISETTY HARISH</t>
  </si>
  <si>
    <t>GANSINGHGARI CHAITANYA SINGH</t>
  </si>
  <si>
    <t>GEDELA MADHU</t>
  </si>
  <si>
    <t>GUDIVADA MOHAN</t>
  </si>
  <si>
    <t>GURRAM RAVITEJA</t>
  </si>
  <si>
    <t>KARAGANA VAMSI</t>
  </si>
  <si>
    <t>KOLLI SHANMUKH</t>
  </si>
  <si>
    <t>KOTARI PURNIMA ANILA</t>
  </si>
  <si>
    <t>KUSUMA SHARON</t>
  </si>
  <si>
    <t>NEKKELLA ESWAR VARDHAN</t>
  </si>
  <si>
    <t>PARISERLA KARTHEEK</t>
  </si>
  <si>
    <t>RAYAVARAPU NIHAR</t>
  </si>
  <si>
    <t>SAGI ADITYA GAJAPATI RAJU</t>
  </si>
  <si>
    <t>VASAPILLI RASHMITHA</t>
  </si>
  <si>
    <t>CSE -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</si>
</sst>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2"/>
      <color rgb="FF000000"/>
      <name val="Times New Roman"/>
    </font>
    <font>
      <sz val="11"/>
      <name val="Calibri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Cambria"/>
    </font>
    <font>
      <sz val="9"/>
      <color rgb="FF000000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3"/>
      <color theme="1"/>
      <name val="Cambria"/>
    </font>
    <font>
      <sz val="13"/>
      <color rgb="FF000000"/>
      <name val="Candara"/>
    </font>
    <font>
      <sz val="13"/>
      <color theme="1"/>
      <name val="Candara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0" borderId="7" xfId="0" applyFont="1" applyBorder="1"/>
    <xf numFmtId="0" fontId="6" fillId="2" borderId="7" xfId="0" applyFont="1" applyFill="1" applyBorder="1" applyAlignment="1">
      <alignment horizontal="center"/>
    </xf>
    <xf numFmtId="0" fontId="5" fillId="0" borderId="12" xfId="0" applyFont="1" applyBorder="1"/>
    <xf numFmtId="0" fontId="7" fillId="0" borderId="0" xfId="0" applyFont="1" applyAlignment="1">
      <alignment horizontal="center"/>
    </xf>
    <xf numFmtId="0" fontId="8" fillId="0" borderId="7" xfId="0" applyFont="1" applyBorder="1" applyAlignment="1">
      <alignment horizontal="right"/>
    </xf>
    <xf numFmtId="0" fontId="9" fillId="3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7" xfId="0" applyFont="1" applyBorder="1"/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0" fillId="0" borderId="12" xfId="0" applyFont="1" applyBorder="1"/>
    <xf numFmtId="0" fontId="11" fillId="0" borderId="7" xfId="0" applyFont="1" applyBorder="1"/>
    <xf numFmtId="0" fontId="12" fillId="0" borderId="7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8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10"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abSelected="1" zoomScale="84" zoomScaleNormal="84" workbookViewId="0">
      <selection activeCell="C17" sqref="C17"/>
    </sheetView>
  </sheetViews>
  <sheetFormatPr defaultColWidth="14.44140625" defaultRowHeight="15.05" customHeight="1" x14ac:dyDescent="0.3"/>
  <cols>
    <col min="1" max="1" width="5.109375" customWidth="1"/>
    <col min="2" max="2" width="14.109375" customWidth="1"/>
    <col min="3" max="3" width="46.109375" customWidth="1"/>
    <col min="4" max="4" width="8.6640625" customWidth="1"/>
    <col min="5" max="5" width="12.6640625" customWidth="1"/>
    <col min="6" max="6" width="5.44140625" customWidth="1"/>
    <col min="7" max="7" width="12.6640625" customWidth="1"/>
    <col min="8" max="8" width="7.6640625" customWidth="1"/>
    <col min="9" max="9" width="12.6640625" customWidth="1"/>
    <col min="10" max="10" width="3" customWidth="1"/>
    <col min="12" max="12" width="3" customWidth="1"/>
    <col min="14" max="14" width="3" customWidth="1"/>
    <col min="16" max="16" width="3" customWidth="1"/>
    <col min="18" max="18" width="3" customWidth="1"/>
    <col min="20" max="20" width="3" customWidth="1"/>
    <col min="21" max="21" width="12.6640625" customWidth="1"/>
    <col min="22" max="22" width="5.6640625" customWidth="1"/>
    <col min="24" max="24" width="6.5546875" customWidth="1"/>
    <col min="25" max="25" width="18.33203125" customWidth="1"/>
    <col min="26" max="26" width="13.33203125" customWidth="1"/>
    <col min="27" max="27" width="19.44140625" customWidth="1"/>
  </cols>
  <sheetData>
    <row r="1" spans="1:27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</row>
    <row r="2" spans="1:27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9"/>
    </row>
    <row r="3" spans="1:27" x14ac:dyDescent="0.3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2"/>
    </row>
    <row r="4" spans="1:27" ht="15.65" x14ac:dyDescent="0.3">
      <c r="A4" s="1" t="s">
        <v>3</v>
      </c>
      <c r="B4" s="1" t="s">
        <v>4</v>
      </c>
      <c r="C4" s="2" t="s">
        <v>5</v>
      </c>
      <c r="D4" s="23" t="s">
        <v>6</v>
      </c>
      <c r="E4" s="24"/>
      <c r="F4" s="23" t="s">
        <v>7</v>
      </c>
      <c r="G4" s="24"/>
      <c r="H4" s="23" t="s">
        <v>8</v>
      </c>
      <c r="I4" s="24"/>
      <c r="J4" s="23" t="s">
        <v>9</v>
      </c>
      <c r="K4" s="24"/>
      <c r="L4" s="23" t="s">
        <v>10</v>
      </c>
      <c r="M4" s="24"/>
      <c r="N4" s="23" t="s">
        <v>11</v>
      </c>
      <c r="O4" s="24"/>
      <c r="P4" s="23" t="s">
        <v>12</v>
      </c>
      <c r="Q4" s="24"/>
      <c r="R4" s="23" t="s">
        <v>13</v>
      </c>
      <c r="S4" s="24"/>
      <c r="T4" s="23" t="s">
        <v>14</v>
      </c>
      <c r="U4" s="24"/>
      <c r="V4" s="1" t="s">
        <v>15</v>
      </c>
      <c r="W4" s="1" t="s">
        <v>16</v>
      </c>
      <c r="X4" s="3" t="s">
        <v>17</v>
      </c>
      <c r="Y4" s="4" t="s">
        <v>18</v>
      </c>
      <c r="Z4" s="4" t="s">
        <v>19</v>
      </c>
      <c r="AA4" s="4" t="s">
        <v>20</v>
      </c>
    </row>
    <row r="5" spans="1:27" ht="22.55" customHeight="1" x14ac:dyDescent="0.3">
      <c r="A5" s="23" t="s">
        <v>21</v>
      </c>
      <c r="B5" s="25"/>
      <c r="C5" s="24"/>
      <c r="D5" s="5">
        <f ca="1">IFERROR(__xludf.DUMMYFUNCTION("IMPORTRANGE(""https://docs.google.com/spreadsheets/d/1rOGZhKHVnDGFqGTO7UNOJSkSJyQwVuEb2-yhWQit7lw/edit?gid=872795839#gid=872795839"", address(row($D3),column($D3),,,""DM&amp;GT-M""))"),36)</f>
        <v>36</v>
      </c>
      <c r="E5" s="5" t="s">
        <v>22</v>
      </c>
      <c r="F5" s="5">
        <f ca="1">IFERROR(__xludf.DUMMYFUNCTION("IMPORTRANGE(""https://docs.google.com/spreadsheets/d/1rOGZhKHVnDGFqGTO7UNOJSkSJyQwVuEb2-yhWQit7lw/edit?gid=659871210#gid=659871210"", address(row($D3),column($D3),,,""UHV-M""))"),32)</f>
        <v>32</v>
      </c>
      <c r="G5" s="5" t="s">
        <v>22</v>
      </c>
      <c r="H5" s="5">
        <f ca="1">IFERROR(__xludf.DUMMYFUNCTION("IMPORTRANGE(""https://docs.google.com/spreadsheets/d/1rOGZhKHVnDGFqGTO7UNOJSkSJyQwVuEb2-yhWQit7lw/edit?gid=1831678671#gid=1831678671"", address(row($D3),column($D3),,,""DL&amp;CO-M""))"),40)</f>
        <v>40</v>
      </c>
      <c r="I5" s="5" t="s">
        <v>22</v>
      </c>
      <c r="J5" s="5">
        <f ca="1">IFERROR(__xludf.DUMMYFUNCTION("IMPORTRANGE(""https://docs.google.com/spreadsheets/d/1rOGZhKHVnDGFqGTO7UNOJSkSJyQwVuEb2-yhWQit7lw/edit?gid=1967609937#gid=1967609937"", address(row($D3),column($D3),,,""ADSA-M""))"),66)</f>
        <v>66</v>
      </c>
      <c r="K5" s="5" t="s">
        <v>22</v>
      </c>
      <c r="L5" s="5">
        <f ca="1">IFERROR(__xludf.DUMMYFUNCTION("IMPORTRANGE(""https://docs.google.com/spreadsheets/d/1rOGZhKHVnDGFqGTO7UNOJSkSJyQwVuEb2-yhWQit7lw/edit?gid=413111112#gid=413111112"", address(row($D3),column($D3),,,""JAVA-M""))"),66)</f>
        <v>66</v>
      </c>
      <c r="M5" s="5" t="s">
        <v>22</v>
      </c>
      <c r="N5" s="5">
        <f ca="1">IFERROR(__xludf.DUMMYFUNCTION("IMPORTRANGE(""https://docs.google.com/spreadsheets/d/1rOGZhKHVnDGFqGTO7UNOJSkSJyQwVuEb2-yhWQit7lw/edit?gid=48564407#gid=48564407"", address(row($D3),column($D3),,,""FOSS LAB-M""))"),30)</f>
        <v>30</v>
      </c>
      <c r="O5" s="5" t="s">
        <v>22</v>
      </c>
      <c r="P5" s="5">
        <f ca="1">IFERROR(__xludf.DUMMYFUNCTION("IMPORTRANGE(""https://docs.google.com/spreadsheets/d/1rOGZhKHVnDGFqGTO7UNOJSkSJyQwVuEb2-yhWQit7lw/edit?gid=1253773396#gid=1253773396"", address(row($D3),column($D3),,,""PP-M""))"),24)</f>
        <v>24</v>
      </c>
      <c r="Q5" s="5" t="s">
        <v>22</v>
      </c>
      <c r="R5" s="5">
        <f ca="1">IFERROR(__xludf.DUMMYFUNCTION("IMPORTRANGE(""https://docs.google.com/spreadsheets/d/1rOGZhKHVnDGFqGTO7UNOJSkSJyQwVuEb2-yhWQit7lw/edit?gid=1188725859#gid=1188725859"", address(row($D3),column($D3),,,""NPTEL-M""))"),38)</f>
        <v>38</v>
      </c>
      <c r="S5" s="5" t="s">
        <v>22</v>
      </c>
      <c r="T5" s="6">
        <f ca="1">IFERROR(__xludf.DUMMYFUNCTION("IMPORTRANGE(""https://docs.google.com/spreadsheets/d/1rOGZhKHVnDGFqGTO7UNOJSkSJyQwVuEb2-yhWQit7lw/edit?gid=832656518#gid=832656518"", address(row($D3),column($D3),,,""CRT-M""))"),91)</f>
        <v>91</v>
      </c>
      <c r="U5" s="5" t="s">
        <v>22</v>
      </c>
      <c r="V5" s="6">
        <f t="shared" ref="V5:V78" ca="1" si="0">SUM(D5,F5,H5,J5,L5,N5,P5,R5,T5)</f>
        <v>423</v>
      </c>
      <c r="W5" s="7" t="s">
        <v>22</v>
      </c>
      <c r="X5" s="4">
        <v>0</v>
      </c>
      <c r="Y5" s="4">
        <v>0</v>
      </c>
      <c r="Z5" s="4">
        <f t="shared" ref="Z5:Z78" ca="1" si="1">V5+Y5+X5</f>
        <v>423</v>
      </c>
      <c r="AA5" s="4" t="s">
        <v>22</v>
      </c>
    </row>
    <row r="6" spans="1:27" ht="17.25" customHeight="1" x14ac:dyDescent="0.3">
      <c r="A6" s="8">
        <v>1</v>
      </c>
      <c r="B6" s="9" t="s">
        <v>23</v>
      </c>
      <c r="C6" s="9" t="s">
        <v>24</v>
      </c>
      <c r="D6" s="5">
        <f ca="1">IFERROR(__xludf.DUMMYFUNCTION("IMPORTRANGE(""https://docs.google.com/spreadsheets/d/1rOGZhKHVnDGFqGTO7UNOJSkSJyQwVuEb2-yhWQit7lw/edit?gid=872795839#gid=872795839"", address(row($D4),column($D4),,,""DM&amp;GT-M""))"),20)</f>
        <v>20</v>
      </c>
      <c r="E6" s="8">
        <f t="shared" ref="E6:E78" ca="1" si="2">D6/D$5*100</f>
        <v>55.555555555555557</v>
      </c>
      <c r="F6" s="5">
        <f ca="1">IFERROR(__xludf.DUMMYFUNCTION("IMPORTRANGE(""https://docs.google.com/spreadsheets/d/1rOGZhKHVnDGFqGTO7UNOJSkSJyQwVuEb2-yhWQit7lw/edit?gid=659871210#gid=659871210"", address(row($D4),column($D4),,,""UHV-M""))"),22)</f>
        <v>22</v>
      </c>
      <c r="G6" s="8">
        <f t="shared" ref="G6:G78" ca="1" si="3">F6/F$5*100</f>
        <v>68.75</v>
      </c>
      <c r="H6" s="5">
        <f ca="1">IFERROR(__xludf.DUMMYFUNCTION("IMPORTRANGE(""https://docs.google.com/spreadsheets/d/1rOGZhKHVnDGFqGTO7UNOJSkSJyQwVuEb2-yhWQit7lw/edit?gid=1831678671#gid=1831678671"", address(row($D4),column($D4),,,""DL&amp;CO-M""))"),19)</f>
        <v>19</v>
      </c>
      <c r="I6" s="8">
        <f t="shared" ref="I6:I78" ca="1" si="4">H6/H$5*100</f>
        <v>47.5</v>
      </c>
      <c r="J6" s="5">
        <f ca="1">IFERROR(__xludf.DUMMYFUNCTION("IMPORTRANGE(""https://docs.google.com/spreadsheets/d/1rOGZhKHVnDGFqGTO7UNOJSkSJyQwVuEb2-yhWQit7lw/edit?gid=1967609937#gid=1967609937"", address(row($D4),column($D4),,,""ADSA-M""))"),36)</f>
        <v>36</v>
      </c>
      <c r="K6" s="8">
        <f t="shared" ref="K6:K78" ca="1" si="5">J6/J$5*100</f>
        <v>54.54545454545454</v>
      </c>
      <c r="L6" s="5">
        <f ca="1">IFERROR(__xludf.DUMMYFUNCTION("IMPORTRANGE(""https://docs.google.com/spreadsheets/d/1rOGZhKHVnDGFqGTO7UNOJSkSJyQwVuEb2-yhWQit7lw/edit?gid=413111112#gid=413111112"", address(row($D4),column($D4),,,""JAVA-M""))"),40)</f>
        <v>40</v>
      </c>
      <c r="M6" s="8">
        <f t="shared" ref="M6:M78" ca="1" si="6">L6/L$5*100</f>
        <v>60.606060606060609</v>
      </c>
      <c r="N6" s="5">
        <f ca="1">IFERROR(__xludf.DUMMYFUNCTION("IMPORTRANGE(""https://docs.google.com/spreadsheets/d/1rOGZhKHVnDGFqGTO7UNOJSkSJyQwVuEb2-yhWQit7lw/edit?gid=48564407#gid=48564407"", address(row($D4),column($D4),,,""FOSS LAB-M""))"),12)</f>
        <v>12</v>
      </c>
      <c r="O6" s="8">
        <f t="shared" ref="O6:O78" ca="1" si="7">N6/N$5*100</f>
        <v>40</v>
      </c>
      <c r="P6" s="5">
        <f ca="1">IFERROR(__xludf.DUMMYFUNCTION("IMPORTRANGE(""https://docs.google.com/spreadsheets/d/1rOGZhKHVnDGFqGTO7UNOJSkSJyQwVuEb2-yhWQit7lw/edit?gid=1253773396#gid=1253773396"", address(row($D4),column($D4),,,""PP-M""))"),18)</f>
        <v>18</v>
      </c>
      <c r="Q6" s="8">
        <f t="shared" ref="Q6:Q78" ca="1" si="8">P6/P$5*100</f>
        <v>75</v>
      </c>
      <c r="R6" s="5">
        <f ca="1">IFERROR(__xludf.DUMMYFUNCTION("IMPORTRANGE(""https://docs.google.com/spreadsheets/d/1rOGZhKHVnDGFqGTO7UNOJSkSJyQwVuEb2-yhWQit7lw/edit?gid=1188725859#gid=1188725859"", address(row($D4),column($D4),,,""NPTEL-M""))"),28)</f>
        <v>28</v>
      </c>
      <c r="S6" s="8">
        <f t="shared" ref="S6:S78" ca="1" si="9">R6/R$5*100</f>
        <v>73.68421052631578</v>
      </c>
      <c r="T6" s="6">
        <f ca="1">IFERROR(__xludf.DUMMYFUNCTION("IMPORTRANGE(""https://docs.google.com/spreadsheets/d/1rOGZhKHVnDGFqGTO7UNOJSkSJyQwVuEb2-yhWQit7lw/edit?gid=832656518#gid=832656518"", address(row($D4),column($D4),,,""CRT-M""))"),84)</f>
        <v>84</v>
      </c>
      <c r="U6" s="8">
        <f t="shared" ref="U6:U78" ca="1" si="10">T6/T$5*100</f>
        <v>92.307692307692307</v>
      </c>
      <c r="V6" s="6">
        <f t="shared" ca="1" si="0"/>
        <v>279</v>
      </c>
      <c r="W6" s="4">
        <f t="shared" ref="W6:W78" ca="1" si="11">ROUND(V6/$V$5*100,0)</f>
        <v>66</v>
      </c>
      <c r="X6" s="4">
        <v>0</v>
      </c>
      <c r="Y6" s="4">
        <v>0</v>
      </c>
      <c r="Z6" s="4">
        <f t="shared" ca="1" si="1"/>
        <v>279</v>
      </c>
      <c r="AA6" s="10">
        <f t="shared" ref="AA6:AA78" ca="1" si="12">ROUND(Z6/$Z$5*100,0)</f>
        <v>66</v>
      </c>
    </row>
    <row r="7" spans="1:27" ht="17.25" customHeight="1" x14ac:dyDescent="0.3">
      <c r="A7" s="8">
        <v>2</v>
      </c>
      <c r="B7" s="11" t="s">
        <v>25</v>
      </c>
      <c r="C7" s="11" t="s">
        <v>26</v>
      </c>
      <c r="D7" s="5">
        <f ca="1">IFERROR(__xludf.DUMMYFUNCTION("IMPORTRANGE(""https://docs.google.com/spreadsheets/d/1rOGZhKHVnDGFqGTO7UNOJSkSJyQwVuEb2-yhWQit7lw/edit?gid=872795839#gid=872795839"", address(row($D5),column($D5),,,""DM&amp;GT-M""))"),22)</f>
        <v>22</v>
      </c>
      <c r="E7" s="8">
        <f t="shared" ca="1" si="2"/>
        <v>61.111111111111114</v>
      </c>
      <c r="F7" s="5">
        <f ca="1">IFERROR(__xludf.DUMMYFUNCTION("IMPORTRANGE(""https://docs.google.com/spreadsheets/d/1rOGZhKHVnDGFqGTO7UNOJSkSJyQwVuEb2-yhWQit7lw/edit?gid=659871210#gid=659871210"", address(row($D5),column($D5),,,""UHV-M""))"),22)</f>
        <v>22</v>
      </c>
      <c r="G7" s="8">
        <f t="shared" ca="1" si="3"/>
        <v>68.75</v>
      </c>
      <c r="H7" s="5">
        <f ca="1">IFERROR(__xludf.DUMMYFUNCTION("IMPORTRANGE(""https://docs.google.com/spreadsheets/d/1rOGZhKHVnDGFqGTO7UNOJSkSJyQwVuEb2-yhWQit7lw/edit?gid=1831678671#gid=1831678671"", address(row($D5),column($D5),,,""DL&amp;CO-M""))"),21)</f>
        <v>21</v>
      </c>
      <c r="I7" s="8">
        <f t="shared" ca="1" si="4"/>
        <v>52.5</v>
      </c>
      <c r="J7" s="5">
        <f ca="1">IFERROR(__xludf.DUMMYFUNCTION("IMPORTRANGE(""https://docs.google.com/spreadsheets/d/1rOGZhKHVnDGFqGTO7UNOJSkSJyQwVuEb2-yhWQit7lw/edit?gid=1967609937#gid=1967609937"", address(row($D5),column($D5),,,""ADSA-M""))"),36)</f>
        <v>36</v>
      </c>
      <c r="K7" s="8">
        <f t="shared" ca="1" si="5"/>
        <v>54.54545454545454</v>
      </c>
      <c r="L7" s="5">
        <f ca="1">IFERROR(__xludf.DUMMYFUNCTION("IMPORTRANGE(""https://docs.google.com/spreadsheets/d/1rOGZhKHVnDGFqGTO7UNOJSkSJyQwVuEb2-yhWQit7lw/edit?gid=413111112#gid=413111112"", address(row($D5),column($D5),,,""JAVA-M""))"),36)</f>
        <v>36</v>
      </c>
      <c r="M7" s="8">
        <f t="shared" ca="1" si="6"/>
        <v>54.54545454545454</v>
      </c>
      <c r="N7" s="5">
        <f ca="1">IFERROR(__xludf.DUMMYFUNCTION("IMPORTRANGE(""https://docs.google.com/spreadsheets/d/1rOGZhKHVnDGFqGTO7UNOJSkSJyQwVuEb2-yhWQit7lw/edit?gid=48564407#gid=48564407"", address(row($D5),column($D5),,,""FOSS LAB-M""))"),15)</f>
        <v>15</v>
      </c>
      <c r="O7" s="8">
        <f t="shared" ca="1" si="7"/>
        <v>50</v>
      </c>
      <c r="P7" s="5">
        <f ca="1">IFERROR(__xludf.DUMMYFUNCTION("IMPORTRANGE(""https://docs.google.com/spreadsheets/d/1rOGZhKHVnDGFqGTO7UNOJSkSJyQwVuEb2-yhWQit7lw/edit?gid=1253773396#gid=1253773396"", address(row($D5),column($D5),,,""PP-M""))"),16)</f>
        <v>16</v>
      </c>
      <c r="Q7" s="8">
        <f t="shared" ca="1" si="8"/>
        <v>66.666666666666657</v>
      </c>
      <c r="R7" s="5">
        <f ca="1">IFERROR(__xludf.DUMMYFUNCTION("IMPORTRANGE(""https://docs.google.com/spreadsheets/d/1rOGZhKHVnDGFqGTO7UNOJSkSJyQwVuEb2-yhWQit7lw/edit?gid=1188725859#gid=1188725859"", address(row($D5),column($D5),,,""NPTEL-M""))"),28)</f>
        <v>28</v>
      </c>
      <c r="S7" s="5">
        <f t="shared" ca="1" si="9"/>
        <v>73.68421052631578</v>
      </c>
      <c r="T7" s="6">
        <f ca="1">IFERROR(__xludf.DUMMYFUNCTION("IMPORTRANGE(""https://docs.google.com/spreadsheets/d/1rOGZhKHVnDGFqGTO7UNOJSkSJyQwVuEb2-yhWQit7lw/edit?gid=832656518#gid=832656518"", address(row($D5),column($D5),,,""CRT-M""))"),77)</f>
        <v>77</v>
      </c>
      <c r="U7" s="8">
        <f t="shared" ca="1" si="10"/>
        <v>84.615384615384613</v>
      </c>
      <c r="V7" s="6">
        <f t="shared" ca="1" si="0"/>
        <v>273</v>
      </c>
      <c r="W7" s="4">
        <f t="shared" ca="1" si="11"/>
        <v>65</v>
      </c>
      <c r="X7" s="4">
        <v>0</v>
      </c>
      <c r="Y7" s="4">
        <v>0</v>
      </c>
      <c r="Z7" s="4">
        <f t="shared" ca="1" si="1"/>
        <v>273</v>
      </c>
      <c r="AA7" s="10">
        <f t="shared" ca="1" si="12"/>
        <v>65</v>
      </c>
    </row>
    <row r="8" spans="1:27" ht="17.25" customHeight="1" x14ac:dyDescent="0.3">
      <c r="A8" s="8">
        <v>3</v>
      </c>
      <c r="B8" s="11" t="s">
        <v>27</v>
      </c>
      <c r="C8" s="11" t="s">
        <v>28</v>
      </c>
      <c r="D8" s="5">
        <f ca="1">IFERROR(__xludf.DUMMYFUNCTION("IMPORTRANGE(""https://docs.google.com/spreadsheets/d/1rOGZhKHVnDGFqGTO7UNOJSkSJyQwVuEb2-yhWQit7lw/edit?gid=872795839#gid=872795839"", address(row($D6),column($D6),,,""DM&amp;GT-M""))"),34)</f>
        <v>34</v>
      </c>
      <c r="E8" s="8">
        <f t="shared" ca="1" si="2"/>
        <v>94.444444444444443</v>
      </c>
      <c r="F8" s="5">
        <f ca="1">IFERROR(__xludf.DUMMYFUNCTION("IMPORTRANGE(""https://docs.google.com/spreadsheets/d/1rOGZhKHVnDGFqGTO7UNOJSkSJyQwVuEb2-yhWQit7lw/edit?gid=659871210#gid=659871210"", address(row($D6),column($D6),,,""UHV-M""))"),31)</f>
        <v>31</v>
      </c>
      <c r="G8" s="8">
        <f t="shared" ca="1" si="3"/>
        <v>96.875</v>
      </c>
      <c r="H8" s="5">
        <f ca="1">IFERROR(__xludf.DUMMYFUNCTION("IMPORTRANGE(""https://docs.google.com/spreadsheets/d/1rOGZhKHVnDGFqGTO7UNOJSkSJyQwVuEb2-yhWQit7lw/edit?gid=1831678671#gid=1831678671"", address(row($D6),column($D6),,,""DL&amp;CO-M""))"),35)</f>
        <v>35</v>
      </c>
      <c r="I8" s="8">
        <f t="shared" ca="1" si="4"/>
        <v>87.5</v>
      </c>
      <c r="J8" s="5">
        <f ca="1">IFERROR(__xludf.DUMMYFUNCTION("IMPORTRANGE(""https://docs.google.com/spreadsheets/d/1rOGZhKHVnDGFqGTO7UNOJSkSJyQwVuEb2-yhWQit7lw/edit?gid=1967609937#gid=1967609937"", address(row($D6),column($D6),,,""ADSA-M""))"),59)</f>
        <v>59</v>
      </c>
      <c r="K8" s="8">
        <f t="shared" ca="1" si="5"/>
        <v>89.393939393939391</v>
      </c>
      <c r="L8" s="5">
        <f ca="1">IFERROR(__xludf.DUMMYFUNCTION("IMPORTRANGE(""https://docs.google.com/spreadsheets/d/1rOGZhKHVnDGFqGTO7UNOJSkSJyQwVuEb2-yhWQit7lw/edit?gid=413111112#gid=413111112"", address(row($D6),column($D6),,,""JAVA-M""))"),55)</f>
        <v>55</v>
      </c>
      <c r="M8" s="8">
        <f t="shared" ca="1" si="6"/>
        <v>83.333333333333343</v>
      </c>
      <c r="N8" s="5">
        <f ca="1">IFERROR(__xludf.DUMMYFUNCTION("IMPORTRANGE(""https://docs.google.com/spreadsheets/d/1rOGZhKHVnDGFqGTO7UNOJSkSJyQwVuEb2-yhWQit7lw/edit?gid=48564407#gid=48564407"", address(row($D6),column($D6),,,""FOSS LAB-M""))"),23)</f>
        <v>23</v>
      </c>
      <c r="O8" s="8">
        <f t="shared" ca="1" si="7"/>
        <v>76.666666666666671</v>
      </c>
      <c r="P8" s="5">
        <f ca="1">IFERROR(__xludf.DUMMYFUNCTION("IMPORTRANGE(""https://docs.google.com/spreadsheets/d/1rOGZhKHVnDGFqGTO7UNOJSkSJyQwVuEb2-yhWQit7lw/edit?gid=1253773396#gid=1253773396"", address(row($D6),column($D6),,,""PP-M""))"),22)</f>
        <v>22</v>
      </c>
      <c r="Q8" s="8">
        <f t="shared" ca="1" si="8"/>
        <v>91.666666666666657</v>
      </c>
      <c r="R8" s="5">
        <f ca="1">IFERROR(__xludf.DUMMYFUNCTION("IMPORTRANGE(""https://docs.google.com/spreadsheets/d/1rOGZhKHVnDGFqGTO7UNOJSkSJyQwVuEb2-yhWQit7lw/edit?gid=1188725859#gid=1188725859"", address(row($D6),column($D6),,,""NPTEL-M""))"),36)</f>
        <v>36</v>
      </c>
      <c r="S8" s="5">
        <f t="shared" ca="1" si="9"/>
        <v>94.73684210526315</v>
      </c>
      <c r="T8" s="6">
        <f ca="1">IFERROR(__xludf.DUMMYFUNCTION("IMPORTRANGE(""https://docs.google.com/spreadsheets/d/1rOGZhKHVnDGFqGTO7UNOJSkSJyQwVuEb2-yhWQit7lw/edit?gid=832656518#gid=832656518"", address(row($D6),column($D6),,,""CRT-M""))"),91)</f>
        <v>91</v>
      </c>
      <c r="U8" s="8">
        <f t="shared" ca="1" si="10"/>
        <v>100</v>
      </c>
      <c r="V8" s="6">
        <f t="shared" ca="1" si="0"/>
        <v>386</v>
      </c>
      <c r="W8" s="4">
        <f t="shared" ca="1" si="11"/>
        <v>91</v>
      </c>
      <c r="X8" s="4">
        <v>7</v>
      </c>
      <c r="Y8" s="4">
        <v>0</v>
      </c>
      <c r="Z8" s="4">
        <f t="shared" ca="1" si="1"/>
        <v>393</v>
      </c>
      <c r="AA8" s="10">
        <f t="shared" ca="1" si="12"/>
        <v>93</v>
      </c>
    </row>
    <row r="9" spans="1:27" ht="17.25" customHeight="1" x14ac:dyDescent="0.3">
      <c r="A9" s="8">
        <v>4</v>
      </c>
      <c r="B9" s="11" t="s">
        <v>29</v>
      </c>
      <c r="C9" s="11" t="s">
        <v>30</v>
      </c>
      <c r="D9" s="5">
        <f ca="1">IFERROR(__xludf.DUMMYFUNCTION("IMPORTRANGE(""https://docs.google.com/spreadsheets/d/1rOGZhKHVnDGFqGTO7UNOJSkSJyQwVuEb2-yhWQit7lw/edit?gid=872795839#gid=872795839"", address(row($D7),column($D7),,,""DM&amp;GT-M""))"),20)</f>
        <v>20</v>
      </c>
      <c r="E9" s="8">
        <f t="shared" ca="1" si="2"/>
        <v>55.555555555555557</v>
      </c>
      <c r="F9" s="5">
        <f ca="1">IFERROR(__xludf.DUMMYFUNCTION("IMPORTRANGE(""https://docs.google.com/spreadsheets/d/1rOGZhKHVnDGFqGTO7UNOJSkSJyQwVuEb2-yhWQit7lw/edit?gid=659871210#gid=659871210"", address(row($D7),column($D7),,,""UHV-M""))"),20)</f>
        <v>20</v>
      </c>
      <c r="G9" s="8">
        <f t="shared" ca="1" si="3"/>
        <v>62.5</v>
      </c>
      <c r="H9" s="5">
        <f ca="1">IFERROR(__xludf.DUMMYFUNCTION("IMPORTRANGE(""https://docs.google.com/spreadsheets/d/1rOGZhKHVnDGFqGTO7UNOJSkSJyQwVuEb2-yhWQit7lw/edit?gid=1831678671#gid=1831678671"", address(row($D7),column($D7),,,""DL&amp;CO-M""))"),20)</f>
        <v>20</v>
      </c>
      <c r="I9" s="8">
        <f t="shared" ca="1" si="4"/>
        <v>50</v>
      </c>
      <c r="J9" s="5">
        <f ca="1">IFERROR(__xludf.DUMMYFUNCTION("IMPORTRANGE(""https://docs.google.com/spreadsheets/d/1rOGZhKHVnDGFqGTO7UNOJSkSJyQwVuEb2-yhWQit7lw/edit?gid=1967609937#gid=1967609937"", address(row($D7),column($D7),,,""ADSA-M""))"),34)</f>
        <v>34</v>
      </c>
      <c r="K9" s="8">
        <f t="shared" ca="1" si="5"/>
        <v>51.515151515151516</v>
      </c>
      <c r="L9" s="5">
        <f ca="1">IFERROR(__xludf.DUMMYFUNCTION("IMPORTRANGE(""https://docs.google.com/spreadsheets/d/1rOGZhKHVnDGFqGTO7UNOJSkSJyQwVuEb2-yhWQit7lw/edit?gid=413111112#gid=413111112"", address(row($D7),column($D7),,,""JAVA-M""))"),32)</f>
        <v>32</v>
      </c>
      <c r="M9" s="8">
        <f t="shared" ca="1" si="6"/>
        <v>48.484848484848484</v>
      </c>
      <c r="N9" s="5">
        <f ca="1">IFERROR(__xludf.DUMMYFUNCTION("IMPORTRANGE(""https://docs.google.com/spreadsheets/d/1rOGZhKHVnDGFqGTO7UNOJSkSJyQwVuEb2-yhWQit7lw/edit?gid=48564407#gid=48564407"", address(row($D7),column($D7),,,""FOSS LAB-M""))"),12)</f>
        <v>12</v>
      </c>
      <c r="O9" s="8">
        <f t="shared" ca="1" si="7"/>
        <v>40</v>
      </c>
      <c r="P9" s="5">
        <f ca="1">IFERROR(__xludf.DUMMYFUNCTION("IMPORTRANGE(""https://docs.google.com/spreadsheets/d/1rOGZhKHVnDGFqGTO7UNOJSkSJyQwVuEb2-yhWQit7lw/edit?gid=1253773396#gid=1253773396"", address(row($D7),column($D7),,,""PP-M""))"),16)</f>
        <v>16</v>
      </c>
      <c r="Q9" s="8">
        <f t="shared" ca="1" si="8"/>
        <v>66.666666666666657</v>
      </c>
      <c r="R9" s="5">
        <f ca="1">IFERROR(__xludf.DUMMYFUNCTION("IMPORTRANGE(""https://docs.google.com/spreadsheets/d/1rOGZhKHVnDGFqGTO7UNOJSkSJyQwVuEb2-yhWQit7lw/edit?gid=1188725859#gid=1188725859"", address(row($D7),column($D7),,,""NPTEL-M""))"),20)</f>
        <v>20</v>
      </c>
      <c r="S9" s="5">
        <f t="shared" ca="1" si="9"/>
        <v>52.631578947368418</v>
      </c>
      <c r="T9" s="6">
        <f ca="1">IFERROR(__xludf.DUMMYFUNCTION("IMPORTRANGE(""https://docs.google.com/spreadsheets/d/1rOGZhKHVnDGFqGTO7UNOJSkSJyQwVuEb2-yhWQit7lw/edit?gid=832656518#gid=832656518"", address(row($D7),column($D7),,,""CRT-M""))"),60)</f>
        <v>60</v>
      </c>
      <c r="U9" s="8">
        <f t="shared" ca="1" si="10"/>
        <v>65.934065934065927</v>
      </c>
      <c r="V9" s="6">
        <f t="shared" ca="1" si="0"/>
        <v>234</v>
      </c>
      <c r="W9" s="4">
        <f t="shared" ca="1" si="11"/>
        <v>55</v>
      </c>
      <c r="X9" s="4">
        <v>0</v>
      </c>
      <c r="Y9" s="4">
        <v>0</v>
      </c>
      <c r="Z9" s="4">
        <f t="shared" ca="1" si="1"/>
        <v>234</v>
      </c>
      <c r="AA9" s="10">
        <f t="shared" ca="1" si="12"/>
        <v>55</v>
      </c>
    </row>
    <row r="10" spans="1:27" ht="17.25" customHeight="1" x14ac:dyDescent="0.3">
      <c r="A10" s="8">
        <v>5</v>
      </c>
      <c r="B10" s="11" t="s">
        <v>31</v>
      </c>
      <c r="C10" s="11" t="s">
        <v>32</v>
      </c>
      <c r="D10" s="5">
        <f ca="1">IFERROR(__xludf.DUMMYFUNCTION("IMPORTRANGE(""https://docs.google.com/spreadsheets/d/1rOGZhKHVnDGFqGTO7UNOJSkSJyQwVuEb2-yhWQit7lw/edit?gid=872795839#gid=872795839"", address(row($D8),column($D8),,,""DM&amp;GT-M""))"),30)</f>
        <v>30</v>
      </c>
      <c r="E10" s="8">
        <f t="shared" ca="1" si="2"/>
        <v>83.333333333333343</v>
      </c>
      <c r="F10" s="5">
        <f ca="1">IFERROR(__xludf.DUMMYFUNCTION("IMPORTRANGE(""https://docs.google.com/spreadsheets/d/1rOGZhKHVnDGFqGTO7UNOJSkSJyQwVuEb2-yhWQit7lw/edit?gid=659871210#gid=659871210"", address(row($D8),column($D8),,,""UHV-M""))"),28)</f>
        <v>28</v>
      </c>
      <c r="G10" s="8">
        <f t="shared" ca="1" si="3"/>
        <v>87.5</v>
      </c>
      <c r="H10" s="5">
        <f ca="1">IFERROR(__xludf.DUMMYFUNCTION("IMPORTRANGE(""https://docs.google.com/spreadsheets/d/1rOGZhKHVnDGFqGTO7UNOJSkSJyQwVuEb2-yhWQit7lw/edit?gid=1831678671#gid=1831678671"", address(row($D8),column($D8),,,""DL&amp;CO-M""))"),33)</f>
        <v>33</v>
      </c>
      <c r="I10" s="8">
        <f t="shared" ca="1" si="4"/>
        <v>82.5</v>
      </c>
      <c r="J10" s="5">
        <f ca="1">IFERROR(__xludf.DUMMYFUNCTION("IMPORTRANGE(""https://docs.google.com/spreadsheets/d/1rOGZhKHVnDGFqGTO7UNOJSkSJyQwVuEb2-yhWQit7lw/edit?gid=1967609937#gid=1967609937"", address(row($D8),column($D8),,,""ADSA-M""))"),50)</f>
        <v>50</v>
      </c>
      <c r="K10" s="8">
        <f t="shared" ca="1" si="5"/>
        <v>75.757575757575751</v>
      </c>
      <c r="L10" s="5">
        <f ca="1">IFERROR(__xludf.DUMMYFUNCTION("IMPORTRANGE(""https://docs.google.com/spreadsheets/d/1rOGZhKHVnDGFqGTO7UNOJSkSJyQwVuEb2-yhWQit7lw/edit?gid=413111112#gid=413111112"", address(row($D8),column($D8),,,""JAVA-M""))"),53)</f>
        <v>53</v>
      </c>
      <c r="M10" s="8">
        <f t="shared" ca="1" si="6"/>
        <v>80.303030303030297</v>
      </c>
      <c r="N10" s="5">
        <f ca="1">IFERROR(__xludf.DUMMYFUNCTION("IMPORTRANGE(""https://docs.google.com/spreadsheets/d/1rOGZhKHVnDGFqGTO7UNOJSkSJyQwVuEb2-yhWQit7lw/edit?gid=48564407#gid=48564407"", address(row($D8),column($D8),,,""FOSS LAB-M""))"),15)</f>
        <v>15</v>
      </c>
      <c r="O10" s="8">
        <f t="shared" ca="1" si="7"/>
        <v>50</v>
      </c>
      <c r="P10" s="5">
        <f ca="1">IFERROR(__xludf.DUMMYFUNCTION("IMPORTRANGE(""https://docs.google.com/spreadsheets/d/1rOGZhKHVnDGFqGTO7UNOJSkSJyQwVuEb2-yhWQit7lw/edit?gid=1253773396#gid=1253773396"", address(row($D8),column($D8),,,""PP-M""))"),22)</f>
        <v>22</v>
      </c>
      <c r="Q10" s="8">
        <f t="shared" ca="1" si="8"/>
        <v>91.666666666666657</v>
      </c>
      <c r="R10" s="5">
        <f ca="1">IFERROR(__xludf.DUMMYFUNCTION("IMPORTRANGE(""https://docs.google.com/spreadsheets/d/1rOGZhKHVnDGFqGTO7UNOJSkSJyQwVuEb2-yhWQit7lw/edit?gid=1188725859#gid=1188725859"", address(row($D8),column($D8),,,""NPTEL-M""))"),32)</f>
        <v>32</v>
      </c>
      <c r="S10" s="5">
        <f t="shared" ca="1" si="9"/>
        <v>84.210526315789465</v>
      </c>
      <c r="T10" s="6">
        <f ca="1">IFERROR(__xludf.DUMMYFUNCTION("IMPORTRANGE(""https://docs.google.com/spreadsheets/d/1rOGZhKHVnDGFqGTO7UNOJSkSJyQwVuEb2-yhWQit7lw/edit?gid=832656518#gid=832656518"", address(row($D8),column($D8),,,""CRT-M""))"),91)</f>
        <v>91</v>
      </c>
      <c r="U10" s="8">
        <f t="shared" ca="1" si="10"/>
        <v>100</v>
      </c>
      <c r="V10" s="6">
        <f t="shared" ca="1" si="0"/>
        <v>354</v>
      </c>
      <c r="W10" s="4">
        <f t="shared" ca="1" si="11"/>
        <v>84</v>
      </c>
      <c r="X10" s="4">
        <v>4</v>
      </c>
      <c r="Y10" s="4">
        <v>0</v>
      </c>
      <c r="Z10" s="4">
        <f t="shared" ca="1" si="1"/>
        <v>358</v>
      </c>
      <c r="AA10" s="10">
        <f t="shared" ca="1" si="12"/>
        <v>85</v>
      </c>
    </row>
    <row r="11" spans="1:27" ht="17.25" customHeight="1" x14ac:dyDescent="0.3">
      <c r="A11" s="8">
        <v>6</v>
      </c>
      <c r="B11" s="11" t="s">
        <v>33</v>
      </c>
      <c r="C11" s="11" t="s">
        <v>34</v>
      </c>
      <c r="D11" s="5">
        <f ca="1">IFERROR(__xludf.DUMMYFUNCTION("IMPORTRANGE(""https://docs.google.com/spreadsheets/d/1rOGZhKHVnDGFqGTO7UNOJSkSJyQwVuEb2-yhWQit7lw/edit?gid=872795839#gid=872795839"", address(row($D9),column($D9),,,""DM&amp;GT-M""))"),24)</f>
        <v>24</v>
      </c>
      <c r="E11" s="8">
        <f t="shared" ca="1" si="2"/>
        <v>66.666666666666657</v>
      </c>
      <c r="F11" s="5">
        <f ca="1">IFERROR(__xludf.DUMMYFUNCTION("IMPORTRANGE(""https://docs.google.com/spreadsheets/d/1rOGZhKHVnDGFqGTO7UNOJSkSJyQwVuEb2-yhWQit7lw/edit?gid=659871210#gid=659871210"", address(row($D9),column($D9),,,""UHV-M""))"),20)</f>
        <v>20</v>
      </c>
      <c r="G11" s="8">
        <f t="shared" ca="1" si="3"/>
        <v>62.5</v>
      </c>
      <c r="H11" s="5">
        <f ca="1">IFERROR(__xludf.DUMMYFUNCTION("IMPORTRANGE(""https://docs.google.com/spreadsheets/d/1rOGZhKHVnDGFqGTO7UNOJSkSJyQwVuEb2-yhWQit7lw/edit?gid=1831678671#gid=1831678671"", address(row($D9),column($D9),,,""DL&amp;CO-M""))"),23)</f>
        <v>23</v>
      </c>
      <c r="I11" s="8">
        <f t="shared" ca="1" si="4"/>
        <v>57.499999999999993</v>
      </c>
      <c r="J11" s="5">
        <f ca="1">IFERROR(__xludf.DUMMYFUNCTION("IMPORTRANGE(""https://docs.google.com/spreadsheets/d/1rOGZhKHVnDGFqGTO7UNOJSkSJyQwVuEb2-yhWQit7lw/edit?gid=1967609937#gid=1967609937"", address(row($D9),column($D9),,,""ADSA-M""))"),32)</f>
        <v>32</v>
      </c>
      <c r="K11" s="8">
        <f t="shared" ca="1" si="5"/>
        <v>48.484848484848484</v>
      </c>
      <c r="L11" s="5">
        <f ca="1">IFERROR(__xludf.DUMMYFUNCTION("IMPORTRANGE(""https://docs.google.com/spreadsheets/d/1rOGZhKHVnDGFqGTO7UNOJSkSJyQwVuEb2-yhWQit7lw/edit?gid=413111112#gid=413111112"", address(row($D9),column($D9),,,""JAVA-M""))"),32)</f>
        <v>32</v>
      </c>
      <c r="M11" s="8">
        <f t="shared" ca="1" si="6"/>
        <v>48.484848484848484</v>
      </c>
      <c r="N11" s="5">
        <f ca="1">IFERROR(__xludf.DUMMYFUNCTION("IMPORTRANGE(""https://docs.google.com/spreadsheets/d/1rOGZhKHVnDGFqGTO7UNOJSkSJyQwVuEb2-yhWQit7lw/edit?gid=48564407#gid=48564407"", address(row($D9),column($D9),,,""FOSS LAB-M""))"),15)</f>
        <v>15</v>
      </c>
      <c r="O11" s="8">
        <f t="shared" ca="1" si="7"/>
        <v>50</v>
      </c>
      <c r="P11" s="5">
        <f ca="1">IFERROR(__xludf.DUMMYFUNCTION("IMPORTRANGE(""https://docs.google.com/spreadsheets/d/1rOGZhKHVnDGFqGTO7UNOJSkSJyQwVuEb2-yhWQit7lw/edit?gid=1253773396#gid=1253773396"", address(row($D9),column($D9),,,""PP-M""))"),14)</f>
        <v>14</v>
      </c>
      <c r="Q11" s="8">
        <f t="shared" ca="1" si="8"/>
        <v>58.333333333333336</v>
      </c>
      <c r="R11" s="5">
        <f ca="1">IFERROR(__xludf.DUMMYFUNCTION("IMPORTRANGE(""https://docs.google.com/spreadsheets/d/1rOGZhKHVnDGFqGTO7UNOJSkSJyQwVuEb2-yhWQit7lw/edit?gid=1188725859#gid=1188725859"", address(row($D9),column($D9),,,""NPTEL-M""))"),20)</f>
        <v>20</v>
      </c>
      <c r="S11" s="5">
        <f t="shared" ca="1" si="9"/>
        <v>52.631578947368418</v>
      </c>
      <c r="T11" s="6">
        <f ca="1">IFERROR(__xludf.DUMMYFUNCTION("IMPORTRANGE(""https://docs.google.com/spreadsheets/d/1rOGZhKHVnDGFqGTO7UNOJSkSJyQwVuEb2-yhWQit7lw/edit?gid=832656518#gid=832656518"", address(row($D9),column($D9),,,""CRT-M""))"),67)</f>
        <v>67</v>
      </c>
      <c r="U11" s="8">
        <f t="shared" ca="1" si="10"/>
        <v>73.626373626373635</v>
      </c>
      <c r="V11" s="6">
        <f t="shared" ca="1" si="0"/>
        <v>247</v>
      </c>
      <c r="W11" s="4">
        <f t="shared" ca="1" si="11"/>
        <v>58</v>
      </c>
      <c r="X11" s="4">
        <v>0</v>
      </c>
      <c r="Y11" s="4">
        <v>0</v>
      </c>
      <c r="Z11" s="4">
        <f t="shared" ca="1" si="1"/>
        <v>247</v>
      </c>
      <c r="AA11" s="10">
        <f t="shared" ca="1" si="12"/>
        <v>58</v>
      </c>
    </row>
    <row r="12" spans="1:27" ht="17.25" customHeight="1" x14ac:dyDescent="0.3">
      <c r="A12" s="8">
        <v>7</v>
      </c>
      <c r="B12" s="11" t="s">
        <v>35</v>
      </c>
      <c r="C12" s="11" t="s">
        <v>36</v>
      </c>
      <c r="D12" s="5">
        <f ca="1">IFERROR(__xludf.DUMMYFUNCTION("IMPORTRANGE(""https://docs.google.com/spreadsheets/d/1rOGZhKHVnDGFqGTO7UNOJSkSJyQwVuEb2-yhWQit7lw/edit?gid=872795839#gid=872795839"", address(row($D10),column($D10),,,""DM&amp;GT-M""))"),22)</f>
        <v>22</v>
      </c>
      <c r="E12" s="8">
        <f t="shared" ca="1" si="2"/>
        <v>61.111111111111114</v>
      </c>
      <c r="F12" s="5">
        <f ca="1">IFERROR(__xludf.DUMMYFUNCTION("IMPORTRANGE(""https://docs.google.com/spreadsheets/d/1rOGZhKHVnDGFqGTO7UNOJSkSJyQwVuEb2-yhWQit7lw/edit?gid=659871210#gid=659871210"", address(row($D10),column($D10),,,""UHV-M""))"),20)</f>
        <v>20</v>
      </c>
      <c r="G12" s="8">
        <f t="shared" ca="1" si="3"/>
        <v>62.5</v>
      </c>
      <c r="H12" s="5">
        <f ca="1">IFERROR(__xludf.DUMMYFUNCTION("IMPORTRANGE(""https://docs.google.com/spreadsheets/d/1rOGZhKHVnDGFqGTO7UNOJSkSJyQwVuEb2-yhWQit7lw/edit?gid=1831678671#gid=1831678671"", address(row($D10),column($D10),,,""DL&amp;CO-M""))"),23)</f>
        <v>23</v>
      </c>
      <c r="I12" s="8">
        <f t="shared" ca="1" si="4"/>
        <v>57.499999999999993</v>
      </c>
      <c r="J12" s="5">
        <f ca="1">IFERROR(__xludf.DUMMYFUNCTION("IMPORTRANGE(""https://docs.google.com/spreadsheets/d/1rOGZhKHVnDGFqGTO7UNOJSkSJyQwVuEb2-yhWQit7lw/edit?gid=1967609937#gid=1967609937"", address(row($D10),column($D10),,,""ADSA-M""))"),29)</f>
        <v>29</v>
      </c>
      <c r="K12" s="8">
        <f t="shared" ca="1" si="5"/>
        <v>43.939393939393938</v>
      </c>
      <c r="L12" s="5">
        <f ca="1">IFERROR(__xludf.DUMMYFUNCTION("IMPORTRANGE(""https://docs.google.com/spreadsheets/d/1rOGZhKHVnDGFqGTO7UNOJSkSJyQwVuEb2-yhWQit7lw/edit?gid=413111112#gid=413111112"", address(row($D10),column($D10),,,""JAVA-M""))"),39)</f>
        <v>39</v>
      </c>
      <c r="M12" s="8">
        <f t="shared" ca="1" si="6"/>
        <v>59.090909090909093</v>
      </c>
      <c r="N12" s="5">
        <f ca="1">IFERROR(__xludf.DUMMYFUNCTION("IMPORTRANGE(""https://docs.google.com/spreadsheets/d/1rOGZhKHVnDGFqGTO7UNOJSkSJyQwVuEb2-yhWQit7lw/edit?gid=48564407#gid=48564407"", address(row($D10),column($D10),,,""FOSS LAB-M""))"),15)</f>
        <v>15</v>
      </c>
      <c r="O12" s="8">
        <f t="shared" ca="1" si="7"/>
        <v>50</v>
      </c>
      <c r="P12" s="5">
        <f ca="1">IFERROR(__xludf.DUMMYFUNCTION("IMPORTRANGE(""https://docs.google.com/spreadsheets/d/1rOGZhKHVnDGFqGTO7UNOJSkSJyQwVuEb2-yhWQit7lw/edit?gid=1253773396#gid=1253773396"", address(row($D10),column($D10),,,""PP-M""))"),14)</f>
        <v>14</v>
      </c>
      <c r="Q12" s="8">
        <f t="shared" ca="1" si="8"/>
        <v>58.333333333333336</v>
      </c>
      <c r="R12" s="5">
        <f ca="1">IFERROR(__xludf.DUMMYFUNCTION("IMPORTRANGE(""https://docs.google.com/spreadsheets/d/1rOGZhKHVnDGFqGTO7UNOJSkSJyQwVuEb2-yhWQit7lw/edit?gid=1188725859#gid=1188725859"", address(row($D10),column($D10),,,""NPTEL-M""))"),24)</f>
        <v>24</v>
      </c>
      <c r="S12" s="5">
        <f t="shared" ca="1" si="9"/>
        <v>63.157894736842103</v>
      </c>
      <c r="T12" s="6">
        <f ca="1">IFERROR(__xludf.DUMMYFUNCTION("IMPORTRANGE(""https://docs.google.com/spreadsheets/d/1rOGZhKHVnDGFqGTO7UNOJSkSJyQwVuEb2-yhWQit7lw/edit?gid=832656518#gid=832656518"", address(row($D10),column($D10),,,""CRT-M""))"),70)</f>
        <v>70</v>
      </c>
      <c r="U12" s="8">
        <f t="shared" ca="1" si="10"/>
        <v>76.923076923076934</v>
      </c>
      <c r="V12" s="6">
        <f t="shared" ca="1" si="0"/>
        <v>256</v>
      </c>
      <c r="W12" s="4">
        <f t="shared" ca="1" si="11"/>
        <v>61</v>
      </c>
      <c r="X12" s="4">
        <v>0</v>
      </c>
      <c r="Y12" s="4">
        <v>0</v>
      </c>
      <c r="Z12" s="4">
        <f t="shared" ca="1" si="1"/>
        <v>256</v>
      </c>
      <c r="AA12" s="10">
        <f t="shared" ca="1" si="12"/>
        <v>61</v>
      </c>
    </row>
    <row r="13" spans="1:27" ht="17.25" customHeight="1" x14ac:dyDescent="0.3">
      <c r="A13" s="8">
        <v>8</v>
      </c>
      <c r="B13" s="11" t="s">
        <v>37</v>
      </c>
      <c r="C13" s="11" t="s">
        <v>38</v>
      </c>
      <c r="D13" s="5">
        <f ca="1">IFERROR(__xludf.DUMMYFUNCTION("IMPORTRANGE(""https://docs.google.com/spreadsheets/d/1rOGZhKHVnDGFqGTO7UNOJSkSJyQwVuEb2-yhWQit7lw/edit?gid=872795839#gid=872795839"", address(row($D11),column($D11),,,""DM&amp;GT-M""))"),30)</f>
        <v>30</v>
      </c>
      <c r="E13" s="8">
        <f t="shared" ca="1" si="2"/>
        <v>83.333333333333343</v>
      </c>
      <c r="F13" s="5">
        <f ca="1">IFERROR(__xludf.DUMMYFUNCTION("IMPORTRANGE(""https://docs.google.com/spreadsheets/d/1rOGZhKHVnDGFqGTO7UNOJSkSJyQwVuEb2-yhWQit7lw/edit?gid=659871210#gid=659871210"", address(row($D11),column($D11),,,""UHV-M""))"),26)</f>
        <v>26</v>
      </c>
      <c r="G13" s="8">
        <f t="shared" ca="1" si="3"/>
        <v>81.25</v>
      </c>
      <c r="H13" s="5">
        <f ca="1">IFERROR(__xludf.DUMMYFUNCTION("IMPORTRANGE(""https://docs.google.com/spreadsheets/d/1rOGZhKHVnDGFqGTO7UNOJSkSJyQwVuEb2-yhWQit7lw/edit?gid=1831678671#gid=1831678671"", address(row($D11),column($D11),,,""DL&amp;CO-M""))"),30)</f>
        <v>30</v>
      </c>
      <c r="I13" s="8">
        <f t="shared" ca="1" si="4"/>
        <v>75</v>
      </c>
      <c r="J13" s="5">
        <f ca="1">IFERROR(__xludf.DUMMYFUNCTION("IMPORTRANGE(""https://docs.google.com/spreadsheets/d/1rOGZhKHVnDGFqGTO7UNOJSkSJyQwVuEb2-yhWQit7lw/edit?gid=1967609937#gid=1967609937"", address(row($D11),column($D11),,,""ADSA-M""))"),40)</f>
        <v>40</v>
      </c>
      <c r="K13" s="8">
        <f t="shared" ca="1" si="5"/>
        <v>60.606060606060609</v>
      </c>
      <c r="L13" s="5">
        <f ca="1">IFERROR(__xludf.DUMMYFUNCTION("IMPORTRANGE(""https://docs.google.com/spreadsheets/d/1rOGZhKHVnDGFqGTO7UNOJSkSJyQwVuEb2-yhWQit7lw/edit?gid=413111112#gid=413111112"", address(row($D11),column($D11),,,""JAVA-M""))"),47)</f>
        <v>47</v>
      </c>
      <c r="M13" s="8">
        <f t="shared" ca="1" si="6"/>
        <v>71.212121212121218</v>
      </c>
      <c r="N13" s="5">
        <f ca="1">IFERROR(__xludf.DUMMYFUNCTION("IMPORTRANGE(""https://docs.google.com/spreadsheets/d/1rOGZhKHVnDGFqGTO7UNOJSkSJyQwVuEb2-yhWQit7lw/edit?gid=48564407#gid=48564407"", address(row($D11),column($D11),,,""FOSS LAB-M""))"),18)</f>
        <v>18</v>
      </c>
      <c r="O13" s="8">
        <f t="shared" ca="1" si="7"/>
        <v>60</v>
      </c>
      <c r="P13" s="5">
        <f ca="1">IFERROR(__xludf.DUMMYFUNCTION("IMPORTRANGE(""https://docs.google.com/spreadsheets/d/1rOGZhKHVnDGFqGTO7UNOJSkSJyQwVuEb2-yhWQit7lw/edit?gid=1253773396#gid=1253773396"", address(row($D11),column($D11),,,""PP-M""))"),20)</f>
        <v>20</v>
      </c>
      <c r="Q13" s="8">
        <f t="shared" ca="1" si="8"/>
        <v>83.333333333333343</v>
      </c>
      <c r="R13" s="5">
        <f ca="1">IFERROR(__xludf.DUMMYFUNCTION("IMPORTRANGE(""https://docs.google.com/spreadsheets/d/1rOGZhKHVnDGFqGTO7UNOJSkSJyQwVuEb2-yhWQit7lw/edit?gid=1188725859#gid=1188725859"", address(row($D11),column($D11),,,""NPTEL-M""))"),30)</f>
        <v>30</v>
      </c>
      <c r="S13" s="5">
        <f t="shared" ca="1" si="9"/>
        <v>78.94736842105263</v>
      </c>
      <c r="T13" s="6">
        <f ca="1">IFERROR(__xludf.DUMMYFUNCTION("IMPORTRANGE(""https://docs.google.com/spreadsheets/d/1rOGZhKHVnDGFqGTO7UNOJSkSJyQwVuEb2-yhWQit7lw/edit?gid=832656518#gid=832656518"", address(row($D11),column($D11),,,""CRT-M""))"),91)</f>
        <v>91</v>
      </c>
      <c r="U13" s="8">
        <f t="shared" ca="1" si="10"/>
        <v>100</v>
      </c>
      <c r="V13" s="6">
        <f t="shared" ca="1" si="0"/>
        <v>332</v>
      </c>
      <c r="W13" s="4">
        <f t="shared" ca="1" si="11"/>
        <v>78</v>
      </c>
      <c r="X13" s="4">
        <v>7</v>
      </c>
      <c r="Y13" s="4">
        <v>0</v>
      </c>
      <c r="Z13" s="4">
        <f t="shared" ca="1" si="1"/>
        <v>339</v>
      </c>
      <c r="AA13" s="10">
        <f t="shared" ca="1" si="12"/>
        <v>80</v>
      </c>
    </row>
    <row r="14" spans="1:27" ht="17.25" customHeight="1" x14ac:dyDescent="0.3">
      <c r="A14" s="8">
        <v>9</v>
      </c>
      <c r="B14" s="11" t="s">
        <v>39</v>
      </c>
      <c r="C14" s="11" t="s">
        <v>40</v>
      </c>
      <c r="D14" s="5">
        <f ca="1">IFERROR(__xludf.DUMMYFUNCTION("IMPORTRANGE(""https://docs.google.com/spreadsheets/d/1rOGZhKHVnDGFqGTO7UNOJSkSJyQwVuEb2-yhWQit7lw/edit?gid=872795839#gid=872795839"", address(row($D12),column($D12),,,""DM&amp;GT-M""))"),29)</f>
        <v>29</v>
      </c>
      <c r="E14" s="8">
        <f t="shared" ca="1" si="2"/>
        <v>80.555555555555557</v>
      </c>
      <c r="F14" s="5">
        <f ca="1">IFERROR(__xludf.DUMMYFUNCTION("IMPORTRANGE(""https://docs.google.com/spreadsheets/d/1rOGZhKHVnDGFqGTO7UNOJSkSJyQwVuEb2-yhWQit7lw/edit?gid=659871210#gid=659871210"", address(row($D12),column($D12),,,""UHV-M""))"),24)</f>
        <v>24</v>
      </c>
      <c r="G14" s="8">
        <f t="shared" ca="1" si="3"/>
        <v>75</v>
      </c>
      <c r="H14" s="5">
        <f ca="1">IFERROR(__xludf.DUMMYFUNCTION("IMPORTRANGE(""https://docs.google.com/spreadsheets/d/1rOGZhKHVnDGFqGTO7UNOJSkSJyQwVuEb2-yhWQit7lw/edit?gid=1831678671#gid=1831678671"", address(row($D12),column($D12),,,""DL&amp;CO-M""))"),30)</f>
        <v>30</v>
      </c>
      <c r="I14" s="8">
        <f t="shared" ca="1" si="4"/>
        <v>75</v>
      </c>
      <c r="J14" s="5">
        <f ca="1">IFERROR(__xludf.DUMMYFUNCTION("IMPORTRANGE(""https://docs.google.com/spreadsheets/d/1rOGZhKHVnDGFqGTO7UNOJSkSJyQwVuEb2-yhWQit7lw/edit?gid=1967609937#gid=1967609937"", address(row($D12),column($D12),,,""ADSA-M""))"),44)</f>
        <v>44</v>
      </c>
      <c r="K14" s="8">
        <f t="shared" ca="1" si="5"/>
        <v>66.666666666666657</v>
      </c>
      <c r="L14" s="5">
        <f ca="1">IFERROR(__xludf.DUMMYFUNCTION("IMPORTRANGE(""https://docs.google.com/spreadsheets/d/1rOGZhKHVnDGFqGTO7UNOJSkSJyQwVuEb2-yhWQit7lw/edit?gid=413111112#gid=413111112"", address(row($D12),column($D12),,,""JAVA-M""))"),40)</f>
        <v>40</v>
      </c>
      <c r="M14" s="8">
        <f t="shared" ca="1" si="6"/>
        <v>60.606060606060609</v>
      </c>
      <c r="N14" s="5">
        <f ca="1">IFERROR(__xludf.DUMMYFUNCTION("IMPORTRANGE(""https://docs.google.com/spreadsheets/d/1rOGZhKHVnDGFqGTO7UNOJSkSJyQwVuEb2-yhWQit7lw/edit?gid=48564407#gid=48564407"", address(row($D12),column($D12),,,""FOSS LAB-M""))"),21)</f>
        <v>21</v>
      </c>
      <c r="O14" s="8">
        <f t="shared" ca="1" si="7"/>
        <v>70</v>
      </c>
      <c r="P14" s="5">
        <f ca="1">IFERROR(__xludf.DUMMYFUNCTION("IMPORTRANGE(""https://docs.google.com/spreadsheets/d/1rOGZhKHVnDGFqGTO7UNOJSkSJyQwVuEb2-yhWQit7lw/edit?gid=1253773396#gid=1253773396"", address(row($D12),column($D12),,,""PP-M""))"),18)</f>
        <v>18</v>
      </c>
      <c r="Q14" s="8">
        <f t="shared" ca="1" si="8"/>
        <v>75</v>
      </c>
      <c r="R14" s="5">
        <f ca="1">IFERROR(__xludf.DUMMYFUNCTION("IMPORTRANGE(""https://docs.google.com/spreadsheets/d/1rOGZhKHVnDGFqGTO7UNOJSkSJyQwVuEb2-yhWQit7lw/edit?gid=1188725859#gid=1188725859"", address(row($D12),column($D12),,,""NPTEL-M""))"),26)</f>
        <v>26</v>
      </c>
      <c r="S14" s="5">
        <f t="shared" ca="1" si="9"/>
        <v>68.421052631578945</v>
      </c>
      <c r="T14" s="6">
        <f ca="1">IFERROR(__xludf.DUMMYFUNCTION("IMPORTRANGE(""https://docs.google.com/spreadsheets/d/1rOGZhKHVnDGFqGTO7UNOJSkSJyQwVuEb2-yhWQit7lw/edit?gid=832656518#gid=832656518"", address(row($D12),column($D12),,,""CRT-M""))"),84)</f>
        <v>84</v>
      </c>
      <c r="U14" s="8">
        <f t="shared" ca="1" si="10"/>
        <v>92.307692307692307</v>
      </c>
      <c r="V14" s="6">
        <f t="shared" ca="1" si="0"/>
        <v>316</v>
      </c>
      <c r="W14" s="4">
        <f t="shared" ca="1" si="11"/>
        <v>75</v>
      </c>
      <c r="X14" s="4">
        <v>0</v>
      </c>
      <c r="Y14" s="4">
        <v>0</v>
      </c>
      <c r="Z14" s="4">
        <f t="shared" ca="1" si="1"/>
        <v>316</v>
      </c>
      <c r="AA14" s="10">
        <f t="shared" ca="1" si="12"/>
        <v>75</v>
      </c>
    </row>
    <row r="15" spans="1:27" ht="17.25" customHeight="1" x14ac:dyDescent="0.3">
      <c r="A15" s="8">
        <v>10</v>
      </c>
      <c r="B15" s="11" t="s">
        <v>41</v>
      </c>
      <c r="C15" s="11" t="s">
        <v>42</v>
      </c>
      <c r="D15" s="5">
        <f ca="1">IFERROR(__xludf.DUMMYFUNCTION("IMPORTRANGE(""https://docs.google.com/spreadsheets/d/1rOGZhKHVnDGFqGTO7UNOJSkSJyQwVuEb2-yhWQit7lw/edit?gid=872795839#gid=872795839"", address(row($D13),column($D13),,,""DM&amp;GT-M""))"),20)</f>
        <v>20</v>
      </c>
      <c r="E15" s="8">
        <f t="shared" ca="1" si="2"/>
        <v>55.555555555555557</v>
      </c>
      <c r="F15" s="5">
        <f ca="1">IFERROR(__xludf.DUMMYFUNCTION("IMPORTRANGE(""https://docs.google.com/spreadsheets/d/1rOGZhKHVnDGFqGTO7UNOJSkSJyQwVuEb2-yhWQit7lw/edit?gid=659871210#gid=659871210"", address(row($D13),column($D13),,,""UHV-M""))"),17)</f>
        <v>17</v>
      </c>
      <c r="G15" s="8">
        <f t="shared" ca="1" si="3"/>
        <v>53.125</v>
      </c>
      <c r="H15" s="5">
        <f ca="1">IFERROR(__xludf.DUMMYFUNCTION("IMPORTRANGE(""https://docs.google.com/spreadsheets/d/1rOGZhKHVnDGFqGTO7UNOJSkSJyQwVuEb2-yhWQit7lw/edit?gid=1831678671#gid=1831678671"", address(row($D13),column($D13),,,""DL&amp;CO-M""))"),20)</f>
        <v>20</v>
      </c>
      <c r="I15" s="8">
        <f t="shared" ca="1" si="4"/>
        <v>50</v>
      </c>
      <c r="J15" s="5">
        <f ca="1">IFERROR(__xludf.DUMMYFUNCTION("IMPORTRANGE(""https://docs.google.com/spreadsheets/d/1rOGZhKHVnDGFqGTO7UNOJSkSJyQwVuEb2-yhWQit7lw/edit?gid=1967609937#gid=1967609937"", address(row($D13),column($D13),,,""ADSA-M""))"),31)</f>
        <v>31</v>
      </c>
      <c r="K15" s="8">
        <f t="shared" ca="1" si="5"/>
        <v>46.969696969696969</v>
      </c>
      <c r="L15" s="5">
        <f ca="1">IFERROR(__xludf.DUMMYFUNCTION("IMPORTRANGE(""https://docs.google.com/spreadsheets/d/1rOGZhKHVnDGFqGTO7UNOJSkSJyQwVuEb2-yhWQit7lw/edit?gid=413111112#gid=413111112"", address(row($D13),column($D13),,,""JAVA-M""))"),33)</f>
        <v>33</v>
      </c>
      <c r="M15" s="8">
        <f t="shared" ca="1" si="6"/>
        <v>50</v>
      </c>
      <c r="N15" s="5">
        <f ca="1">IFERROR(__xludf.DUMMYFUNCTION("IMPORTRANGE(""https://docs.google.com/spreadsheets/d/1rOGZhKHVnDGFqGTO7UNOJSkSJyQwVuEb2-yhWQit7lw/edit?gid=48564407#gid=48564407"", address(row($D13),column($D13),,,""FOSS LAB-M""))"),15)</f>
        <v>15</v>
      </c>
      <c r="O15" s="8">
        <f t="shared" ca="1" si="7"/>
        <v>50</v>
      </c>
      <c r="P15" s="5">
        <f ca="1">IFERROR(__xludf.DUMMYFUNCTION("IMPORTRANGE(""https://docs.google.com/spreadsheets/d/1rOGZhKHVnDGFqGTO7UNOJSkSJyQwVuEb2-yhWQit7lw/edit?gid=1253773396#gid=1253773396"", address(row($D13),column($D13),,,""PP-M""))"),14)</f>
        <v>14</v>
      </c>
      <c r="Q15" s="8">
        <f t="shared" ca="1" si="8"/>
        <v>58.333333333333336</v>
      </c>
      <c r="R15" s="5">
        <f ca="1">IFERROR(__xludf.DUMMYFUNCTION("IMPORTRANGE(""https://docs.google.com/spreadsheets/d/1rOGZhKHVnDGFqGTO7UNOJSkSJyQwVuEb2-yhWQit7lw/edit?gid=1188725859#gid=1188725859"", address(row($D13),column($D13),,,""NPTEL-M""))"),22)</f>
        <v>22</v>
      </c>
      <c r="S15" s="5">
        <f t="shared" ca="1" si="9"/>
        <v>57.894736842105267</v>
      </c>
      <c r="T15" s="6">
        <f ca="1">IFERROR(__xludf.DUMMYFUNCTION("IMPORTRANGE(""https://docs.google.com/spreadsheets/d/1rOGZhKHVnDGFqGTO7UNOJSkSJyQwVuEb2-yhWQit7lw/edit?gid=832656518#gid=832656518"", address(row($D13),column($D13),,,""CRT-M""))"),42)</f>
        <v>42</v>
      </c>
      <c r="U15" s="8">
        <f t="shared" ca="1" si="10"/>
        <v>46.153846153846153</v>
      </c>
      <c r="V15" s="6">
        <f t="shared" ca="1" si="0"/>
        <v>214</v>
      </c>
      <c r="W15" s="4">
        <f t="shared" ca="1" si="11"/>
        <v>51</v>
      </c>
      <c r="X15" s="4">
        <v>0</v>
      </c>
      <c r="Y15" s="4">
        <v>0</v>
      </c>
      <c r="Z15" s="4">
        <f t="shared" ca="1" si="1"/>
        <v>214</v>
      </c>
      <c r="AA15" s="10">
        <f t="shared" ca="1" si="12"/>
        <v>51</v>
      </c>
    </row>
    <row r="16" spans="1:27" ht="17.25" customHeight="1" x14ac:dyDescent="0.3">
      <c r="A16" s="8">
        <v>11</v>
      </c>
      <c r="B16" s="11" t="s">
        <v>43</v>
      </c>
      <c r="C16" s="11" t="s">
        <v>44</v>
      </c>
      <c r="D16" s="5">
        <f ca="1">IFERROR(__xludf.DUMMYFUNCTION("IMPORTRANGE(""https://docs.google.com/spreadsheets/d/1rOGZhKHVnDGFqGTO7UNOJSkSJyQwVuEb2-yhWQit7lw/edit?gid=872795839#gid=872795839"", address(row($D14),column($D14),,,""DM&amp;GT-M""))"),24)</f>
        <v>24</v>
      </c>
      <c r="E16" s="8">
        <f t="shared" ca="1" si="2"/>
        <v>66.666666666666657</v>
      </c>
      <c r="F16" s="5">
        <f ca="1">IFERROR(__xludf.DUMMYFUNCTION("IMPORTRANGE(""https://docs.google.com/spreadsheets/d/1rOGZhKHVnDGFqGTO7UNOJSkSJyQwVuEb2-yhWQit7lw/edit?gid=659871210#gid=659871210"", address(row($D14),column($D14),,,""UHV-M""))"),23)</f>
        <v>23</v>
      </c>
      <c r="G16" s="8">
        <f t="shared" ca="1" si="3"/>
        <v>71.875</v>
      </c>
      <c r="H16" s="5">
        <f ca="1">IFERROR(__xludf.DUMMYFUNCTION("IMPORTRANGE(""https://docs.google.com/spreadsheets/d/1rOGZhKHVnDGFqGTO7UNOJSkSJyQwVuEb2-yhWQit7lw/edit?gid=1831678671#gid=1831678671"", address(row($D14),column($D14),,,""DL&amp;CO-M""))"),24)</f>
        <v>24</v>
      </c>
      <c r="I16" s="8">
        <f t="shared" ca="1" si="4"/>
        <v>60</v>
      </c>
      <c r="J16" s="5">
        <f ca="1">IFERROR(__xludf.DUMMYFUNCTION("IMPORTRANGE(""https://docs.google.com/spreadsheets/d/1rOGZhKHVnDGFqGTO7UNOJSkSJyQwVuEb2-yhWQit7lw/edit?gid=1967609937#gid=1967609937"", address(row($D14),column($D14),,,""ADSA-M""))"),38)</f>
        <v>38</v>
      </c>
      <c r="K16" s="8">
        <f t="shared" ca="1" si="5"/>
        <v>57.575757575757578</v>
      </c>
      <c r="L16" s="5">
        <f ca="1">IFERROR(__xludf.DUMMYFUNCTION("IMPORTRANGE(""https://docs.google.com/spreadsheets/d/1rOGZhKHVnDGFqGTO7UNOJSkSJyQwVuEb2-yhWQit7lw/edit?gid=413111112#gid=413111112"", address(row($D14),column($D14),,,""JAVA-M""))"),43)</f>
        <v>43</v>
      </c>
      <c r="M16" s="8">
        <f t="shared" ca="1" si="6"/>
        <v>65.151515151515156</v>
      </c>
      <c r="N16" s="5">
        <f ca="1">IFERROR(__xludf.DUMMYFUNCTION("IMPORTRANGE(""https://docs.google.com/spreadsheets/d/1rOGZhKHVnDGFqGTO7UNOJSkSJyQwVuEb2-yhWQit7lw/edit?gid=48564407#gid=48564407"", address(row($D14),column($D14),,,""FOSS LAB-M""))"),12)</f>
        <v>12</v>
      </c>
      <c r="O16" s="8">
        <f t="shared" ca="1" si="7"/>
        <v>40</v>
      </c>
      <c r="P16" s="5">
        <f ca="1">IFERROR(__xludf.DUMMYFUNCTION("IMPORTRANGE(""https://docs.google.com/spreadsheets/d/1rOGZhKHVnDGFqGTO7UNOJSkSJyQwVuEb2-yhWQit7lw/edit?gid=1253773396#gid=1253773396"", address(row($D14),column($D14),,,""PP-M""))"),20)</f>
        <v>20</v>
      </c>
      <c r="Q16" s="8">
        <f t="shared" ca="1" si="8"/>
        <v>83.333333333333343</v>
      </c>
      <c r="R16" s="5">
        <f ca="1">IFERROR(__xludf.DUMMYFUNCTION("IMPORTRANGE(""https://docs.google.com/spreadsheets/d/1rOGZhKHVnDGFqGTO7UNOJSkSJyQwVuEb2-yhWQit7lw/edit?gid=1188725859#gid=1188725859"", address(row($D14),column($D14),,,""NPTEL-M""))"),30)</f>
        <v>30</v>
      </c>
      <c r="S16" s="5">
        <f t="shared" ca="1" si="9"/>
        <v>78.94736842105263</v>
      </c>
      <c r="T16" s="6">
        <f ca="1">IFERROR(__xludf.DUMMYFUNCTION("IMPORTRANGE(""https://docs.google.com/spreadsheets/d/1rOGZhKHVnDGFqGTO7UNOJSkSJyQwVuEb2-yhWQit7lw/edit?gid=832656518#gid=832656518"", address(row($D14),column($D14),,,""CRT-M""))"),63)</f>
        <v>63</v>
      </c>
      <c r="U16" s="8">
        <f t="shared" ca="1" si="10"/>
        <v>69.230769230769226</v>
      </c>
      <c r="V16" s="6">
        <f t="shared" ca="1" si="0"/>
        <v>277</v>
      </c>
      <c r="W16" s="4">
        <f t="shared" ca="1" si="11"/>
        <v>65</v>
      </c>
      <c r="X16" s="4">
        <v>7</v>
      </c>
      <c r="Y16" s="4">
        <v>0</v>
      </c>
      <c r="Z16" s="4">
        <f t="shared" ca="1" si="1"/>
        <v>284</v>
      </c>
      <c r="AA16" s="10">
        <f t="shared" ca="1" si="12"/>
        <v>67</v>
      </c>
    </row>
    <row r="17" spans="1:27" ht="17.25" customHeight="1" x14ac:dyDescent="0.3">
      <c r="A17" s="8">
        <v>12</v>
      </c>
      <c r="B17" s="11" t="s">
        <v>45</v>
      </c>
      <c r="C17" s="11" t="s">
        <v>46</v>
      </c>
      <c r="D17" s="5">
        <f ca="1">IFERROR(__xludf.DUMMYFUNCTION("IMPORTRANGE(""https://docs.google.com/spreadsheets/d/1rOGZhKHVnDGFqGTO7UNOJSkSJyQwVuEb2-yhWQit7lw/edit?gid=872795839#gid=872795839"", address(row($D15),column($D15),,,""DM&amp;GT-M""))"),29)</f>
        <v>29</v>
      </c>
      <c r="E17" s="8">
        <f t="shared" ca="1" si="2"/>
        <v>80.555555555555557</v>
      </c>
      <c r="F17" s="5">
        <f ca="1">IFERROR(__xludf.DUMMYFUNCTION("IMPORTRANGE(""https://docs.google.com/spreadsheets/d/1rOGZhKHVnDGFqGTO7UNOJSkSJyQwVuEb2-yhWQit7lw/edit?gid=659871210#gid=659871210"", address(row($D15),column($D15),,,""UHV-M""))"),26)</f>
        <v>26</v>
      </c>
      <c r="G17" s="8">
        <f t="shared" ca="1" si="3"/>
        <v>81.25</v>
      </c>
      <c r="H17" s="5">
        <f ca="1">IFERROR(__xludf.DUMMYFUNCTION("IMPORTRANGE(""https://docs.google.com/spreadsheets/d/1rOGZhKHVnDGFqGTO7UNOJSkSJyQwVuEb2-yhWQit7lw/edit?gid=1831678671#gid=1831678671"", address(row($D15),column($D15),,,""DL&amp;CO-M""))"),31)</f>
        <v>31</v>
      </c>
      <c r="I17" s="8">
        <f t="shared" ca="1" si="4"/>
        <v>77.5</v>
      </c>
      <c r="J17" s="5">
        <f ca="1">IFERROR(__xludf.DUMMYFUNCTION("IMPORTRANGE(""https://docs.google.com/spreadsheets/d/1rOGZhKHVnDGFqGTO7UNOJSkSJyQwVuEb2-yhWQit7lw/edit?gid=1967609937#gid=1967609937"", address(row($D15),column($D15),,,""ADSA-M""))"),54)</f>
        <v>54</v>
      </c>
      <c r="K17" s="8">
        <f t="shared" ca="1" si="5"/>
        <v>81.818181818181827</v>
      </c>
      <c r="L17" s="5">
        <f ca="1">IFERROR(__xludf.DUMMYFUNCTION("IMPORTRANGE(""https://docs.google.com/spreadsheets/d/1rOGZhKHVnDGFqGTO7UNOJSkSJyQwVuEb2-yhWQit7lw/edit?gid=413111112#gid=413111112"", address(row($D15),column($D15),,,""JAVA-M""))"),51)</f>
        <v>51</v>
      </c>
      <c r="M17" s="8">
        <f t="shared" ca="1" si="6"/>
        <v>77.272727272727266</v>
      </c>
      <c r="N17" s="5">
        <f ca="1">IFERROR(__xludf.DUMMYFUNCTION("IMPORTRANGE(""https://docs.google.com/spreadsheets/d/1rOGZhKHVnDGFqGTO7UNOJSkSJyQwVuEb2-yhWQit7lw/edit?gid=48564407#gid=48564407"", address(row($D15),column($D15),,,""FOSS LAB-M""))"),19)</f>
        <v>19</v>
      </c>
      <c r="O17" s="8">
        <f t="shared" ca="1" si="7"/>
        <v>63.333333333333329</v>
      </c>
      <c r="P17" s="5">
        <f ca="1">IFERROR(__xludf.DUMMYFUNCTION("IMPORTRANGE(""https://docs.google.com/spreadsheets/d/1rOGZhKHVnDGFqGTO7UNOJSkSJyQwVuEb2-yhWQit7lw/edit?gid=1253773396#gid=1253773396"", address(row($D15),column($D15),,,""PP-M""))"),16)</f>
        <v>16</v>
      </c>
      <c r="Q17" s="8">
        <f t="shared" ca="1" si="8"/>
        <v>66.666666666666657</v>
      </c>
      <c r="R17" s="5">
        <f ca="1">IFERROR(__xludf.DUMMYFUNCTION("IMPORTRANGE(""https://docs.google.com/spreadsheets/d/1rOGZhKHVnDGFqGTO7UNOJSkSJyQwVuEb2-yhWQit7lw/edit?gid=1188725859#gid=1188725859"", address(row($D15),column($D15),,,""NPTEL-M""))"),30)</f>
        <v>30</v>
      </c>
      <c r="S17" s="5">
        <f t="shared" ca="1" si="9"/>
        <v>78.94736842105263</v>
      </c>
      <c r="T17" s="6">
        <f ca="1">IFERROR(__xludf.DUMMYFUNCTION("IMPORTRANGE(""https://docs.google.com/spreadsheets/d/1rOGZhKHVnDGFqGTO7UNOJSkSJyQwVuEb2-yhWQit7lw/edit?gid=832656518#gid=832656518"", address(row($D15),column($D15),,,""CRT-M""))"),91)</f>
        <v>91</v>
      </c>
      <c r="U17" s="8">
        <f t="shared" ca="1" si="10"/>
        <v>100</v>
      </c>
      <c r="V17" s="6">
        <f t="shared" ca="1" si="0"/>
        <v>347</v>
      </c>
      <c r="W17" s="4">
        <f t="shared" ca="1" si="11"/>
        <v>82</v>
      </c>
      <c r="X17" s="4">
        <v>7</v>
      </c>
      <c r="Y17" s="4">
        <v>0</v>
      </c>
      <c r="Z17" s="4">
        <f t="shared" ca="1" si="1"/>
        <v>354</v>
      </c>
      <c r="AA17" s="10">
        <f t="shared" ca="1" si="12"/>
        <v>84</v>
      </c>
    </row>
    <row r="18" spans="1:27" ht="17.25" customHeight="1" x14ac:dyDescent="0.3">
      <c r="A18" s="8">
        <v>13</v>
      </c>
      <c r="B18" s="11" t="s">
        <v>47</v>
      </c>
      <c r="C18" s="11" t="s">
        <v>48</v>
      </c>
      <c r="D18" s="5">
        <f ca="1">IFERROR(__xludf.DUMMYFUNCTION("IMPORTRANGE(""https://docs.google.com/spreadsheets/d/1rOGZhKHVnDGFqGTO7UNOJSkSJyQwVuEb2-yhWQit7lw/edit?gid=872795839#gid=872795839"", address(row($D16),column($D16),,,""DM&amp;GT-M""))"),26)</f>
        <v>26</v>
      </c>
      <c r="E18" s="8">
        <f t="shared" ca="1" si="2"/>
        <v>72.222222222222214</v>
      </c>
      <c r="F18" s="5">
        <f ca="1">IFERROR(__xludf.DUMMYFUNCTION("IMPORTRANGE(""https://docs.google.com/spreadsheets/d/1rOGZhKHVnDGFqGTO7UNOJSkSJyQwVuEb2-yhWQit7lw/edit?gid=659871210#gid=659871210"", address(row($D16),column($D16),,,""UHV-M""))"),24)</f>
        <v>24</v>
      </c>
      <c r="G18" s="8">
        <f t="shared" ca="1" si="3"/>
        <v>75</v>
      </c>
      <c r="H18" s="5">
        <f ca="1">IFERROR(__xludf.DUMMYFUNCTION("IMPORTRANGE(""https://docs.google.com/spreadsheets/d/1rOGZhKHVnDGFqGTO7UNOJSkSJyQwVuEb2-yhWQit7lw/edit?gid=1831678671#gid=1831678671"", address(row($D16),column($D16),,,""DL&amp;CO-M""))"),26)</f>
        <v>26</v>
      </c>
      <c r="I18" s="8">
        <f t="shared" ca="1" si="4"/>
        <v>65</v>
      </c>
      <c r="J18" s="5">
        <f ca="1">IFERROR(__xludf.DUMMYFUNCTION("IMPORTRANGE(""https://docs.google.com/spreadsheets/d/1rOGZhKHVnDGFqGTO7UNOJSkSJyQwVuEb2-yhWQit7lw/edit?gid=1967609937#gid=1967609937"", address(row($D16),column($D16),,,""ADSA-M""))"),45)</f>
        <v>45</v>
      </c>
      <c r="K18" s="8">
        <f t="shared" ca="1" si="5"/>
        <v>68.181818181818173</v>
      </c>
      <c r="L18" s="5">
        <f ca="1">IFERROR(__xludf.DUMMYFUNCTION("IMPORTRANGE(""https://docs.google.com/spreadsheets/d/1rOGZhKHVnDGFqGTO7UNOJSkSJyQwVuEb2-yhWQit7lw/edit?gid=413111112#gid=413111112"", address(row($D16),column($D16),,,""JAVA-M""))"),46)</f>
        <v>46</v>
      </c>
      <c r="M18" s="8">
        <f t="shared" ca="1" si="6"/>
        <v>69.696969696969703</v>
      </c>
      <c r="N18" s="5">
        <f ca="1">IFERROR(__xludf.DUMMYFUNCTION("IMPORTRANGE(""https://docs.google.com/spreadsheets/d/1rOGZhKHVnDGFqGTO7UNOJSkSJyQwVuEb2-yhWQit7lw/edit?gid=48564407#gid=48564407"", address(row($D16),column($D16),,,""FOSS LAB-M""))"),14)</f>
        <v>14</v>
      </c>
      <c r="O18" s="8">
        <f t="shared" ca="1" si="7"/>
        <v>46.666666666666664</v>
      </c>
      <c r="P18" s="5">
        <f ca="1">IFERROR(__xludf.DUMMYFUNCTION("IMPORTRANGE(""https://docs.google.com/spreadsheets/d/1rOGZhKHVnDGFqGTO7UNOJSkSJyQwVuEb2-yhWQit7lw/edit?gid=1253773396#gid=1253773396"", address(row($D16),column($D16),,,""PP-M""))"),20)</f>
        <v>20</v>
      </c>
      <c r="Q18" s="8">
        <f t="shared" ca="1" si="8"/>
        <v>83.333333333333343</v>
      </c>
      <c r="R18" s="5">
        <f ca="1">IFERROR(__xludf.DUMMYFUNCTION("IMPORTRANGE(""https://docs.google.com/spreadsheets/d/1rOGZhKHVnDGFqGTO7UNOJSkSJyQwVuEb2-yhWQit7lw/edit?gid=1188725859#gid=1188725859"", address(row($D16),column($D16),,,""NPTEL-M""))"),28)</f>
        <v>28</v>
      </c>
      <c r="S18" s="5">
        <f t="shared" ca="1" si="9"/>
        <v>73.68421052631578</v>
      </c>
      <c r="T18" s="6">
        <f ca="1">IFERROR(__xludf.DUMMYFUNCTION("IMPORTRANGE(""https://docs.google.com/spreadsheets/d/1rOGZhKHVnDGFqGTO7UNOJSkSJyQwVuEb2-yhWQit7lw/edit?gid=832656518#gid=832656518"", address(row($D16),column($D16),,,""CRT-M""))"),91)</f>
        <v>91</v>
      </c>
      <c r="U18" s="8">
        <f t="shared" ca="1" si="10"/>
        <v>100</v>
      </c>
      <c r="V18" s="6">
        <f t="shared" ca="1" si="0"/>
        <v>320</v>
      </c>
      <c r="W18" s="4">
        <f t="shared" ca="1" si="11"/>
        <v>76</v>
      </c>
      <c r="X18" s="4">
        <v>0</v>
      </c>
      <c r="Y18" s="4">
        <v>0</v>
      </c>
      <c r="Z18" s="4">
        <f t="shared" ca="1" si="1"/>
        <v>320</v>
      </c>
      <c r="AA18" s="10">
        <f t="shared" ca="1" si="12"/>
        <v>76</v>
      </c>
    </row>
    <row r="19" spans="1:27" ht="17.25" customHeight="1" x14ac:dyDescent="0.3">
      <c r="A19" s="8">
        <v>14</v>
      </c>
      <c r="B19" s="11" t="s">
        <v>49</v>
      </c>
      <c r="C19" s="11" t="s">
        <v>50</v>
      </c>
      <c r="D19" s="5">
        <f ca="1">IFERROR(__xludf.DUMMYFUNCTION("IMPORTRANGE(""https://docs.google.com/spreadsheets/d/1rOGZhKHVnDGFqGTO7UNOJSkSJyQwVuEb2-yhWQit7lw/edit?gid=872795839#gid=872795839"", address(row($D17),column($D17),,,""DM&amp;GT-M""))"),31)</f>
        <v>31</v>
      </c>
      <c r="E19" s="8">
        <f t="shared" ca="1" si="2"/>
        <v>86.111111111111114</v>
      </c>
      <c r="F19" s="5">
        <f ca="1">IFERROR(__xludf.DUMMYFUNCTION("IMPORTRANGE(""https://docs.google.com/spreadsheets/d/1rOGZhKHVnDGFqGTO7UNOJSkSJyQwVuEb2-yhWQit7lw/edit?gid=659871210#gid=659871210"", address(row($D17),column($D17),,,""UHV-M""))"),27)</f>
        <v>27</v>
      </c>
      <c r="G19" s="8">
        <f t="shared" ca="1" si="3"/>
        <v>84.375</v>
      </c>
      <c r="H19" s="5">
        <f ca="1">IFERROR(__xludf.DUMMYFUNCTION("IMPORTRANGE(""https://docs.google.com/spreadsheets/d/1rOGZhKHVnDGFqGTO7UNOJSkSJyQwVuEb2-yhWQit7lw/edit?gid=1831678671#gid=1831678671"", address(row($D17),column($D17),,,""DL&amp;CO-M""))"),32)</f>
        <v>32</v>
      </c>
      <c r="I19" s="8">
        <f t="shared" ca="1" si="4"/>
        <v>80</v>
      </c>
      <c r="J19" s="5">
        <f ca="1">IFERROR(__xludf.DUMMYFUNCTION("IMPORTRANGE(""https://docs.google.com/spreadsheets/d/1rOGZhKHVnDGFqGTO7UNOJSkSJyQwVuEb2-yhWQit7lw/edit?gid=1967609937#gid=1967609937"", address(row($D17),column($D17),,,""ADSA-M""))"),50)</f>
        <v>50</v>
      </c>
      <c r="K19" s="8">
        <f t="shared" ca="1" si="5"/>
        <v>75.757575757575751</v>
      </c>
      <c r="L19" s="5">
        <f ca="1">IFERROR(__xludf.DUMMYFUNCTION("IMPORTRANGE(""https://docs.google.com/spreadsheets/d/1rOGZhKHVnDGFqGTO7UNOJSkSJyQwVuEb2-yhWQit7lw/edit?gid=413111112#gid=413111112"", address(row($D17),column($D17),,,""JAVA-M""))"),46)</f>
        <v>46</v>
      </c>
      <c r="M19" s="8">
        <f t="shared" ca="1" si="6"/>
        <v>69.696969696969703</v>
      </c>
      <c r="N19" s="5">
        <f ca="1">IFERROR(__xludf.DUMMYFUNCTION("IMPORTRANGE(""https://docs.google.com/spreadsheets/d/1rOGZhKHVnDGFqGTO7UNOJSkSJyQwVuEb2-yhWQit7lw/edit?gid=48564407#gid=48564407"", address(row($D17),column($D17),,,""FOSS LAB-M""))"),20)</f>
        <v>20</v>
      </c>
      <c r="O19" s="8">
        <f t="shared" ca="1" si="7"/>
        <v>66.666666666666657</v>
      </c>
      <c r="P19" s="5">
        <f ca="1">IFERROR(__xludf.DUMMYFUNCTION("IMPORTRANGE(""https://docs.google.com/spreadsheets/d/1rOGZhKHVnDGFqGTO7UNOJSkSJyQwVuEb2-yhWQit7lw/edit?gid=1253773396#gid=1253773396"", address(row($D17),column($D17),,,""PP-M""))"),18)</f>
        <v>18</v>
      </c>
      <c r="Q19" s="8">
        <f t="shared" ca="1" si="8"/>
        <v>75</v>
      </c>
      <c r="R19" s="5">
        <f ca="1">IFERROR(__xludf.DUMMYFUNCTION("IMPORTRANGE(""https://docs.google.com/spreadsheets/d/1rOGZhKHVnDGFqGTO7UNOJSkSJyQwVuEb2-yhWQit7lw/edit?gid=1188725859#gid=1188725859"", address(row($D17),column($D17),,,""NPTEL-M""))"),30)</f>
        <v>30</v>
      </c>
      <c r="S19" s="5">
        <f t="shared" ca="1" si="9"/>
        <v>78.94736842105263</v>
      </c>
      <c r="T19" s="6">
        <f ca="1">IFERROR(__xludf.DUMMYFUNCTION("IMPORTRANGE(""https://docs.google.com/spreadsheets/d/1rOGZhKHVnDGFqGTO7UNOJSkSJyQwVuEb2-yhWQit7lw/edit?gid=832656518#gid=832656518"", address(row($D17),column($D17),,,""CRT-M""))"),84)</f>
        <v>84</v>
      </c>
      <c r="U19" s="8">
        <f t="shared" ca="1" si="10"/>
        <v>92.307692307692307</v>
      </c>
      <c r="V19" s="6">
        <f t="shared" ca="1" si="0"/>
        <v>338</v>
      </c>
      <c r="W19" s="4">
        <f t="shared" ca="1" si="11"/>
        <v>80</v>
      </c>
      <c r="X19" s="4">
        <v>7</v>
      </c>
      <c r="Y19" s="4">
        <v>0</v>
      </c>
      <c r="Z19" s="4">
        <f t="shared" ca="1" si="1"/>
        <v>345</v>
      </c>
      <c r="AA19" s="10">
        <f t="shared" ca="1" si="12"/>
        <v>82</v>
      </c>
    </row>
    <row r="20" spans="1:27" ht="17.25" customHeight="1" x14ac:dyDescent="0.3">
      <c r="A20" s="8">
        <v>15</v>
      </c>
      <c r="B20" s="11" t="s">
        <v>51</v>
      </c>
      <c r="C20" s="11" t="s">
        <v>52</v>
      </c>
      <c r="D20" s="5">
        <f ca="1">IFERROR(__xludf.DUMMYFUNCTION("IMPORTRANGE(""https://docs.google.com/spreadsheets/d/1rOGZhKHVnDGFqGTO7UNOJSkSJyQwVuEb2-yhWQit7lw/edit?gid=872795839#gid=872795839"", address(row($D18),column($D18),,,""DM&amp;GT-M""))"),24)</f>
        <v>24</v>
      </c>
      <c r="E20" s="8">
        <f t="shared" ca="1" si="2"/>
        <v>66.666666666666657</v>
      </c>
      <c r="F20" s="5">
        <f ca="1">IFERROR(__xludf.DUMMYFUNCTION("IMPORTRANGE(""https://docs.google.com/spreadsheets/d/1rOGZhKHVnDGFqGTO7UNOJSkSJyQwVuEb2-yhWQit7lw/edit?gid=659871210#gid=659871210"", address(row($D18),column($D18),,,""UHV-M""))"),23)</f>
        <v>23</v>
      </c>
      <c r="G20" s="8">
        <f t="shared" ca="1" si="3"/>
        <v>71.875</v>
      </c>
      <c r="H20" s="5">
        <f ca="1">IFERROR(__xludf.DUMMYFUNCTION("IMPORTRANGE(""https://docs.google.com/spreadsheets/d/1rOGZhKHVnDGFqGTO7UNOJSkSJyQwVuEb2-yhWQit7lw/edit?gid=1831678671#gid=1831678671"", address(row($D18),column($D18),,,""DL&amp;CO-M""))"),35)</f>
        <v>35</v>
      </c>
      <c r="I20" s="8">
        <f t="shared" ca="1" si="4"/>
        <v>87.5</v>
      </c>
      <c r="J20" s="5">
        <f ca="1">IFERROR(__xludf.DUMMYFUNCTION("IMPORTRANGE(""https://docs.google.com/spreadsheets/d/1rOGZhKHVnDGFqGTO7UNOJSkSJyQwVuEb2-yhWQit7lw/edit?gid=1967609937#gid=1967609937"", address(row($D18),column($D18),,,""ADSA-M""))"),36)</f>
        <v>36</v>
      </c>
      <c r="K20" s="8">
        <f t="shared" ca="1" si="5"/>
        <v>54.54545454545454</v>
      </c>
      <c r="L20" s="5">
        <f ca="1">IFERROR(__xludf.DUMMYFUNCTION("IMPORTRANGE(""https://docs.google.com/spreadsheets/d/1rOGZhKHVnDGFqGTO7UNOJSkSJyQwVuEb2-yhWQit7lw/edit?gid=413111112#gid=413111112"", address(row($D18),column($D18),,,""JAVA-M""))"),42)</f>
        <v>42</v>
      </c>
      <c r="M20" s="8">
        <f t="shared" ca="1" si="6"/>
        <v>63.636363636363633</v>
      </c>
      <c r="N20" s="5">
        <f ca="1">IFERROR(__xludf.DUMMYFUNCTION("IMPORTRANGE(""https://docs.google.com/spreadsheets/d/1rOGZhKHVnDGFqGTO7UNOJSkSJyQwVuEb2-yhWQit7lw/edit?gid=48564407#gid=48564407"", address(row($D18),column($D18),,,""FOSS LAB-M""))"),13)</f>
        <v>13</v>
      </c>
      <c r="O20" s="8">
        <f t="shared" ca="1" si="7"/>
        <v>43.333333333333336</v>
      </c>
      <c r="P20" s="5">
        <f ca="1">IFERROR(__xludf.DUMMYFUNCTION("IMPORTRANGE(""https://docs.google.com/spreadsheets/d/1rOGZhKHVnDGFqGTO7UNOJSkSJyQwVuEb2-yhWQit7lw/edit?gid=1253773396#gid=1253773396"", address(row($D18),column($D18),,,""PP-M""))"),16)</f>
        <v>16</v>
      </c>
      <c r="Q20" s="8">
        <f t="shared" ca="1" si="8"/>
        <v>66.666666666666657</v>
      </c>
      <c r="R20" s="5">
        <f ca="1">IFERROR(__xludf.DUMMYFUNCTION("IMPORTRANGE(""https://docs.google.com/spreadsheets/d/1rOGZhKHVnDGFqGTO7UNOJSkSJyQwVuEb2-yhWQit7lw/edit?gid=1188725859#gid=1188725859"", address(row($D18),column($D18),,,""NPTEL-M""))"),26)</f>
        <v>26</v>
      </c>
      <c r="S20" s="5">
        <f t="shared" ca="1" si="9"/>
        <v>68.421052631578945</v>
      </c>
      <c r="T20" s="6">
        <f ca="1">IFERROR(__xludf.DUMMYFUNCTION("IMPORTRANGE(""https://docs.google.com/spreadsheets/d/1rOGZhKHVnDGFqGTO7UNOJSkSJyQwVuEb2-yhWQit7lw/edit?gid=832656518#gid=832656518"", address(row($D18),column($D18),,,""CRT-M""))"),77)</f>
        <v>77</v>
      </c>
      <c r="U20" s="8">
        <f t="shared" ca="1" si="10"/>
        <v>84.615384615384613</v>
      </c>
      <c r="V20" s="6">
        <f t="shared" ca="1" si="0"/>
        <v>292</v>
      </c>
      <c r="W20" s="4">
        <f t="shared" ca="1" si="11"/>
        <v>69</v>
      </c>
      <c r="X20" s="4">
        <v>0</v>
      </c>
      <c r="Y20" s="4">
        <v>0</v>
      </c>
      <c r="Z20" s="4">
        <f t="shared" ca="1" si="1"/>
        <v>292</v>
      </c>
      <c r="AA20" s="10">
        <f t="shared" ca="1" si="12"/>
        <v>69</v>
      </c>
    </row>
    <row r="21" spans="1:27" ht="15.85" customHeight="1" x14ac:dyDescent="0.3">
      <c r="A21" s="8">
        <v>16</v>
      </c>
      <c r="B21" s="11" t="s">
        <v>53</v>
      </c>
      <c r="C21" s="11" t="s">
        <v>54</v>
      </c>
      <c r="D21" s="5">
        <f ca="1">IFERROR(__xludf.DUMMYFUNCTION("IMPORTRANGE(""https://docs.google.com/spreadsheets/d/1rOGZhKHVnDGFqGTO7UNOJSkSJyQwVuEb2-yhWQit7lw/edit?gid=872795839#gid=872795839"", address(row($D19),column($D19),,,""DM&amp;GT-M""))"),27)</f>
        <v>27</v>
      </c>
      <c r="E21" s="8">
        <f t="shared" ca="1" si="2"/>
        <v>75</v>
      </c>
      <c r="F21" s="5">
        <f ca="1">IFERROR(__xludf.DUMMYFUNCTION("IMPORTRANGE(""https://docs.google.com/spreadsheets/d/1rOGZhKHVnDGFqGTO7UNOJSkSJyQwVuEb2-yhWQit7lw/edit?gid=659871210#gid=659871210"", address(row($D19),column($D19),,,""UHV-M""))"),23)</f>
        <v>23</v>
      </c>
      <c r="G21" s="8">
        <f t="shared" ca="1" si="3"/>
        <v>71.875</v>
      </c>
      <c r="H21" s="5">
        <f ca="1">IFERROR(__xludf.DUMMYFUNCTION("IMPORTRANGE(""https://docs.google.com/spreadsheets/d/1rOGZhKHVnDGFqGTO7UNOJSkSJyQwVuEb2-yhWQit7lw/edit?gid=1831678671#gid=1831678671"", address(row($D19),column($D19),,,""DL&amp;CO-M""))"),26)</f>
        <v>26</v>
      </c>
      <c r="I21" s="8">
        <f t="shared" ca="1" si="4"/>
        <v>65</v>
      </c>
      <c r="J21" s="5">
        <f ca="1">IFERROR(__xludf.DUMMYFUNCTION("IMPORTRANGE(""https://docs.google.com/spreadsheets/d/1rOGZhKHVnDGFqGTO7UNOJSkSJyQwVuEb2-yhWQit7lw/edit?gid=1967609937#gid=1967609937"", address(row($D19),column($D19),,,""ADSA-M""))"),44)</f>
        <v>44</v>
      </c>
      <c r="K21" s="8">
        <f t="shared" ca="1" si="5"/>
        <v>66.666666666666657</v>
      </c>
      <c r="L21" s="5">
        <f ca="1">IFERROR(__xludf.DUMMYFUNCTION("IMPORTRANGE(""https://docs.google.com/spreadsheets/d/1rOGZhKHVnDGFqGTO7UNOJSkSJyQwVuEb2-yhWQit7lw/edit?gid=413111112#gid=413111112"", address(row($D19),column($D19),,,""JAVA-M""))"),36)</f>
        <v>36</v>
      </c>
      <c r="M21" s="8">
        <f t="shared" ca="1" si="6"/>
        <v>54.54545454545454</v>
      </c>
      <c r="N21" s="5">
        <f ca="1">IFERROR(__xludf.DUMMYFUNCTION("IMPORTRANGE(""https://docs.google.com/spreadsheets/d/1rOGZhKHVnDGFqGTO7UNOJSkSJyQwVuEb2-yhWQit7lw/edit?gid=48564407#gid=48564407"", address(row($D19),column($D19),,,""FOSS LAB-M""))"),18)</f>
        <v>18</v>
      </c>
      <c r="O21" s="8">
        <f t="shared" ca="1" si="7"/>
        <v>60</v>
      </c>
      <c r="P21" s="5">
        <f ca="1">IFERROR(__xludf.DUMMYFUNCTION("IMPORTRANGE(""https://docs.google.com/spreadsheets/d/1rOGZhKHVnDGFqGTO7UNOJSkSJyQwVuEb2-yhWQit7lw/edit?gid=1253773396#gid=1253773396"", address(row($D19),column($D19),,,""PP-M""))"),12)</f>
        <v>12</v>
      </c>
      <c r="Q21" s="8">
        <f t="shared" ca="1" si="8"/>
        <v>50</v>
      </c>
      <c r="R21" s="5">
        <f ca="1">IFERROR(__xludf.DUMMYFUNCTION("IMPORTRANGE(""https://docs.google.com/spreadsheets/d/1rOGZhKHVnDGFqGTO7UNOJSkSJyQwVuEb2-yhWQit7lw/edit?gid=1188725859#gid=1188725859"", address(row($D19),column($D19),,,""NPTEL-M""))"),28)</f>
        <v>28</v>
      </c>
      <c r="S21" s="5">
        <f t="shared" ca="1" si="9"/>
        <v>73.68421052631578</v>
      </c>
      <c r="T21" s="6">
        <f ca="1">IFERROR(__xludf.DUMMYFUNCTION("IMPORTRANGE(""https://docs.google.com/spreadsheets/d/1rOGZhKHVnDGFqGTO7UNOJSkSJyQwVuEb2-yhWQit7lw/edit?gid=832656518#gid=832656518"", address(row($D19),column($D19),,,""CRT-M""))"),70)</f>
        <v>70</v>
      </c>
      <c r="U21" s="8">
        <f t="shared" ca="1" si="10"/>
        <v>76.923076923076934</v>
      </c>
      <c r="V21" s="6">
        <f t="shared" ca="1" si="0"/>
        <v>284</v>
      </c>
      <c r="W21" s="4">
        <f t="shared" ca="1" si="11"/>
        <v>67</v>
      </c>
      <c r="X21" s="4">
        <v>0</v>
      </c>
      <c r="Y21" s="4">
        <v>0</v>
      </c>
      <c r="Z21" s="4">
        <f t="shared" ca="1" si="1"/>
        <v>284</v>
      </c>
      <c r="AA21" s="10">
        <f t="shared" ca="1" si="12"/>
        <v>67</v>
      </c>
    </row>
    <row r="22" spans="1:27" ht="15.85" customHeight="1" x14ac:dyDescent="0.3">
      <c r="A22" s="8">
        <v>17</v>
      </c>
      <c r="B22" s="11" t="s">
        <v>55</v>
      </c>
      <c r="C22" s="11" t="s">
        <v>56</v>
      </c>
      <c r="D22" s="5">
        <f ca="1">IFERROR(__xludf.DUMMYFUNCTION("IMPORTRANGE(""https://docs.google.com/spreadsheets/d/1rOGZhKHVnDGFqGTO7UNOJSkSJyQwVuEb2-yhWQit7lw/edit?gid=872795839#gid=872795839"", address(row($D20),column($D20),,,""DM&amp;GT-M""))"),25)</f>
        <v>25</v>
      </c>
      <c r="E22" s="8">
        <f t="shared" ca="1" si="2"/>
        <v>69.444444444444443</v>
      </c>
      <c r="F22" s="5">
        <f ca="1">IFERROR(__xludf.DUMMYFUNCTION("IMPORTRANGE(""https://docs.google.com/spreadsheets/d/1rOGZhKHVnDGFqGTO7UNOJSkSJyQwVuEb2-yhWQit7lw/edit?gid=659871210#gid=659871210"", address(row($D20),column($D20),,,""UHV-M""))"),21)</f>
        <v>21</v>
      </c>
      <c r="G22" s="8">
        <f t="shared" ca="1" si="3"/>
        <v>65.625</v>
      </c>
      <c r="H22" s="5">
        <f ca="1">IFERROR(__xludf.DUMMYFUNCTION("IMPORTRANGE(""https://docs.google.com/spreadsheets/d/1rOGZhKHVnDGFqGTO7UNOJSkSJyQwVuEb2-yhWQit7lw/edit?gid=1831678671#gid=1831678671"", address(row($D20),column($D20),,,""DL&amp;CO-M""))"),25)</f>
        <v>25</v>
      </c>
      <c r="I22" s="8">
        <f t="shared" ca="1" si="4"/>
        <v>62.5</v>
      </c>
      <c r="J22" s="5">
        <f ca="1">IFERROR(__xludf.DUMMYFUNCTION("IMPORTRANGE(""https://docs.google.com/spreadsheets/d/1rOGZhKHVnDGFqGTO7UNOJSkSJyQwVuEb2-yhWQit7lw/edit?gid=1967609937#gid=1967609937"", address(row($D20),column($D20),,,""ADSA-M""))"),40)</f>
        <v>40</v>
      </c>
      <c r="K22" s="8">
        <f t="shared" ca="1" si="5"/>
        <v>60.606060606060609</v>
      </c>
      <c r="L22" s="5">
        <f ca="1">IFERROR(__xludf.DUMMYFUNCTION("IMPORTRANGE(""https://docs.google.com/spreadsheets/d/1rOGZhKHVnDGFqGTO7UNOJSkSJyQwVuEb2-yhWQit7lw/edit?gid=413111112#gid=413111112"", address(row($D20),column($D20),,,""JAVA-M""))"),39)</f>
        <v>39</v>
      </c>
      <c r="M22" s="8">
        <f t="shared" ca="1" si="6"/>
        <v>59.090909090909093</v>
      </c>
      <c r="N22" s="5">
        <f ca="1">IFERROR(__xludf.DUMMYFUNCTION("IMPORTRANGE(""https://docs.google.com/spreadsheets/d/1rOGZhKHVnDGFqGTO7UNOJSkSJyQwVuEb2-yhWQit7lw/edit?gid=48564407#gid=48564407"", address(row($D20),column($D20),,,""FOSS LAB-M""))"),16)</f>
        <v>16</v>
      </c>
      <c r="O22" s="8">
        <f t="shared" ca="1" si="7"/>
        <v>53.333333333333336</v>
      </c>
      <c r="P22" s="5">
        <f ca="1">IFERROR(__xludf.DUMMYFUNCTION("IMPORTRANGE(""https://docs.google.com/spreadsheets/d/1rOGZhKHVnDGFqGTO7UNOJSkSJyQwVuEb2-yhWQit7lw/edit?gid=1253773396#gid=1253773396"", address(row($D20),column($D20),,,""PP-M""))"),16)</f>
        <v>16</v>
      </c>
      <c r="Q22" s="8">
        <f t="shared" ca="1" si="8"/>
        <v>66.666666666666657</v>
      </c>
      <c r="R22" s="5">
        <f ca="1">IFERROR(__xludf.DUMMYFUNCTION("IMPORTRANGE(""https://docs.google.com/spreadsheets/d/1rOGZhKHVnDGFqGTO7UNOJSkSJyQwVuEb2-yhWQit7lw/edit?gid=1188725859#gid=1188725859"", address(row($D20),column($D20),,,""NPTEL-M""))"),24)</f>
        <v>24</v>
      </c>
      <c r="S22" s="5">
        <f t="shared" ca="1" si="9"/>
        <v>63.157894736842103</v>
      </c>
      <c r="T22" s="6">
        <f ca="1">IFERROR(__xludf.DUMMYFUNCTION("IMPORTRANGE(""https://docs.google.com/spreadsheets/d/1rOGZhKHVnDGFqGTO7UNOJSkSJyQwVuEb2-yhWQit7lw/edit?gid=832656518#gid=832656518"", address(row($D20),column($D20),,,""CRT-M""))"),91)</f>
        <v>91</v>
      </c>
      <c r="U22" s="8">
        <f t="shared" ca="1" si="10"/>
        <v>100</v>
      </c>
      <c r="V22" s="6">
        <f t="shared" ca="1" si="0"/>
        <v>297</v>
      </c>
      <c r="W22" s="4">
        <f t="shared" ca="1" si="11"/>
        <v>70</v>
      </c>
      <c r="X22" s="4">
        <v>7</v>
      </c>
      <c r="Y22" s="4">
        <v>0</v>
      </c>
      <c r="Z22" s="4">
        <f t="shared" ca="1" si="1"/>
        <v>304</v>
      </c>
      <c r="AA22" s="10">
        <f t="shared" ca="1" si="12"/>
        <v>72</v>
      </c>
    </row>
    <row r="23" spans="1:27" ht="15.85" customHeight="1" x14ac:dyDescent="0.3">
      <c r="A23" s="8">
        <v>18</v>
      </c>
      <c r="B23" s="11" t="s">
        <v>57</v>
      </c>
      <c r="C23" s="11" t="s">
        <v>58</v>
      </c>
      <c r="D23" s="5">
        <f ca="1">IFERROR(__xludf.DUMMYFUNCTION("IMPORTRANGE(""https://docs.google.com/spreadsheets/d/1rOGZhKHVnDGFqGTO7UNOJSkSJyQwVuEb2-yhWQit7lw/edit?gid=872795839#gid=872795839"", address(row($D21),column($D21),,,""DM&amp;GT-M""))"),32)</f>
        <v>32</v>
      </c>
      <c r="E23" s="8">
        <f t="shared" ca="1" si="2"/>
        <v>88.888888888888886</v>
      </c>
      <c r="F23" s="5">
        <f ca="1">IFERROR(__xludf.DUMMYFUNCTION("IMPORTRANGE(""https://docs.google.com/spreadsheets/d/1rOGZhKHVnDGFqGTO7UNOJSkSJyQwVuEb2-yhWQit7lw/edit?gid=659871210#gid=659871210"", address(row($D21),column($D21),,,""UHV-M""))"),28)</f>
        <v>28</v>
      </c>
      <c r="G23" s="8">
        <f t="shared" ca="1" si="3"/>
        <v>87.5</v>
      </c>
      <c r="H23" s="5">
        <f ca="1">IFERROR(__xludf.DUMMYFUNCTION("IMPORTRANGE(""https://docs.google.com/spreadsheets/d/1rOGZhKHVnDGFqGTO7UNOJSkSJyQwVuEb2-yhWQit7lw/edit?gid=1831678671#gid=1831678671"", address(row($D21),column($D21),,,""DL&amp;CO-M""))"),33)</f>
        <v>33</v>
      </c>
      <c r="I23" s="8">
        <f t="shared" ca="1" si="4"/>
        <v>82.5</v>
      </c>
      <c r="J23" s="5">
        <f ca="1">IFERROR(__xludf.DUMMYFUNCTION("IMPORTRANGE(""https://docs.google.com/spreadsheets/d/1rOGZhKHVnDGFqGTO7UNOJSkSJyQwVuEb2-yhWQit7lw/edit?gid=1967609937#gid=1967609937"", address(row($D21),column($D21),,,""ADSA-M""))"),51)</f>
        <v>51</v>
      </c>
      <c r="K23" s="8">
        <f t="shared" ca="1" si="5"/>
        <v>77.272727272727266</v>
      </c>
      <c r="L23" s="5">
        <f ca="1">IFERROR(__xludf.DUMMYFUNCTION("IMPORTRANGE(""https://docs.google.com/spreadsheets/d/1rOGZhKHVnDGFqGTO7UNOJSkSJyQwVuEb2-yhWQit7lw/edit?gid=413111112#gid=413111112"", address(row($D21),column($D21),,,""JAVA-M""))"),47)</f>
        <v>47</v>
      </c>
      <c r="M23" s="8">
        <f t="shared" ca="1" si="6"/>
        <v>71.212121212121218</v>
      </c>
      <c r="N23" s="5">
        <f ca="1">IFERROR(__xludf.DUMMYFUNCTION("IMPORTRANGE(""https://docs.google.com/spreadsheets/d/1rOGZhKHVnDGFqGTO7UNOJSkSJyQwVuEb2-yhWQit7lw/edit?gid=48564407#gid=48564407"", address(row($D21),column($D21),,,""FOSS LAB-M""))"),23)</f>
        <v>23</v>
      </c>
      <c r="O23" s="8">
        <f t="shared" ca="1" si="7"/>
        <v>76.666666666666671</v>
      </c>
      <c r="P23" s="5">
        <f ca="1">IFERROR(__xludf.DUMMYFUNCTION("IMPORTRANGE(""https://docs.google.com/spreadsheets/d/1rOGZhKHVnDGFqGTO7UNOJSkSJyQwVuEb2-yhWQit7lw/edit?gid=1253773396#gid=1253773396"", address(row($D21),column($D21),,,""PP-M""))"),20)</f>
        <v>20</v>
      </c>
      <c r="Q23" s="8">
        <f t="shared" ca="1" si="8"/>
        <v>83.333333333333343</v>
      </c>
      <c r="R23" s="5">
        <f ca="1">IFERROR(__xludf.DUMMYFUNCTION("IMPORTRANGE(""https://docs.google.com/spreadsheets/d/1rOGZhKHVnDGFqGTO7UNOJSkSJyQwVuEb2-yhWQit7lw/edit?gid=1188725859#gid=1188725859"", address(row($D21),column($D21),,,""NPTEL-M""))"),32)</f>
        <v>32</v>
      </c>
      <c r="S23" s="5">
        <f t="shared" ca="1" si="9"/>
        <v>84.210526315789465</v>
      </c>
      <c r="T23" s="6">
        <f ca="1">IFERROR(__xludf.DUMMYFUNCTION("IMPORTRANGE(""https://docs.google.com/spreadsheets/d/1rOGZhKHVnDGFqGTO7UNOJSkSJyQwVuEb2-yhWQit7lw/edit?gid=832656518#gid=832656518"", address(row($D21),column($D21),,,""CRT-M""))"),77)</f>
        <v>77</v>
      </c>
      <c r="U23" s="8">
        <f t="shared" ca="1" si="10"/>
        <v>84.615384615384613</v>
      </c>
      <c r="V23" s="6">
        <f t="shared" ca="1" si="0"/>
        <v>343</v>
      </c>
      <c r="W23" s="4">
        <f t="shared" ca="1" si="11"/>
        <v>81</v>
      </c>
      <c r="X23" s="4">
        <v>0</v>
      </c>
      <c r="Y23" s="4">
        <v>0</v>
      </c>
      <c r="Z23" s="4">
        <f t="shared" ca="1" si="1"/>
        <v>343</v>
      </c>
      <c r="AA23" s="10">
        <f t="shared" ca="1" si="12"/>
        <v>81</v>
      </c>
    </row>
    <row r="24" spans="1:27" ht="15.85" customHeight="1" x14ac:dyDescent="0.3">
      <c r="A24" s="8">
        <v>19</v>
      </c>
      <c r="B24" s="11" t="s">
        <v>59</v>
      </c>
      <c r="C24" s="11" t="s">
        <v>60</v>
      </c>
      <c r="D24" s="5">
        <f ca="1">IFERROR(__xludf.DUMMYFUNCTION("IMPORTRANGE(""https://docs.google.com/spreadsheets/d/1rOGZhKHVnDGFqGTO7UNOJSkSJyQwVuEb2-yhWQit7lw/edit?gid=872795839#gid=872795839"", address(row($D22),column($D22),,,""DM&amp;GT-M""))"),30)</f>
        <v>30</v>
      </c>
      <c r="E24" s="8">
        <f t="shared" ca="1" si="2"/>
        <v>83.333333333333343</v>
      </c>
      <c r="F24" s="5">
        <f ca="1">IFERROR(__xludf.DUMMYFUNCTION("IMPORTRANGE(""https://docs.google.com/spreadsheets/d/1rOGZhKHVnDGFqGTO7UNOJSkSJyQwVuEb2-yhWQit7lw/edit?gid=659871210#gid=659871210"", address(row($D22),column($D22),,,""UHV-M""))"),28)</f>
        <v>28</v>
      </c>
      <c r="G24" s="8">
        <f t="shared" ca="1" si="3"/>
        <v>87.5</v>
      </c>
      <c r="H24" s="5">
        <f ca="1">IFERROR(__xludf.DUMMYFUNCTION("IMPORTRANGE(""https://docs.google.com/spreadsheets/d/1rOGZhKHVnDGFqGTO7UNOJSkSJyQwVuEb2-yhWQit7lw/edit?gid=1831678671#gid=1831678671"", address(row($D22),column($D22),,,""DL&amp;CO-M""))"),31)</f>
        <v>31</v>
      </c>
      <c r="I24" s="8">
        <f t="shared" ca="1" si="4"/>
        <v>77.5</v>
      </c>
      <c r="J24" s="5">
        <f ca="1">IFERROR(__xludf.DUMMYFUNCTION("IMPORTRANGE(""https://docs.google.com/spreadsheets/d/1rOGZhKHVnDGFqGTO7UNOJSkSJyQwVuEb2-yhWQit7lw/edit?gid=1967609937#gid=1967609937"", address(row($D22),column($D22),,,""ADSA-M""))"),50)</f>
        <v>50</v>
      </c>
      <c r="K24" s="8">
        <f t="shared" ca="1" si="5"/>
        <v>75.757575757575751</v>
      </c>
      <c r="L24" s="5">
        <f ca="1">IFERROR(__xludf.DUMMYFUNCTION("IMPORTRANGE(""https://docs.google.com/spreadsheets/d/1rOGZhKHVnDGFqGTO7UNOJSkSJyQwVuEb2-yhWQit7lw/edit?gid=413111112#gid=413111112"", address(row($D22),column($D22),,,""JAVA-M""))"),43)</f>
        <v>43</v>
      </c>
      <c r="M24" s="8">
        <f t="shared" ca="1" si="6"/>
        <v>65.151515151515156</v>
      </c>
      <c r="N24" s="5">
        <f ca="1">IFERROR(__xludf.DUMMYFUNCTION("IMPORTRANGE(""https://docs.google.com/spreadsheets/d/1rOGZhKHVnDGFqGTO7UNOJSkSJyQwVuEb2-yhWQit7lw/edit?gid=48564407#gid=48564407"", address(row($D22),column($D22),,,""FOSS LAB-M""))"),23)</f>
        <v>23</v>
      </c>
      <c r="O24" s="8">
        <f t="shared" ca="1" si="7"/>
        <v>76.666666666666671</v>
      </c>
      <c r="P24" s="5">
        <f ca="1">IFERROR(__xludf.DUMMYFUNCTION("IMPORTRANGE(""https://docs.google.com/spreadsheets/d/1rOGZhKHVnDGFqGTO7UNOJSkSJyQwVuEb2-yhWQit7lw/edit?gid=1253773396#gid=1253773396"", address(row($D22),column($D22),,,""PP-M""))"),20)</f>
        <v>20</v>
      </c>
      <c r="Q24" s="8">
        <f t="shared" ca="1" si="8"/>
        <v>83.333333333333343</v>
      </c>
      <c r="R24" s="5">
        <f ca="1">IFERROR(__xludf.DUMMYFUNCTION("IMPORTRANGE(""https://docs.google.com/spreadsheets/d/1rOGZhKHVnDGFqGTO7UNOJSkSJyQwVuEb2-yhWQit7lw/edit?gid=1188725859#gid=1188725859"", address(row($D22),column($D22),,,""NPTEL-M""))"),34)</f>
        <v>34</v>
      </c>
      <c r="S24" s="5">
        <f t="shared" ca="1" si="9"/>
        <v>89.473684210526315</v>
      </c>
      <c r="T24" s="6">
        <f ca="1">IFERROR(__xludf.DUMMYFUNCTION("IMPORTRANGE(""https://docs.google.com/spreadsheets/d/1rOGZhKHVnDGFqGTO7UNOJSkSJyQwVuEb2-yhWQit7lw/edit?gid=832656518#gid=832656518"", address(row($D22),column($D22),,,""CRT-M""))"),77)</f>
        <v>77</v>
      </c>
      <c r="U24" s="8">
        <f t="shared" ca="1" si="10"/>
        <v>84.615384615384613</v>
      </c>
      <c r="V24" s="6">
        <f t="shared" ca="1" si="0"/>
        <v>336</v>
      </c>
      <c r="W24" s="4">
        <f t="shared" ca="1" si="11"/>
        <v>79</v>
      </c>
      <c r="X24" s="4">
        <v>0</v>
      </c>
      <c r="Y24" s="4">
        <v>0</v>
      </c>
      <c r="Z24" s="4">
        <f t="shared" ca="1" si="1"/>
        <v>336</v>
      </c>
      <c r="AA24" s="10">
        <f t="shared" ca="1" si="12"/>
        <v>79</v>
      </c>
    </row>
    <row r="25" spans="1:27" ht="15.85" customHeight="1" x14ac:dyDescent="0.3">
      <c r="A25" s="8">
        <v>20</v>
      </c>
      <c r="B25" s="11" t="s">
        <v>61</v>
      </c>
      <c r="C25" s="11" t="s">
        <v>62</v>
      </c>
      <c r="D25" s="5">
        <f ca="1">IFERROR(__xludf.DUMMYFUNCTION("IMPORTRANGE(""https://docs.google.com/spreadsheets/d/1rOGZhKHVnDGFqGTO7UNOJSkSJyQwVuEb2-yhWQit7lw/edit?gid=872795839#gid=872795839"", address(row($D23),column($D23),,,""DM&amp;GT-M""))"),36)</f>
        <v>36</v>
      </c>
      <c r="E25" s="8">
        <f t="shared" ca="1" si="2"/>
        <v>100</v>
      </c>
      <c r="F25" s="5">
        <f ca="1">IFERROR(__xludf.DUMMYFUNCTION("IMPORTRANGE(""https://docs.google.com/spreadsheets/d/1rOGZhKHVnDGFqGTO7UNOJSkSJyQwVuEb2-yhWQit7lw/edit?gid=659871210#gid=659871210"", address(row($D23),column($D23),,,""UHV-M""))"),32)</f>
        <v>32</v>
      </c>
      <c r="G25" s="8">
        <f t="shared" ca="1" si="3"/>
        <v>100</v>
      </c>
      <c r="H25" s="5">
        <f ca="1">IFERROR(__xludf.DUMMYFUNCTION("IMPORTRANGE(""https://docs.google.com/spreadsheets/d/1rOGZhKHVnDGFqGTO7UNOJSkSJyQwVuEb2-yhWQit7lw/edit?gid=1831678671#gid=1831678671"", address(row($D23),column($D23),,,""DL&amp;CO-M""))"),40)</f>
        <v>40</v>
      </c>
      <c r="I25" s="8">
        <f t="shared" ca="1" si="4"/>
        <v>100</v>
      </c>
      <c r="J25" s="5">
        <f ca="1">IFERROR(__xludf.DUMMYFUNCTION("IMPORTRANGE(""https://docs.google.com/spreadsheets/d/1rOGZhKHVnDGFqGTO7UNOJSkSJyQwVuEb2-yhWQit7lw/edit?gid=1967609937#gid=1967609937"", address(row($D23),column($D23),,,""ADSA-M""))"),62)</f>
        <v>62</v>
      </c>
      <c r="K25" s="8">
        <f t="shared" ca="1" si="5"/>
        <v>93.939393939393938</v>
      </c>
      <c r="L25" s="5">
        <f ca="1">IFERROR(__xludf.DUMMYFUNCTION("IMPORTRANGE(""https://docs.google.com/spreadsheets/d/1rOGZhKHVnDGFqGTO7UNOJSkSJyQwVuEb2-yhWQit7lw/edit?gid=413111112#gid=413111112"", address(row($D23),column($D23),,,""JAVA-M""))"),64)</f>
        <v>64</v>
      </c>
      <c r="M25" s="8">
        <f t="shared" ca="1" si="6"/>
        <v>96.969696969696969</v>
      </c>
      <c r="N25" s="5">
        <f ca="1">IFERROR(__xludf.DUMMYFUNCTION("IMPORTRANGE(""https://docs.google.com/spreadsheets/d/1rOGZhKHVnDGFqGTO7UNOJSkSJyQwVuEb2-yhWQit7lw/edit?gid=48564407#gid=48564407"", address(row($D23),column($D23),,,""FOSS LAB-M""))"),24)</f>
        <v>24</v>
      </c>
      <c r="O25" s="8">
        <f t="shared" ca="1" si="7"/>
        <v>80</v>
      </c>
      <c r="P25" s="5">
        <f ca="1">IFERROR(__xludf.DUMMYFUNCTION("IMPORTRANGE(""https://docs.google.com/spreadsheets/d/1rOGZhKHVnDGFqGTO7UNOJSkSJyQwVuEb2-yhWQit7lw/edit?gid=1253773396#gid=1253773396"", address(row($D23),column($D23),,,""PP-M""))"),24)</f>
        <v>24</v>
      </c>
      <c r="Q25" s="8">
        <f t="shared" ca="1" si="8"/>
        <v>100</v>
      </c>
      <c r="R25" s="5">
        <f ca="1">IFERROR(__xludf.DUMMYFUNCTION("IMPORTRANGE(""https://docs.google.com/spreadsheets/d/1rOGZhKHVnDGFqGTO7UNOJSkSJyQwVuEb2-yhWQit7lw/edit?gid=1188725859#gid=1188725859"", address(row($D23),column($D23),,,""NPTEL-M""))"),36)</f>
        <v>36</v>
      </c>
      <c r="S25" s="5">
        <f t="shared" ca="1" si="9"/>
        <v>94.73684210526315</v>
      </c>
      <c r="T25" s="6">
        <f ca="1">IFERROR(__xludf.DUMMYFUNCTION("IMPORTRANGE(""https://docs.google.com/spreadsheets/d/1rOGZhKHVnDGFqGTO7UNOJSkSJyQwVuEb2-yhWQit7lw/edit?gid=832656518#gid=832656518"", address(row($D23),column($D23),,,""CRT-M""))"),91)</f>
        <v>91</v>
      </c>
      <c r="U25" s="8">
        <f t="shared" ca="1" si="10"/>
        <v>100</v>
      </c>
      <c r="V25" s="6">
        <f t="shared" ca="1" si="0"/>
        <v>409</v>
      </c>
      <c r="W25" s="4">
        <f t="shared" ca="1" si="11"/>
        <v>97</v>
      </c>
      <c r="X25" s="4">
        <v>4</v>
      </c>
      <c r="Y25" s="4">
        <v>0</v>
      </c>
      <c r="Z25" s="4">
        <f t="shared" ca="1" si="1"/>
        <v>413</v>
      </c>
      <c r="AA25" s="10">
        <f t="shared" ca="1" si="12"/>
        <v>98</v>
      </c>
    </row>
    <row r="26" spans="1:27" ht="15.85" customHeight="1" x14ac:dyDescent="0.3">
      <c r="A26" s="8">
        <v>21</v>
      </c>
      <c r="B26" s="11" t="s">
        <v>63</v>
      </c>
      <c r="C26" s="11" t="s">
        <v>64</v>
      </c>
      <c r="D26" s="5">
        <f ca="1">IFERROR(__xludf.DUMMYFUNCTION("IMPORTRANGE(""https://docs.google.com/spreadsheets/d/1rOGZhKHVnDGFqGTO7UNOJSkSJyQwVuEb2-yhWQit7lw/edit?gid=872795839#gid=872795839"", address(row($D24),column($D24),,,""DM&amp;GT-M""))"),32)</f>
        <v>32</v>
      </c>
      <c r="E26" s="8">
        <f t="shared" ca="1" si="2"/>
        <v>88.888888888888886</v>
      </c>
      <c r="F26" s="5">
        <f ca="1">IFERROR(__xludf.DUMMYFUNCTION("IMPORTRANGE(""https://docs.google.com/spreadsheets/d/1rOGZhKHVnDGFqGTO7UNOJSkSJyQwVuEb2-yhWQit7lw/edit?gid=659871210#gid=659871210"", address(row($D24),column($D24),,,""UHV-M""))"),28)</f>
        <v>28</v>
      </c>
      <c r="G26" s="8">
        <f t="shared" ca="1" si="3"/>
        <v>87.5</v>
      </c>
      <c r="H26" s="5">
        <f ca="1">IFERROR(__xludf.DUMMYFUNCTION("IMPORTRANGE(""https://docs.google.com/spreadsheets/d/1rOGZhKHVnDGFqGTO7UNOJSkSJyQwVuEb2-yhWQit7lw/edit?gid=1831678671#gid=1831678671"", address(row($D24),column($D24),,,""DL&amp;CO-M""))"),32)</f>
        <v>32</v>
      </c>
      <c r="I26" s="8">
        <f t="shared" ca="1" si="4"/>
        <v>80</v>
      </c>
      <c r="J26" s="5">
        <f ca="1">IFERROR(__xludf.DUMMYFUNCTION("IMPORTRANGE(""https://docs.google.com/spreadsheets/d/1rOGZhKHVnDGFqGTO7UNOJSkSJyQwVuEb2-yhWQit7lw/edit?gid=1967609937#gid=1967609937"", address(row($D24),column($D24),,,""ADSA-M""))"),50)</f>
        <v>50</v>
      </c>
      <c r="K26" s="8">
        <f t="shared" ca="1" si="5"/>
        <v>75.757575757575751</v>
      </c>
      <c r="L26" s="5">
        <f ca="1">IFERROR(__xludf.DUMMYFUNCTION("IMPORTRANGE(""https://docs.google.com/spreadsheets/d/1rOGZhKHVnDGFqGTO7UNOJSkSJyQwVuEb2-yhWQit7lw/edit?gid=413111112#gid=413111112"", address(row($D24),column($D24),,,""JAVA-M""))"),49)</f>
        <v>49</v>
      </c>
      <c r="M26" s="8">
        <f t="shared" ca="1" si="6"/>
        <v>74.242424242424249</v>
      </c>
      <c r="N26" s="5">
        <f ca="1">IFERROR(__xludf.DUMMYFUNCTION("IMPORTRANGE(""https://docs.google.com/spreadsheets/d/1rOGZhKHVnDGFqGTO7UNOJSkSJyQwVuEb2-yhWQit7lw/edit?gid=48564407#gid=48564407"", address(row($D24),column($D24),,,""FOSS LAB-M""))"),21)</f>
        <v>21</v>
      </c>
      <c r="O26" s="8">
        <f t="shared" ca="1" si="7"/>
        <v>70</v>
      </c>
      <c r="P26" s="5">
        <f ca="1">IFERROR(__xludf.DUMMYFUNCTION("IMPORTRANGE(""https://docs.google.com/spreadsheets/d/1rOGZhKHVnDGFqGTO7UNOJSkSJyQwVuEb2-yhWQit7lw/edit?gid=1253773396#gid=1253773396"", address(row($D24),column($D24),,,""PP-M""))"),22)</f>
        <v>22</v>
      </c>
      <c r="Q26" s="8">
        <f t="shared" ca="1" si="8"/>
        <v>91.666666666666657</v>
      </c>
      <c r="R26" s="5">
        <f ca="1">IFERROR(__xludf.DUMMYFUNCTION("IMPORTRANGE(""https://docs.google.com/spreadsheets/d/1rOGZhKHVnDGFqGTO7UNOJSkSJyQwVuEb2-yhWQit7lw/edit?gid=1188725859#gid=1188725859"", address(row($D24),column($D24),,,""NPTEL-M""))"),32)</f>
        <v>32</v>
      </c>
      <c r="S26" s="5">
        <f t="shared" ca="1" si="9"/>
        <v>84.210526315789465</v>
      </c>
      <c r="T26" s="6">
        <f ca="1">IFERROR(__xludf.DUMMYFUNCTION("IMPORTRANGE(""https://docs.google.com/spreadsheets/d/1rOGZhKHVnDGFqGTO7UNOJSkSJyQwVuEb2-yhWQit7lw/edit?gid=832656518#gid=832656518"", address(row($D24),column($D24),,,""CRT-M""))"),91)</f>
        <v>91</v>
      </c>
      <c r="U26" s="8">
        <f t="shared" ca="1" si="10"/>
        <v>100</v>
      </c>
      <c r="V26" s="6">
        <f t="shared" ca="1" si="0"/>
        <v>357</v>
      </c>
      <c r="W26" s="4">
        <f t="shared" ca="1" si="11"/>
        <v>84</v>
      </c>
      <c r="X26" s="4">
        <v>7</v>
      </c>
      <c r="Y26" s="4">
        <v>0</v>
      </c>
      <c r="Z26" s="4">
        <f t="shared" ca="1" si="1"/>
        <v>364</v>
      </c>
      <c r="AA26" s="10">
        <f t="shared" ca="1" si="12"/>
        <v>86</v>
      </c>
    </row>
    <row r="27" spans="1:27" ht="15.85" customHeight="1" x14ac:dyDescent="0.3">
      <c r="A27" s="8">
        <v>22</v>
      </c>
      <c r="B27" s="11" t="s">
        <v>65</v>
      </c>
      <c r="C27" s="11" t="s">
        <v>66</v>
      </c>
      <c r="D27" s="5">
        <f ca="1">IFERROR(__xludf.DUMMYFUNCTION("IMPORTRANGE(""https://docs.google.com/spreadsheets/d/1rOGZhKHVnDGFqGTO7UNOJSkSJyQwVuEb2-yhWQit7lw/edit?gid=872795839#gid=872795839"", address(row($D25),column($D25),,,""DM&amp;GT-M""))"),22)</f>
        <v>22</v>
      </c>
      <c r="E27" s="8">
        <f t="shared" ca="1" si="2"/>
        <v>61.111111111111114</v>
      </c>
      <c r="F27" s="5">
        <f ca="1">IFERROR(__xludf.DUMMYFUNCTION("IMPORTRANGE(""https://docs.google.com/spreadsheets/d/1rOGZhKHVnDGFqGTO7UNOJSkSJyQwVuEb2-yhWQit7lw/edit?gid=659871210#gid=659871210"", address(row($D25),column($D25),,,""UHV-M""))"),23)</f>
        <v>23</v>
      </c>
      <c r="G27" s="8">
        <f t="shared" ca="1" si="3"/>
        <v>71.875</v>
      </c>
      <c r="H27" s="5">
        <f ca="1">IFERROR(__xludf.DUMMYFUNCTION("IMPORTRANGE(""https://docs.google.com/spreadsheets/d/1rOGZhKHVnDGFqGTO7UNOJSkSJyQwVuEb2-yhWQit7lw/edit?gid=1831678671#gid=1831678671"", address(row($D25),column($D25),,,""DL&amp;CO-M""))"),23)</f>
        <v>23</v>
      </c>
      <c r="I27" s="8">
        <f t="shared" ca="1" si="4"/>
        <v>57.499999999999993</v>
      </c>
      <c r="J27" s="5">
        <f ca="1">IFERROR(__xludf.DUMMYFUNCTION("IMPORTRANGE(""https://docs.google.com/spreadsheets/d/1rOGZhKHVnDGFqGTO7UNOJSkSJyQwVuEb2-yhWQit7lw/edit?gid=1967609937#gid=1967609937"", address(row($D25),column($D25),,,""ADSA-M""))"),40)</f>
        <v>40</v>
      </c>
      <c r="K27" s="8">
        <f t="shared" ca="1" si="5"/>
        <v>60.606060606060609</v>
      </c>
      <c r="L27" s="5">
        <f ca="1">IFERROR(__xludf.DUMMYFUNCTION("IMPORTRANGE(""https://docs.google.com/spreadsheets/d/1rOGZhKHVnDGFqGTO7UNOJSkSJyQwVuEb2-yhWQit7lw/edit?gid=413111112#gid=413111112"", address(row($D25),column($D25),,,""JAVA-M""))"),39)</f>
        <v>39</v>
      </c>
      <c r="M27" s="8">
        <f t="shared" ca="1" si="6"/>
        <v>59.090909090909093</v>
      </c>
      <c r="N27" s="5">
        <f ca="1">IFERROR(__xludf.DUMMYFUNCTION("IMPORTRANGE(""https://docs.google.com/spreadsheets/d/1rOGZhKHVnDGFqGTO7UNOJSkSJyQwVuEb2-yhWQit7lw/edit?gid=48564407#gid=48564407"", address(row($D25),column($D25),,,""FOSS LAB-M""))"),21)</f>
        <v>21</v>
      </c>
      <c r="O27" s="8">
        <f t="shared" ca="1" si="7"/>
        <v>70</v>
      </c>
      <c r="P27" s="5">
        <f ca="1">IFERROR(__xludf.DUMMYFUNCTION("IMPORTRANGE(""https://docs.google.com/spreadsheets/d/1rOGZhKHVnDGFqGTO7UNOJSkSJyQwVuEb2-yhWQit7lw/edit?gid=1253773396#gid=1253773396"", address(row($D25),column($D25),,,""PP-M""))"),20)</f>
        <v>20</v>
      </c>
      <c r="Q27" s="8">
        <f t="shared" ca="1" si="8"/>
        <v>83.333333333333343</v>
      </c>
      <c r="R27" s="5">
        <f ca="1">IFERROR(__xludf.DUMMYFUNCTION("IMPORTRANGE(""https://docs.google.com/spreadsheets/d/1rOGZhKHVnDGFqGTO7UNOJSkSJyQwVuEb2-yhWQit7lw/edit?gid=1188725859#gid=1188725859"", address(row($D25),column($D25),,,""NPTEL-M""))"),20)</f>
        <v>20</v>
      </c>
      <c r="S27" s="5">
        <f t="shared" ca="1" si="9"/>
        <v>52.631578947368418</v>
      </c>
      <c r="T27" s="6">
        <f ca="1">IFERROR(__xludf.DUMMYFUNCTION("IMPORTRANGE(""https://docs.google.com/spreadsheets/d/1rOGZhKHVnDGFqGTO7UNOJSkSJyQwVuEb2-yhWQit7lw/edit?gid=832656518#gid=832656518"", address(row($D25),column($D25),,,""CRT-M""))"),77)</f>
        <v>77</v>
      </c>
      <c r="U27" s="8">
        <f t="shared" ca="1" si="10"/>
        <v>84.615384615384613</v>
      </c>
      <c r="V27" s="6">
        <f t="shared" ca="1" si="0"/>
        <v>285</v>
      </c>
      <c r="W27" s="4">
        <f t="shared" ca="1" si="11"/>
        <v>67</v>
      </c>
      <c r="X27" s="4">
        <v>0</v>
      </c>
      <c r="Y27" s="4">
        <v>0</v>
      </c>
      <c r="Z27" s="4">
        <f t="shared" ca="1" si="1"/>
        <v>285</v>
      </c>
      <c r="AA27" s="10">
        <f t="shared" ca="1" si="12"/>
        <v>67</v>
      </c>
    </row>
    <row r="28" spans="1:27" ht="15.85" customHeight="1" x14ac:dyDescent="0.3">
      <c r="A28" s="8">
        <v>23</v>
      </c>
      <c r="B28" s="11" t="s">
        <v>67</v>
      </c>
      <c r="C28" s="11" t="s">
        <v>68</v>
      </c>
      <c r="D28" s="5">
        <f ca="1">IFERROR(__xludf.DUMMYFUNCTION("IMPORTRANGE(""https://docs.google.com/spreadsheets/d/1rOGZhKHVnDGFqGTO7UNOJSkSJyQwVuEb2-yhWQit7lw/edit?gid=872795839#gid=872795839"", address(row($D26),column($D26),,,""DM&amp;GT-M""))"),30)</f>
        <v>30</v>
      </c>
      <c r="E28" s="8">
        <f t="shared" ca="1" si="2"/>
        <v>83.333333333333343</v>
      </c>
      <c r="F28" s="5">
        <f ca="1">IFERROR(__xludf.DUMMYFUNCTION("IMPORTRANGE(""https://docs.google.com/spreadsheets/d/1rOGZhKHVnDGFqGTO7UNOJSkSJyQwVuEb2-yhWQit7lw/edit?gid=659871210#gid=659871210"", address(row($D26),column($D26),,,""UHV-M""))"),26)</f>
        <v>26</v>
      </c>
      <c r="G28" s="8">
        <f t="shared" ca="1" si="3"/>
        <v>81.25</v>
      </c>
      <c r="H28" s="5">
        <f ca="1">IFERROR(__xludf.DUMMYFUNCTION("IMPORTRANGE(""https://docs.google.com/spreadsheets/d/1rOGZhKHVnDGFqGTO7UNOJSkSJyQwVuEb2-yhWQit7lw/edit?gid=1831678671#gid=1831678671"", address(row($D26),column($D26),,,""DL&amp;CO-M""))"),31)</f>
        <v>31</v>
      </c>
      <c r="I28" s="8">
        <f t="shared" ca="1" si="4"/>
        <v>77.5</v>
      </c>
      <c r="J28" s="5">
        <f ca="1">IFERROR(__xludf.DUMMYFUNCTION("IMPORTRANGE(""https://docs.google.com/spreadsheets/d/1rOGZhKHVnDGFqGTO7UNOJSkSJyQwVuEb2-yhWQit7lw/edit?gid=1967609937#gid=1967609937"", address(row($D26),column($D26),,,""ADSA-M""))"),47)</f>
        <v>47</v>
      </c>
      <c r="K28" s="8">
        <f t="shared" ca="1" si="5"/>
        <v>71.212121212121218</v>
      </c>
      <c r="L28" s="5">
        <f ca="1">IFERROR(__xludf.DUMMYFUNCTION("IMPORTRANGE(""https://docs.google.com/spreadsheets/d/1rOGZhKHVnDGFqGTO7UNOJSkSJyQwVuEb2-yhWQit7lw/edit?gid=413111112#gid=413111112"", address(row($D26),column($D26),,,""JAVA-M""))"),49)</f>
        <v>49</v>
      </c>
      <c r="M28" s="8">
        <f t="shared" ca="1" si="6"/>
        <v>74.242424242424249</v>
      </c>
      <c r="N28" s="5">
        <f ca="1">IFERROR(__xludf.DUMMYFUNCTION("IMPORTRANGE(""https://docs.google.com/spreadsheets/d/1rOGZhKHVnDGFqGTO7UNOJSkSJyQwVuEb2-yhWQit7lw/edit?gid=48564407#gid=48564407"", address(row($D26),column($D26),,,""FOSS LAB-M""))"),17)</f>
        <v>17</v>
      </c>
      <c r="O28" s="8">
        <f t="shared" ca="1" si="7"/>
        <v>56.666666666666664</v>
      </c>
      <c r="P28" s="5">
        <f ca="1">IFERROR(__xludf.DUMMYFUNCTION("IMPORTRANGE(""https://docs.google.com/spreadsheets/d/1rOGZhKHVnDGFqGTO7UNOJSkSJyQwVuEb2-yhWQit7lw/edit?gid=1253773396#gid=1253773396"", address(row($D26),column($D26),,,""PP-M""))"),22)</f>
        <v>22</v>
      </c>
      <c r="Q28" s="8">
        <f t="shared" ca="1" si="8"/>
        <v>91.666666666666657</v>
      </c>
      <c r="R28" s="5">
        <f ca="1">IFERROR(__xludf.DUMMYFUNCTION("IMPORTRANGE(""https://docs.google.com/spreadsheets/d/1rOGZhKHVnDGFqGTO7UNOJSkSJyQwVuEb2-yhWQit7lw/edit?gid=1188725859#gid=1188725859"", address(row($D26),column($D26),,,""NPTEL-M""))"),34)</f>
        <v>34</v>
      </c>
      <c r="S28" s="5">
        <f t="shared" ca="1" si="9"/>
        <v>89.473684210526315</v>
      </c>
      <c r="T28" s="6">
        <f ca="1">IFERROR(__xludf.DUMMYFUNCTION("IMPORTRANGE(""https://docs.google.com/spreadsheets/d/1rOGZhKHVnDGFqGTO7UNOJSkSJyQwVuEb2-yhWQit7lw/edit?gid=832656518#gid=832656518"", address(row($D26),column($D26),,,""CRT-M""))"),91)</f>
        <v>91</v>
      </c>
      <c r="U28" s="8">
        <f t="shared" ca="1" si="10"/>
        <v>100</v>
      </c>
      <c r="V28" s="6">
        <f t="shared" ca="1" si="0"/>
        <v>347</v>
      </c>
      <c r="W28" s="4">
        <f t="shared" ca="1" si="11"/>
        <v>82</v>
      </c>
      <c r="X28" s="4">
        <v>0</v>
      </c>
      <c r="Y28" s="4">
        <v>0</v>
      </c>
      <c r="Z28" s="4">
        <f t="shared" ca="1" si="1"/>
        <v>347</v>
      </c>
      <c r="AA28" s="10">
        <f t="shared" ca="1" si="12"/>
        <v>82</v>
      </c>
    </row>
    <row r="29" spans="1:27" ht="15.85" customHeight="1" x14ac:dyDescent="0.3">
      <c r="A29" s="8">
        <v>24</v>
      </c>
      <c r="B29" s="11" t="s">
        <v>69</v>
      </c>
      <c r="C29" s="11" t="s">
        <v>70</v>
      </c>
      <c r="D29" s="5">
        <f ca="1">IFERROR(__xludf.DUMMYFUNCTION("IMPORTRANGE(""https://docs.google.com/spreadsheets/d/1rOGZhKHVnDGFqGTO7UNOJSkSJyQwVuEb2-yhWQit7lw/edit?gid=872795839#gid=872795839"", address(row($D27),column($D27),,,""DM&amp;GT-M""))"),31)</f>
        <v>31</v>
      </c>
      <c r="E29" s="8">
        <f t="shared" ca="1" si="2"/>
        <v>86.111111111111114</v>
      </c>
      <c r="F29" s="5">
        <f ca="1">IFERROR(__xludf.DUMMYFUNCTION("IMPORTRANGE(""https://docs.google.com/spreadsheets/d/1rOGZhKHVnDGFqGTO7UNOJSkSJyQwVuEb2-yhWQit7lw/edit?gid=659871210#gid=659871210"", address(row($D27),column($D27),,,""UHV-M""))"),28)</f>
        <v>28</v>
      </c>
      <c r="G29" s="8">
        <f t="shared" ca="1" si="3"/>
        <v>87.5</v>
      </c>
      <c r="H29" s="5">
        <f ca="1">IFERROR(__xludf.DUMMYFUNCTION("IMPORTRANGE(""https://docs.google.com/spreadsheets/d/1rOGZhKHVnDGFqGTO7UNOJSkSJyQwVuEb2-yhWQit7lw/edit?gid=1831678671#gid=1831678671"", address(row($D27),column($D27),,,""DL&amp;CO-M""))"),31)</f>
        <v>31</v>
      </c>
      <c r="I29" s="8">
        <f t="shared" ca="1" si="4"/>
        <v>77.5</v>
      </c>
      <c r="J29" s="5">
        <f ca="1">IFERROR(__xludf.DUMMYFUNCTION("IMPORTRANGE(""https://docs.google.com/spreadsheets/d/1rOGZhKHVnDGFqGTO7UNOJSkSJyQwVuEb2-yhWQit7lw/edit?gid=1967609937#gid=1967609937"", address(row($D27),column($D27),,,""ADSA-M""))"),46)</f>
        <v>46</v>
      </c>
      <c r="K29" s="8">
        <f t="shared" ca="1" si="5"/>
        <v>69.696969696969703</v>
      </c>
      <c r="L29" s="5">
        <f ca="1">IFERROR(__xludf.DUMMYFUNCTION("IMPORTRANGE(""https://docs.google.com/spreadsheets/d/1rOGZhKHVnDGFqGTO7UNOJSkSJyQwVuEb2-yhWQit7lw/edit?gid=413111112#gid=413111112"", address(row($D27),column($D27),,,""JAVA-M""))"),53)</f>
        <v>53</v>
      </c>
      <c r="M29" s="8">
        <f t="shared" ca="1" si="6"/>
        <v>80.303030303030297</v>
      </c>
      <c r="N29" s="5">
        <f ca="1">IFERROR(__xludf.DUMMYFUNCTION("IMPORTRANGE(""https://docs.google.com/spreadsheets/d/1rOGZhKHVnDGFqGTO7UNOJSkSJyQwVuEb2-yhWQit7lw/edit?gid=48564407#gid=48564407"", address(row($D27),column($D27),,,""FOSS LAB-M""))"),18)</f>
        <v>18</v>
      </c>
      <c r="O29" s="8">
        <f t="shared" ca="1" si="7"/>
        <v>60</v>
      </c>
      <c r="P29" s="5">
        <f ca="1">IFERROR(__xludf.DUMMYFUNCTION("IMPORTRANGE(""https://docs.google.com/spreadsheets/d/1rOGZhKHVnDGFqGTO7UNOJSkSJyQwVuEb2-yhWQit7lw/edit?gid=1253773396#gid=1253773396"", address(row($D27),column($D27),,,""PP-M""))"),20)</f>
        <v>20</v>
      </c>
      <c r="Q29" s="8">
        <f t="shared" ca="1" si="8"/>
        <v>83.333333333333343</v>
      </c>
      <c r="R29" s="5">
        <f ca="1">IFERROR(__xludf.DUMMYFUNCTION("IMPORTRANGE(""https://docs.google.com/spreadsheets/d/1rOGZhKHVnDGFqGTO7UNOJSkSJyQwVuEb2-yhWQit7lw/edit?gid=1188725859#gid=1188725859"", address(row($D27),column($D27),,,""NPTEL-M""))"),34)</f>
        <v>34</v>
      </c>
      <c r="S29" s="5">
        <f t="shared" ca="1" si="9"/>
        <v>89.473684210526315</v>
      </c>
      <c r="T29" s="6">
        <f ca="1">IFERROR(__xludf.DUMMYFUNCTION("IMPORTRANGE(""https://docs.google.com/spreadsheets/d/1rOGZhKHVnDGFqGTO7UNOJSkSJyQwVuEb2-yhWQit7lw/edit?gid=832656518#gid=832656518"", address(row($D27),column($D27),,,""CRT-M""))"),84)</f>
        <v>84</v>
      </c>
      <c r="U29" s="8">
        <f t="shared" ca="1" si="10"/>
        <v>92.307692307692307</v>
      </c>
      <c r="V29" s="6">
        <f t="shared" ca="1" si="0"/>
        <v>345</v>
      </c>
      <c r="W29" s="4">
        <f t="shared" ca="1" si="11"/>
        <v>82</v>
      </c>
      <c r="X29" s="4">
        <v>7</v>
      </c>
      <c r="Y29" s="4">
        <v>0</v>
      </c>
      <c r="Z29" s="4">
        <f t="shared" ca="1" si="1"/>
        <v>352</v>
      </c>
      <c r="AA29" s="10">
        <f t="shared" ca="1" si="12"/>
        <v>83</v>
      </c>
    </row>
    <row r="30" spans="1:27" ht="15.85" customHeight="1" x14ac:dyDescent="0.3">
      <c r="A30" s="8">
        <v>25</v>
      </c>
      <c r="B30" s="11" t="s">
        <v>71</v>
      </c>
      <c r="C30" s="11" t="s">
        <v>72</v>
      </c>
      <c r="D30" s="5">
        <f ca="1">IFERROR(__xludf.DUMMYFUNCTION("IMPORTRANGE(""https://docs.google.com/spreadsheets/d/1rOGZhKHVnDGFqGTO7UNOJSkSJyQwVuEb2-yhWQit7lw/edit?gid=872795839#gid=872795839"", address(row($D28),column($D28),,,""DM&amp;GT-M""))"),32)</f>
        <v>32</v>
      </c>
      <c r="E30" s="8">
        <f t="shared" ca="1" si="2"/>
        <v>88.888888888888886</v>
      </c>
      <c r="F30" s="5">
        <f ca="1">IFERROR(__xludf.DUMMYFUNCTION("IMPORTRANGE(""https://docs.google.com/spreadsheets/d/1rOGZhKHVnDGFqGTO7UNOJSkSJyQwVuEb2-yhWQit7lw/edit?gid=659871210#gid=659871210"", address(row($D28),column($D28),,,""UHV-M""))"),28)</f>
        <v>28</v>
      </c>
      <c r="G30" s="8">
        <f t="shared" ca="1" si="3"/>
        <v>87.5</v>
      </c>
      <c r="H30" s="5">
        <f ca="1">IFERROR(__xludf.DUMMYFUNCTION("IMPORTRANGE(""https://docs.google.com/spreadsheets/d/1rOGZhKHVnDGFqGTO7UNOJSkSJyQwVuEb2-yhWQit7lw/edit?gid=1831678671#gid=1831678671"", address(row($D28),column($D28),,,""DL&amp;CO-M""))"),34)</f>
        <v>34</v>
      </c>
      <c r="I30" s="8">
        <f t="shared" ca="1" si="4"/>
        <v>85</v>
      </c>
      <c r="J30" s="5">
        <f ca="1">IFERROR(__xludf.DUMMYFUNCTION("IMPORTRANGE(""https://docs.google.com/spreadsheets/d/1rOGZhKHVnDGFqGTO7UNOJSkSJyQwVuEb2-yhWQit7lw/edit?gid=1967609937#gid=1967609937"", address(row($D28),column($D28),,,""ADSA-M""))"),57)</f>
        <v>57</v>
      </c>
      <c r="K30" s="8">
        <f t="shared" ca="1" si="5"/>
        <v>86.36363636363636</v>
      </c>
      <c r="L30" s="5">
        <f ca="1">IFERROR(__xludf.DUMMYFUNCTION("IMPORTRANGE(""https://docs.google.com/spreadsheets/d/1rOGZhKHVnDGFqGTO7UNOJSkSJyQwVuEb2-yhWQit7lw/edit?gid=413111112#gid=413111112"", address(row($D28),column($D28),,,""JAVA-M""))"),52)</f>
        <v>52</v>
      </c>
      <c r="M30" s="8">
        <f t="shared" ca="1" si="6"/>
        <v>78.787878787878782</v>
      </c>
      <c r="N30" s="5">
        <f ca="1">IFERROR(__xludf.DUMMYFUNCTION("IMPORTRANGE(""https://docs.google.com/spreadsheets/d/1rOGZhKHVnDGFqGTO7UNOJSkSJyQwVuEb2-yhWQit7lw/edit?gid=48564407#gid=48564407"", address(row($D28),column($D28),,,""FOSS LAB-M""))"),24)</f>
        <v>24</v>
      </c>
      <c r="O30" s="8">
        <f t="shared" ca="1" si="7"/>
        <v>80</v>
      </c>
      <c r="P30" s="5">
        <f ca="1">IFERROR(__xludf.DUMMYFUNCTION("IMPORTRANGE(""https://docs.google.com/spreadsheets/d/1rOGZhKHVnDGFqGTO7UNOJSkSJyQwVuEb2-yhWQit7lw/edit?gid=1253773396#gid=1253773396"", address(row($D28),column($D28),,,""PP-M""))"),22)</f>
        <v>22</v>
      </c>
      <c r="Q30" s="8">
        <f t="shared" ca="1" si="8"/>
        <v>91.666666666666657</v>
      </c>
      <c r="R30" s="5">
        <f ca="1">IFERROR(__xludf.DUMMYFUNCTION("IMPORTRANGE(""https://docs.google.com/spreadsheets/d/1rOGZhKHVnDGFqGTO7UNOJSkSJyQwVuEb2-yhWQit7lw/edit?gid=1188725859#gid=1188725859"", address(row($D28),column($D28),,,""NPTEL-M""))"),30)</f>
        <v>30</v>
      </c>
      <c r="S30" s="5">
        <f t="shared" ca="1" si="9"/>
        <v>78.94736842105263</v>
      </c>
      <c r="T30" s="6">
        <f ca="1">IFERROR(__xludf.DUMMYFUNCTION("IMPORTRANGE(""https://docs.google.com/spreadsheets/d/1rOGZhKHVnDGFqGTO7UNOJSkSJyQwVuEb2-yhWQit7lw/edit?gid=832656518#gid=832656518"", address(row($D28),column($D28),,,""CRT-M""))"),84)</f>
        <v>84</v>
      </c>
      <c r="U30" s="8">
        <f t="shared" ca="1" si="10"/>
        <v>92.307692307692307</v>
      </c>
      <c r="V30" s="6">
        <f t="shared" ca="1" si="0"/>
        <v>363</v>
      </c>
      <c r="W30" s="4">
        <f t="shared" ca="1" si="11"/>
        <v>86</v>
      </c>
      <c r="X30" s="4">
        <v>0</v>
      </c>
      <c r="Y30" s="4">
        <v>0</v>
      </c>
      <c r="Z30" s="4">
        <f t="shared" ca="1" si="1"/>
        <v>363</v>
      </c>
      <c r="AA30" s="10">
        <f t="shared" ca="1" si="12"/>
        <v>86</v>
      </c>
    </row>
    <row r="31" spans="1:27" ht="15.85" customHeight="1" x14ac:dyDescent="0.3">
      <c r="A31" s="8">
        <v>26</v>
      </c>
      <c r="B31" s="11" t="s">
        <v>73</v>
      </c>
      <c r="C31" s="11" t="s">
        <v>74</v>
      </c>
      <c r="D31" s="5">
        <f ca="1">IFERROR(__xludf.DUMMYFUNCTION("IMPORTRANGE(""https://docs.google.com/spreadsheets/d/1rOGZhKHVnDGFqGTO7UNOJSkSJyQwVuEb2-yhWQit7lw/edit?gid=872795839#gid=872795839"", address(row($D29),column($D29),,,""DM&amp;GT-M""))"),28)</f>
        <v>28</v>
      </c>
      <c r="E31" s="8">
        <f t="shared" ca="1" si="2"/>
        <v>77.777777777777786</v>
      </c>
      <c r="F31" s="5">
        <f ca="1">IFERROR(__xludf.DUMMYFUNCTION("IMPORTRANGE(""https://docs.google.com/spreadsheets/d/1rOGZhKHVnDGFqGTO7UNOJSkSJyQwVuEb2-yhWQit7lw/edit?gid=659871210#gid=659871210"", address(row($D29),column($D29),,,""UHV-M""))"),25)</f>
        <v>25</v>
      </c>
      <c r="G31" s="8">
        <f t="shared" ca="1" si="3"/>
        <v>78.125</v>
      </c>
      <c r="H31" s="5">
        <f ca="1">IFERROR(__xludf.DUMMYFUNCTION("IMPORTRANGE(""https://docs.google.com/spreadsheets/d/1rOGZhKHVnDGFqGTO7UNOJSkSJyQwVuEb2-yhWQit7lw/edit?gid=1831678671#gid=1831678671"", address(row($D29),column($D29),,,""DL&amp;CO-M""))"),30)</f>
        <v>30</v>
      </c>
      <c r="I31" s="8">
        <f t="shared" ca="1" si="4"/>
        <v>75</v>
      </c>
      <c r="J31" s="5">
        <f ca="1">IFERROR(__xludf.DUMMYFUNCTION("IMPORTRANGE(""https://docs.google.com/spreadsheets/d/1rOGZhKHVnDGFqGTO7UNOJSkSJyQwVuEb2-yhWQit7lw/edit?gid=1967609937#gid=1967609937"", address(row($D29),column($D29),,,""ADSA-M""))"),46)</f>
        <v>46</v>
      </c>
      <c r="K31" s="8">
        <f t="shared" ca="1" si="5"/>
        <v>69.696969696969703</v>
      </c>
      <c r="L31" s="5">
        <f ca="1">IFERROR(__xludf.DUMMYFUNCTION("IMPORTRANGE(""https://docs.google.com/spreadsheets/d/1rOGZhKHVnDGFqGTO7UNOJSkSJyQwVuEb2-yhWQit7lw/edit?gid=413111112#gid=413111112"", address(row($D29),column($D29),,,""JAVA-M""))"),43)</f>
        <v>43</v>
      </c>
      <c r="M31" s="8">
        <f t="shared" ca="1" si="6"/>
        <v>65.151515151515156</v>
      </c>
      <c r="N31" s="5">
        <f ca="1">IFERROR(__xludf.DUMMYFUNCTION("IMPORTRANGE(""https://docs.google.com/spreadsheets/d/1rOGZhKHVnDGFqGTO7UNOJSkSJyQwVuEb2-yhWQit7lw/edit?gid=48564407#gid=48564407"", address(row($D29),column($D29),,,""FOSS LAB-M""))"),18)</f>
        <v>18</v>
      </c>
      <c r="O31" s="8">
        <f t="shared" ca="1" si="7"/>
        <v>60</v>
      </c>
      <c r="P31" s="5">
        <f ca="1">IFERROR(__xludf.DUMMYFUNCTION("IMPORTRANGE(""https://docs.google.com/spreadsheets/d/1rOGZhKHVnDGFqGTO7UNOJSkSJyQwVuEb2-yhWQit7lw/edit?gid=1253773396#gid=1253773396"", address(row($D29),column($D29),,,""PP-M""))"),18)</f>
        <v>18</v>
      </c>
      <c r="Q31" s="8">
        <f t="shared" ca="1" si="8"/>
        <v>75</v>
      </c>
      <c r="R31" s="5">
        <f ca="1">IFERROR(__xludf.DUMMYFUNCTION("IMPORTRANGE(""https://docs.google.com/spreadsheets/d/1rOGZhKHVnDGFqGTO7UNOJSkSJyQwVuEb2-yhWQit7lw/edit?gid=1188725859#gid=1188725859"", address(row($D29),column($D29),,,""NPTEL-M""))"),30)</f>
        <v>30</v>
      </c>
      <c r="S31" s="5">
        <f t="shared" ca="1" si="9"/>
        <v>78.94736842105263</v>
      </c>
      <c r="T31" s="6">
        <f ca="1">IFERROR(__xludf.DUMMYFUNCTION("IMPORTRANGE(""https://docs.google.com/spreadsheets/d/1rOGZhKHVnDGFqGTO7UNOJSkSJyQwVuEb2-yhWQit7lw/edit?gid=832656518#gid=832656518"", address(row($D29),column($D29),,,""CRT-M""))"),77)</f>
        <v>77</v>
      </c>
      <c r="U31" s="8">
        <f t="shared" ca="1" si="10"/>
        <v>84.615384615384613</v>
      </c>
      <c r="V31" s="6">
        <f t="shared" ca="1" si="0"/>
        <v>315</v>
      </c>
      <c r="W31" s="4">
        <f t="shared" ca="1" si="11"/>
        <v>74</v>
      </c>
      <c r="X31" s="4">
        <v>0</v>
      </c>
      <c r="Y31" s="4">
        <v>0</v>
      </c>
      <c r="Z31" s="4">
        <f t="shared" ca="1" si="1"/>
        <v>315</v>
      </c>
      <c r="AA31" s="10">
        <f t="shared" ca="1" si="12"/>
        <v>74</v>
      </c>
    </row>
    <row r="32" spans="1:27" ht="15.85" customHeight="1" x14ac:dyDescent="0.3">
      <c r="A32" s="8">
        <v>27</v>
      </c>
      <c r="B32" s="11" t="s">
        <v>75</v>
      </c>
      <c r="C32" s="11" t="s">
        <v>76</v>
      </c>
      <c r="D32" s="5">
        <f ca="1">IFERROR(__xludf.DUMMYFUNCTION("IMPORTRANGE(""https://docs.google.com/spreadsheets/d/1rOGZhKHVnDGFqGTO7UNOJSkSJyQwVuEb2-yhWQit7lw/edit?gid=872795839#gid=872795839"", address(row($D30),column($D30),,,""DM&amp;GT-M""))"),27)</f>
        <v>27</v>
      </c>
      <c r="E32" s="8">
        <f t="shared" ca="1" si="2"/>
        <v>75</v>
      </c>
      <c r="F32" s="5">
        <f ca="1">IFERROR(__xludf.DUMMYFUNCTION("IMPORTRANGE(""https://docs.google.com/spreadsheets/d/1rOGZhKHVnDGFqGTO7UNOJSkSJyQwVuEb2-yhWQit7lw/edit?gid=659871210#gid=659871210"", address(row($D30),column($D30),,,""UHV-M""))"),24)</f>
        <v>24</v>
      </c>
      <c r="G32" s="8">
        <f t="shared" ca="1" si="3"/>
        <v>75</v>
      </c>
      <c r="H32" s="5">
        <f ca="1">IFERROR(__xludf.DUMMYFUNCTION("IMPORTRANGE(""https://docs.google.com/spreadsheets/d/1rOGZhKHVnDGFqGTO7UNOJSkSJyQwVuEb2-yhWQit7lw/edit?gid=1831678671#gid=1831678671"", address(row($D30),column($D30),,,""DL&amp;CO-M""))"),27)</f>
        <v>27</v>
      </c>
      <c r="I32" s="8">
        <f t="shared" ca="1" si="4"/>
        <v>67.5</v>
      </c>
      <c r="J32" s="5">
        <f ca="1">IFERROR(__xludf.DUMMYFUNCTION("IMPORTRANGE(""https://docs.google.com/spreadsheets/d/1rOGZhKHVnDGFqGTO7UNOJSkSJyQwVuEb2-yhWQit7lw/edit?gid=1967609937#gid=1967609937"", address(row($D30),column($D30),,,""ADSA-M""))"),42)</f>
        <v>42</v>
      </c>
      <c r="K32" s="8">
        <f t="shared" ca="1" si="5"/>
        <v>63.636363636363633</v>
      </c>
      <c r="L32" s="5">
        <f ca="1">IFERROR(__xludf.DUMMYFUNCTION("IMPORTRANGE(""https://docs.google.com/spreadsheets/d/1rOGZhKHVnDGFqGTO7UNOJSkSJyQwVuEb2-yhWQit7lw/edit?gid=413111112#gid=413111112"", address(row($D30),column($D30),,,""JAVA-M""))"),43)</f>
        <v>43</v>
      </c>
      <c r="M32" s="8">
        <f t="shared" ca="1" si="6"/>
        <v>65.151515151515156</v>
      </c>
      <c r="N32" s="5">
        <f ca="1">IFERROR(__xludf.DUMMYFUNCTION("IMPORTRANGE(""https://docs.google.com/spreadsheets/d/1rOGZhKHVnDGFqGTO7UNOJSkSJyQwVuEb2-yhWQit7lw/edit?gid=48564407#gid=48564407"", address(row($D30),column($D30),,,""FOSS LAB-M""))"),15)</f>
        <v>15</v>
      </c>
      <c r="O32" s="8">
        <f t="shared" ca="1" si="7"/>
        <v>50</v>
      </c>
      <c r="P32" s="5">
        <f ca="1">IFERROR(__xludf.DUMMYFUNCTION("IMPORTRANGE(""https://docs.google.com/spreadsheets/d/1rOGZhKHVnDGFqGTO7UNOJSkSJyQwVuEb2-yhWQit7lw/edit?gid=1253773396#gid=1253773396"", address(row($D30),column($D30),,,""PP-M""))"),18)</f>
        <v>18</v>
      </c>
      <c r="Q32" s="8">
        <f t="shared" ca="1" si="8"/>
        <v>75</v>
      </c>
      <c r="R32" s="5">
        <f ca="1">IFERROR(__xludf.DUMMYFUNCTION("IMPORTRANGE(""https://docs.google.com/spreadsheets/d/1rOGZhKHVnDGFqGTO7UNOJSkSJyQwVuEb2-yhWQit7lw/edit?gid=1188725859#gid=1188725859"", address(row($D30),column($D30),,,""NPTEL-M""))"),28)</f>
        <v>28</v>
      </c>
      <c r="S32" s="5">
        <f t="shared" ca="1" si="9"/>
        <v>73.68421052631578</v>
      </c>
      <c r="T32" s="6">
        <f ca="1">IFERROR(__xludf.DUMMYFUNCTION("IMPORTRANGE(""https://docs.google.com/spreadsheets/d/1rOGZhKHVnDGFqGTO7UNOJSkSJyQwVuEb2-yhWQit7lw/edit?gid=832656518#gid=832656518"", address(row($D30),column($D30),,,""CRT-M""))"),91)</f>
        <v>91</v>
      </c>
      <c r="U32" s="8">
        <f t="shared" ca="1" si="10"/>
        <v>100</v>
      </c>
      <c r="V32" s="6">
        <f t="shared" ca="1" si="0"/>
        <v>315</v>
      </c>
      <c r="W32" s="4">
        <f t="shared" ca="1" si="11"/>
        <v>74</v>
      </c>
      <c r="X32" s="4">
        <v>0</v>
      </c>
      <c r="Y32" s="4">
        <v>0</v>
      </c>
      <c r="Z32" s="4">
        <f t="shared" ca="1" si="1"/>
        <v>315</v>
      </c>
      <c r="AA32" s="10">
        <f t="shared" ca="1" si="12"/>
        <v>74</v>
      </c>
    </row>
    <row r="33" spans="1:27" ht="15.85" customHeight="1" x14ac:dyDescent="0.3">
      <c r="A33" s="8">
        <v>28</v>
      </c>
      <c r="B33" s="11" t="s">
        <v>77</v>
      </c>
      <c r="C33" s="11" t="s">
        <v>78</v>
      </c>
      <c r="D33" s="5">
        <f ca="1">IFERROR(__xludf.DUMMYFUNCTION("IMPORTRANGE(""https://docs.google.com/spreadsheets/d/1rOGZhKHVnDGFqGTO7UNOJSkSJyQwVuEb2-yhWQit7lw/edit?gid=872795839#gid=872795839"", address(row($D31),column($D31),,,""DM&amp;GT-M""))"),14)</f>
        <v>14</v>
      </c>
      <c r="E33" s="8">
        <f t="shared" ca="1" si="2"/>
        <v>38.888888888888893</v>
      </c>
      <c r="F33" s="5">
        <f ca="1">IFERROR(__xludf.DUMMYFUNCTION("IMPORTRANGE(""https://docs.google.com/spreadsheets/d/1rOGZhKHVnDGFqGTO7UNOJSkSJyQwVuEb2-yhWQit7lw/edit?gid=659871210#gid=659871210"", address(row($D31),column($D31),,,""UHV-M""))"),17)</f>
        <v>17</v>
      </c>
      <c r="G33" s="8">
        <f t="shared" ca="1" si="3"/>
        <v>53.125</v>
      </c>
      <c r="H33" s="5">
        <f ca="1">IFERROR(__xludf.DUMMYFUNCTION("IMPORTRANGE(""https://docs.google.com/spreadsheets/d/1rOGZhKHVnDGFqGTO7UNOJSkSJyQwVuEb2-yhWQit7lw/edit?gid=1831678671#gid=1831678671"", address(row($D31),column($D31),,,""DL&amp;CO-M""))"),13)</f>
        <v>13</v>
      </c>
      <c r="I33" s="8">
        <f t="shared" ca="1" si="4"/>
        <v>32.5</v>
      </c>
      <c r="J33" s="5">
        <f ca="1">IFERROR(__xludf.DUMMYFUNCTION("IMPORTRANGE(""https://docs.google.com/spreadsheets/d/1rOGZhKHVnDGFqGTO7UNOJSkSJyQwVuEb2-yhWQit7lw/edit?gid=1967609937#gid=1967609937"", address(row($D31),column($D31),,,""ADSA-M""))"),24)</f>
        <v>24</v>
      </c>
      <c r="K33" s="8">
        <f t="shared" ca="1" si="5"/>
        <v>36.363636363636367</v>
      </c>
      <c r="L33" s="5">
        <f ca="1">IFERROR(__xludf.DUMMYFUNCTION("IMPORTRANGE(""https://docs.google.com/spreadsheets/d/1rOGZhKHVnDGFqGTO7UNOJSkSJyQwVuEb2-yhWQit7lw/edit?gid=413111112#gid=413111112"", address(row($D31),column($D31),,,""JAVA-M""))"),32)</f>
        <v>32</v>
      </c>
      <c r="M33" s="8">
        <f t="shared" ca="1" si="6"/>
        <v>48.484848484848484</v>
      </c>
      <c r="N33" s="5">
        <f ca="1">IFERROR(__xludf.DUMMYFUNCTION("IMPORTRANGE(""https://docs.google.com/spreadsheets/d/1rOGZhKHVnDGFqGTO7UNOJSkSJyQwVuEb2-yhWQit7lw/edit?gid=48564407#gid=48564407"", address(row($D31),column($D31),,,""FOSS LAB-M""))"),12)</f>
        <v>12</v>
      </c>
      <c r="O33" s="8">
        <f t="shared" ca="1" si="7"/>
        <v>40</v>
      </c>
      <c r="P33" s="5">
        <f ca="1">IFERROR(__xludf.DUMMYFUNCTION("IMPORTRANGE(""https://docs.google.com/spreadsheets/d/1rOGZhKHVnDGFqGTO7UNOJSkSJyQwVuEb2-yhWQit7lw/edit?gid=1253773396#gid=1253773396"", address(row($D31),column($D31),,,""PP-M""))"),14)</f>
        <v>14</v>
      </c>
      <c r="Q33" s="8">
        <f t="shared" ca="1" si="8"/>
        <v>58.333333333333336</v>
      </c>
      <c r="R33" s="5">
        <f ca="1">IFERROR(__xludf.DUMMYFUNCTION("IMPORTRANGE(""https://docs.google.com/spreadsheets/d/1rOGZhKHVnDGFqGTO7UNOJSkSJyQwVuEb2-yhWQit7lw/edit?gid=1188725859#gid=1188725859"", address(row($D31),column($D31),,,""NPTEL-M""))"),20)</f>
        <v>20</v>
      </c>
      <c r="S33" s="5">
        <f t="shared" ca="1" si="9"/>
        <v>52.631578947368418</v>
      </c>
      <c r="T33" s="6">
        <f ca="1">IFERROR(__xludf.DUMMYFUNCTION("IMPORTRANGE(""https://docs.google.com/spreadsheets/d/1rOGZhKHVnDGFqGTO7UNOJSkSJyQwVuEb2-yhWQit7lw/edit?gid=832656518#gid=832656518"", address(row($D31),column($D31),,,""CRT-M""))"),70)</f>
        <v>70</v>
      </c>
      <c r="U33" s="8">
        <f t="shared" ca="1" si="10"/>
        <v>76.923076923076934</v>
      </c>
      <c r="V33" s="6">
        <f t="shared" ca="1" si="0"/>
        <v>216</v>
      </c>
      <c r="W33" s="4">
        <f t="shared" ca="1" si="11"/>
        <v>51</v>
      </c>
      <c r="X33" s="4">
        <v>0</v>
      </c>
      <c r="Y33" s="4">
        <v>0</v>
      </c>
      <c r="Z33" s="4">
        <f t="shared" ca="1" si="1"/>
        <v>216</v>
      </c>
      <c r="AA33" s="10">
        <f t="shared" ca="1" si="12"/>
        <v>51</v>
      </c>
    </row>
    <row r="34" spans="1:27" ht="15.85" customHeight="1" x14ac:dyDescent="0.3">
      <c r="A34" s="8">
        <v>29</v>
      </c>
      <c r="B34" s="11" t="s">
        <v>79</v>
      </c>
      <c r="C34" s="11" t="s">
        <v>80</v>
      </c>
      <c r="D34" s="5">
        <f ca="1">IFERROR(__xludf.DUMMYFUNCTION("IMPORTRANGE(""https://docs.google.com/spreadsheets/d/1rOGZhKHVnDGFqGTO7UNOJSkSJyQwVuEb2-yhWQit7lw/edit?gid=872795839#gid=872795839"", address(row($D32),column($D32),,,""DM&amp;GT-M""))"),21)</f>
        <v>21</v>
      </c>
      <c r="E34" s="8">
        <f t="shared" ca="1" si="2"/>
        <v>58.333333333333336</v>
      </c>
      <c r="F34" s="5">
        <f ca="1">IFERROR(__xludf.DUMMYFUNCTION("IMPORTRANGE(""https://docs.google.com/spreadsheets/d/1rOGZhKHVnDGFqGTO7UNOJSkSJyQwVuEb2-yhWQit7lw/edit?gid=659871210#gid=659871210"", address(row($D32),column($D32),,,""UHV-M""))"),22)</f>
        <v>22</v>
      </c>
      <c r="G34" s="8">
        <f t="shared" ca="1" si="3"/>
        <v>68.75</v>
      </c>
      <c r="H34" s="5">
        <f ca="1">IFERROR(__xludf.DUMMYFUNCTION("IMPORTRANGE(""https://docs.google.com/spreadsheets/d/1rOGZhKHVnDGFqGTO7UNOJSkSJyQwVuEb2-yhWQit7lw/edit?gid=1831678671#gid=1831678671"", address(row($D32),column($D32),,,""DL&amp;CO-M""))"),20)</f>
        <v>20</v>
      </c>
      <c r="I34" s="8">
        <f t="shared" ca="1" si="4"/>
        <v>50</v>
      </c>
      <c r="J34" s="5">
        <f ca="1">IFERROR(__xludf.DUMMYFUNCTION("IMPORTRANGE(""https://docs.google.com/spreadsheets/d/1rOGZhKHVnDGFqGTO7UNOJSkSJyQwVuEb2-yhWQit7lw/edit?gid=1967609937#gid=1967609937"", address(row($D32),column($D32),,,""ADSA-M""))"),34)</f>
        <v>34</v>
      </c>
      <c r="K34" s="8">
        <f t="shared" ca="1" si="5"/>
        <v>51.515151515151516</v>
      </c>
      <c r="L34" s="5">
        <f ca="1">IFERROR(__xludf.DUMMYFUNCTION("IMPORTRANGE(""https://docs.google.com/spreadsheets/d/1rOGZhKHVnDGFqGTO7UNOJSkSJyQwVuEb2-yhWQit7lw/edit?gid=413111112#gid=413111112"", address(row($D32),column($D32),,,""JAVA-M""))"),34)</f>
        <v>34</v>
      </c>
      <c r="M34" s="8">
        <f t="shared" ca="1" si="6"/>
        <v>51.515151515151516</v>
      </c>
      <c r="N34" s="5">
        <f ca="1">IFERROR(__xludf.DUMMYFUNCTION("IMPORTRANGE(""https://docs.google.com/spreadsheets/d/1rOGZhKHVnDGFqGTO7UNOJSkSJyQwVuEb2-yhWQit7lw/edit?gid=48564407#gid=48564407"", address(row($D32),column($D32),,,""FOSS LAB-M""))"),15)</f>
        <v>15</v>
      </c>
      <c r="O34" s="8">
        <f t="shared" ca="1" si="7"/>
        <v>50</v>
      </c>
      <c r="P34" s="5">
        <f ca="1">IFERROR(__xludf.DUMMYFUNCTION("IMPORTRANGE(""https://docs.google.com/spreadsheets/d/1rOGZhKHVnDGFqGTO7UNOJSkSJyQwVuEb2-yhWQit7lw/edit?gid=1253773396#gid=1253773396"", address(row($D32),column($D32),,,""PP-M""))"),16)</f>
        <v>16</v>
      </c>
      <c r="Q34" s="8">
        <f t="shared" ca="1" si="8"/>
        <v>66.666666666666657</v>
      </c>
      <c r="R34" s="5">
        <f ca="1">IFERROR(__xludf.DUMMYFUNCTION("IMPORTRANGE(""https://docs.google.com/spreadsheets/d/1rOGZhKHVnDGFqGTO7UNOJSkSJyQwVuEb2-yhWQit7lw/edit?gid=1188725859#gid=1188725859"", address(row($D32),column($D32),,,""NPTEL-M""))"),28)</f>
        <v>28</v>
      </c>
      <c r="S34" s="5">
        <f t="shared" ca="1" si="9"/>
        <v>73.68421052631578</v>
      </c>
      <c r="T34" s="6">
        <f ca="1">IFERROR(__xludf.DUMMYFUNCTION("IMPORTRANGE(""https://docs.google.com/spreadsheets/d/1rOGZhKHVnDGFqGTO7UNOJSkSJyQwVuEb2-yhWQit7lw/edit?gid=832656518#gid=832656518"", address(row($D32),column($D32),,,""CRT-M""))"),77)</f>
        <v>77</v>
      </c>
      <c r="U34" s="8">
        <f t="shared" ca="1" si="10"/>
        <v>84.615384615384613</v>
      </c>
      <c r="V34" s="6">
        <f t="shared" ca="1" si="0"/>
        <v>267</v>
      </c>
      <c r="W34" s="4">
        <f t="shared" ca="1" si="11"/>
        <v>63</v>
      </c>
      <c r="X34" s="4">
        <v>0</v>
      </c>
      <c r="Y34" s="4">
        <v>0</v>
      </c>
      <c r="Z34" s="4">
        <f t="shared" ca="1" si="1"/>
        <v>267</v>
      </c>
      <c r="AA34" s="10">
        <f t="shared" ca="1" si="12"/>
        <v>63</v>
      </c>
    </row>
    <row r="35" spans="1:27" ht="15.85" customHeight="1" x14ac:dyDescent="0.3">
      <c r="A35" s="8">
        <v>30</v>
      </c>
      <c r="B35" s="11" t="s">
        <v>81</v>
      </c>
      <c r="C35" s="11" t="s">
        <v>82</v>
      </c>
      <c r="D35" s="5">
        <f ca="1">IFERROR(__xludf.DUMMYFUNCTION("IMPORTRANGE(""https://docs.google.com/spreadsheets/d/1rOGZhKHVnDGFqGTO7UNOJSkSJyQwVuEb2-yhWQit7lw/edit?gid=872795839#gid=872795839"", address(row($D33),column($D33),,,""DM&amp;GT-M""))"),25)</f>
        <v>25</v>
      </c>
      <c r="E35" s="8">
        <f t="shared" ca="1" si="2"/>
        <v>69.444444444444443</v>
      </c>
      <c r="F35" s="5">
        <f ca="1">IFERROR(__xludf.DUMMYFUNCTION("IMPORTRANGE(""https://docs.google.com/spreadsheets/d/1rOGZhKHVnDGFqGTO7UNOJSkSJyQwVuEb2-yhWQit7lw/edit?gid=659871210#gid=659871210"", address(row($D33),column($D33),,,""UHV-M""))"),25)</f>
        <v>25</v>
      </c>
      <c r="G35" s="8">
        <f t="shared" ca="1" si="3"/>
        <v>78.125</v>
      </c>
      <c r="H35" s="5">
        <f ca="1">IFERROR(__xludf.DUMMYFUNCTION("IMPORTRANGE(""https://docs.google.com/spreadsheets/d/1rOGZhKHVnDGFqGTO7UNOJSkSJyQwVuEb2-yhWQit7lw/edit?gid=1831678671#gid=1831678671"", address(row($D33),column($D33),,,""DL&amp;CO-M""))"),24)</f>
        <v>24</v>
      </c>
      <c r="I35" s="8">
        <f t="shared" ca="1" si="4"/>
        <v>60</v>
      </c>
      <c r="J35" s="5">
        <f ca="1">IFERROR(__xludf.DUMMYFUNCTION("IMPORTRANGE(""https://docs.google.com/spreadsheets/d/1rOGZhKHVnDGFqGTO7UNOJSkSJyQwVuEb2-yhWQit7lw/edit?gid=1967609937#gid=1967609937"", address(row($D33),column($D33),,,""ADSA-M""))"),38)</f>
        <v>38</v>
      </c>
      <c r="K35" s="8">
        <f t="shared" ca="1" si="5"/>
        <v>57.575757575757578</v>
      </c>
      <c r="L35" s="5">
        <f ca="1">IFERROR(__xludf.DUMMYFUNCTION("IMPORTRANGE(""https://docs.google.com/spreadsheets/d/1rOGZhKHVnDGFqGTO7UNOJSkSJyQwVuEb2-yhWQit7lw/edit?gid=413111112#gid=413111112"", address(row($D33),column($D33),,,""JAVA-M""))"),44)</f>
        <v>44</v>
      </c>
      <c r="M35" s="8">
        <f t="shared" ca="1" si="6"/>
        <v>66.666666666666657</v>
      </c>
      <c r="N35" s="5">
        <f ca="1">IFERROR(__xludf.DUMMYFUNCTION("IMPORTRANGE(""https://docs.google.com/spreadsheets/d/1rOGZhKHVnDGFqGTO7UNOJSkSJyQwVuEb2-yhWQit7lw/edit?gid=48564407#gid=48564407"", address(row($D33),column($D33),,,""FOSS LAB-M""))"),16)</f>
        <v>16</v>
      </c>
      <c r="O35" s="8">
        <f t="shared" ca="1" si="7"/>
        <v>53.333333333333336</v>
      </c>
      <c r="P35" s="5">
        <f ca="1">IFERROR(__xludf.DUMMYFUNCTION("IMPORTRANGE(""https://docs.google.com/spreadsheets/d/1rOGZhKHVnDGFqGTO7UNOJSkSJyQwVuEb2-yhWQit7lw/edit?gid=1253773396#gid=1253773396"", address(row($D33),column($D33),,,""PP-M""))"),16)</f>
        <v>16</v>
      </c>
      <c r="Q35" s="8">
        <f t="shared" ca="1" si="8"/>
        <v>66.666666666666657</v>
      </c>
      <c r="R35" s="5">
        <f ca="1">IFERROR(__xludf.DUMMYFUNCTION("IMPORTRANGE(""https://docs.google.com/spreadsheets/d/1rOGZhKHVnDGFqGTO7UNOJSkSJyQwVuEb2-yhWQit7lw/edit?gid=1188725859#gid=1188725859"", address(row($D33),column($D33),,,""NPTEL-M""))"),32)</f>
        <v>32</v>
      </c>
      <c r="S35" s="5">
        <f t="shared" ca="1" si="9"/>
        <v>84.210526315789465</v>
      </c>
      <c r="T35" s="6">
        <f ca="1">IFERROR(__xludf.DUMMYFUNCTION("IMPORTRANGE(""https://docs.google.com/spreadsheets/d/1rOGZhKHVnDGFqGTO7UNOJSkSJyQwVuEb2-yhWQit7lw/edit?gid=832656518#gid=832656518"", address(row($D33),column($D33),,,""CRT-M""))"),84)</f>
        <v>84</v>
      </c>
      <c r="U35" s="8">
        <f t="shared" ca="1" si="10"/>
        <v>92.307692307692307</v>
      </c>
      <c r="V35" s="6">
        <f t="shared" ca="1" si="0"/>
        <v>304</v>
      </c>
      <c r="W35" s="4">
        <f t="shared" ca="1" si="11"/>
        <v>72</v>
      </c>
      <c r="X35" s="4">
        <v>0</v>
      </c>
      <c r="Y35" s="4">
        <v>0</v>
      </c>
      <c r="Z35" s="4">
        <f t="shared" ca="1" si="1"/>
        <v>304</v>
      </c>
      <c r="AA35" s="10">
        <f t="shared" ca="1" si="12"/>
        <v>72</v>
      </c>
    </row>
    <row r="36" spans="1:27" ht="15.85" customHeight="1" x14ac:dyDescent="0.3">
      <c r="A36" s="8">
        <v>31</v>
      </c>
      <c r="B36" s="11" t="s">
        <v>83</v>
      </c>
      <c r="C36" s="11" t="s">
        <v>84</v>
      </c>
      <c r="D36" s="5">
        <f ca="1">IFERROR(__xludf.DUMMYFUNCTION("IMPORTRANGE(""https://docs.google.com/spreadsheets/d/1rOGZhKHVnDGFqGTO7UNOJSkSJyQwVuEb2-yhWQit7lw/edit?gid=872795839#gid=872795839"", address(row($D34),column($D34),,,""DM&amp;GT-M""))"),27)</f>
        <v>27</v>
      </c>
      <c r="E36" s="8">
        <f t="shared" ca="1" si="2"/>
        <v>75</v>
      </c>
      <c r="F36" s="5">
        <f ca="1">IFERROR(__xludf.DUMMYFUNCTION("IMPORTRANGE(""https://docs.google.com/spreadsheets/d/1rOGZhKHVnDGFqGTO7UNOJSkSJyQwVuEb2-yhWQit7lw/edit?gid=659871210#gid=659871210"", address(row($D34),column($D34),,,""UHV-M""))"),23)</f>
        <v>23</v>
      </c>
      <c r="G36" s="8">
        <f t="shared" ca="1" si="3"/>
        <v>71.875</v>
      </c>
      <c r="H36" s="5">
        <f ca="1">IFERROR(__xludf.DUMMYFUNCTION("IMPORTRANGE(""https://docs.google.com/spreadsheets/d/1rOGZhKHVnDGFqGTO7UNOJSkSJyQwVuEb2-yhWQit7lw/edit?gid=1831678671#gid=1831678671"", address(row($D34),column($D34),,,""DL&amp;CO-M""))"),27)</f>
        <v>27</v>
      </c>
      <c r="I36" s="8">
        <f t="shared" ca="1" si="4"/>
        <v>67.5</v>
      </c>
      <c r="J36" s="5">
        <f ca="1">IFERROR(__xludf.DUMMYFUNCTION("IMPORTRANGE(""https://docs.google.com/spreadsheets/d/1rOGZhKHVnDGFqGTO7UNOJSkSJyQwVuEb2-yhWQit7lw/edit?gid=1967609937#gid=1967609937"", address(row($D34),column($D34),,,""ADSA-M""))"),46)</f>
        <v>46</v>
      </c>
      <c r="K36" s="8">
        <f t="shared" ca="1" si="5"/>
        <v>69.696969696969703</v>
      </c>
      <c r="L36" s="5">
        <f ca="1">IFERROR(__xludf.DUMMYFUNCTION("IMPORTRANGE(""https://docs.google.com/spreadsheets/d/1rOGZhKHVnDGFqGTO7UNOJSkSJyQwVuEb2-yhWQit7lw/edit?gid=413111112#gid=413111112"", address(row($D34),column($D34),,,""JAVA-M""))"),41)</f>
        <v>41</v>
      </c>
      <c r="M36" s="8">
        <f t="shared" ca="1" si="6"/>
        <v>62.121212121212125</v>
      </c>
      <c r="N36" s="5">
        <f ca="1">IFERROR(__xludf.DUMMYFUNCTION("IMPORTRANGE(""https://docs.google.com/spreadsheets/d/1rOGZhKHVnDGFqGTO7UNOJSkSJyQwVuEb2-yhWQit7lw/edit?gid=48564407#gid=48564407"", address(row($D34),column($D34),,,""FOSS LAB-M""))"),18)</f>
        <v>18</v>
      </c>
      <c r="O36" s="8">
        <f t="shared" ca="1" si="7"/>
        <v>60</v>
      </c>
      <c r="P36" s="5">
        <f ca="1">IFERROR(__xludf.DUMMYFUNCTION("IMPORTRANGE(""https://docs.google.com/spreadsheets/d/1rOGZhKHVnDGFqGTO7UNOJSkSJyQwVuEb2-yhWQit7lw/edit?gid=1253773396#gid=1253773396"", address(row($D34),column($D34),,,""PP-M""))"),16)</f>
        <v>16</v>
      </c>
      <c r="Q36" s="8">
        <f t="shared" ca="1" si="8"/>
        <v>66.666666666666657</v>
      </c>
      <c r="R36" s="5">
        <f ca="1">IFERROR(__xludf.DUMMYFUNCTION("IMPORTRANGE(""https://docs.google.com/spreadsheets/d/1rOGZhKHVnDGFqGTO7UNOJSkSJyQwVuEb2-yhWQit7lw/edit?gid=1188725859#gid=1188725859"", address(row($D34),column($D34),,,""NPTEL-M""))"),30)</f>
        <v>30</v>
      </c>
      <c r="S36" s="5">
        <f t="shared" ca="1" si="9"/>
        <v>78.94736842105263</v>
      </c>
      <c r="T36" s="6">
        <f ca="1">IFERROR(__xludf.DUMMYFUNCTION("IMPORTRANGE(""https://docs.google.com/spreadsheets/d/1rOGZhKHVnDGFqGTO7UNOJSkSJyQwVuEb2-yhWQit7lw/edit?gid=832656518#gid=832656518"", address(row($D34),column($D34),,,""CRT-M""))"),84)</f>
        <v>84</v>
      </c>
      <c r="U36" s="8">
        <f t="shared" ca="1" si="10"/>
        <v>92.307692307692307</v>
      </c>
      <c r="V36" s="6">
        <f t="shared" ca="1" si="0"/>
        <v>312</v>
      </c>
      <c r="W36" s="4">
        <f t="shared" ca="1" si="11"/>
        <v>74</v>
      </c>
      <c r="X36" s="4">
        <v>7</v>
      </c>
      <c r="Y36" s="4">
        <v>0</v>
      </c>
      <c r="Z36" s="4">
        <f t="shared" ca="1" si="1"/>
        <v>319</v>
      </c>
      <c r="AA36" s="10">
        <f t="shared" ca="1" si="12"/>
        <v>75</v>
      </c>
    </row>
    <row r="37" spans="1:27" ht="15.85" customHeight="1" x14ac:dyDescent="0.3">
      <c r="A37" s="8">
        <v>32</v>
      </c>
      <c r="B37" s="11" t="s">
        <v>85</v>
      </c>
      <c r="C37" s="11" t="s">
        <v>86</v>
      </c>
      <c r="D37" s="5">
        <f ca="1">IFERROR(__xludf.DUMMYFUNCTION("IMPORTRANGE(""https://docs.google.com/spreadsheets/d/1rOGZhKHVnDGFqGTO7UNOJSkSJyQwVuEb2-yhWQit7lw/edit?gid=872795839#gid=872795839"", address(row($D35),column($D35),,,""DM&amp;GT-M""))"),32)</f>
        <v>32</v>
      </c>
      <c r="E37" s="8">
        <f t="shared" ca="1" si="2"/>
        <v>88.888888888888886</v>
      </c>
      <c r="F37" s="5">
        <f ca="1">IFERROR(__xludf.DUMMYFUNCTION("IMPORTRANGE(""https://docs.google.com/spreadsheets/d/1rOGZhKHVnDGFqGTO7UNOJSkSJyQwVuEb2-yhWQit7lw/edit?gid=659871210#gid=659871210"", address(row($D35),column($D35),,,""UHV-M""))"),28)</f>
        <v>28</v>
      </c>
      <c r="G37" s="8">
        <f t="shared" ca="1" si="3"/>
        <v>87.5</v>
      </c>
      <c r="H37" s="5">
        <f ca="1">IFERROR(__xludf.DUMMYFUNCTION("IMPORTRANGE(""https://docs.google.com/spreadsheets/d/1rOGZhKHVnDGFqGTO7UNOJSkSJyQwVuEb2-yhWQit7lw/edit?gid=1831678671#gid=1831678671"", address(row($D35),column($D35),,,""DL&amp;CO-M""))"),31)</f>
        <v>31</v>
      </c>
      <c r="I37" s="8">
        <f t="shared" ca="1" si="4"/>
        <v>77.5</v>
      </c>
      <c r="J37" s="5">
        <f ca="1">IFERROR(__xludf.DUMMYFUNCTION("IMPORTRANGE(""https://docs.google.com/spreadsheets/d/1rOGZhKHVnDGFqGTO7UNOJSkSJyQwVuEb2-yhWQit7lw/edit?gid=1967609937#gid=1967609937"", address(row($D35),column($D35),,,""ADSA-M""))"),53)</f>
        <v>53</v>
      </c>
      <c r="K37" s="8">
        <f t="shared" ca="1" si="5"/>
        <v>80.303030303030297</v>
      </c>
      <c r="L37" s="5">
        <f ca="1">IFERROR(__xludf.DUMMYFUNCTION("IMPORTRANGE(""https://docs.google.com/spreadsheets/d/1rOGZhKHVnDGFqGTO7UNOJSkSJyQwVuEb2-yhWQit7lw/edit?gid=413111112#gid=413111112"", address(row($D35),column($D35),,,""JAVA-M""))"),46)</f>
        <v>46</v>
      </c>
      <c r="M37" s="8">
        <f t="shared" ca="1" si="6"/>
        <v>69.696969696969703</v>
      </c>
      <c r="N37" s="5">
        <f ca="1">IFERROR(__xludf.DUMMYFUNCTION("IMPORTRANGE(""https://docs.google.com/spreadsheets/d/1rOGZhKHVnDGFqGTO7UNOJSkSJyQwVuEb2-yhWQit7lw/edit?gid=48564407#gid=48564407"", address(row($D35),column($D35),,,""FOSS LAB-M""))"),24)</f>
        <v>24</v>
      </c>
      <c r="O37" s="8">
        <f t="shared" ca="1" si="7"/>
        <v>80</v>
      </c>
      <c r="P37" s="5">
        <f ca="1">IFERROR(__xludf.DUMMYFUNCTION("IMPORTRANGE(""https://docs.google.com/spreadsheets/d/1rOGZhKHVnDGFqGTO7UNOJSkSJyQwVuEb2-yhWQit7lw/edit?gid=1253773396#gid=1253773396"", address(row($D35),column($D35),,,""PP-M""))"),18)</f>
        <v>18</v>
      </c>
      <c r="Q37" s="8">
        <f t="shared" ca="1" si="8"/>
        <v>75</v>
      </c>
      <c r="R37" s="5">
        <f ca="1">IFERROR(__xludf.DUMMYFUNCTION("IMPORTRANGE(""https://docs.google.com/spreadsheets/d/1rOGZhKHVnDGFqGTO7UNOJSkSJyQwVuEb2-yhWQit7lw/edit?gid=1188725859#gid=1188725859"", address(row($D35),column($D35),,,""NPTEL-M""))"),32)</f>
        <v>32</v>
      </c>
      <c r="S37" s="5">
        <f t="shared" ca="1" si="9"/>
        <v>84.210526315789465</v>
      </c>
      <c r="T37" s="6">
        <f ca="1">IFERROR(__xludf.DUMMYFUNCTION("IMPORTRANGE(""https://docs.google.com/spreadsheets/d/1rOGZhKHVnDGFqGTO7UNOJSkSJyQwVuEb2-yhWQit7lw/edit?gid=832656518#gid=832656518"", address(row($D35),column($D35),,,""CRT-M""))"),91)</f>
        <v>91</v>
      </c>
      <c r="U37" s="8">
        <f t="shared" ca="1" si="10"/>
        <v>100</v>
      </c>
      <c r="V37" s="6">
        <f t="shared" ca="1" si="0"/>
        <v>355</v>
      </c>
      <c r="W37" s="4">
        <f t="shared" ca="1" si="11"/>
        <v>84</v>
      </c>
      <c r="X37" s="4">
        <v>0</v>
      </c>
      <c r="Y37" s="4">
        <v>0</v>
      </c>
      <c r="Z37" s="4">
        <f t="shared" ca="1" si="1"/>
        <v>355</v>
      </c>
      <c r="AA37" s="10">
        <f t="shared" ca="1" si="12"/>
        <v>84</v>
      </c>
    </row>
    <row r="38" spans="1:27" ht="15.85" customHeight="1" x14ac:dyDescent="0.3">
      <c r="A38" s="8">
        <v>33</v>
      </c>
      <c r="B38" s="11" t="s">
        <v>87</v>
      </c>
      <c r="C38" s="11" t="s">
        <v>88</v>
      </c>
      <c r="D38" s="5">
        <f ca="1">IFERROR(__xludf.DUMMYFUNCTION("IMPORTRANGE(""https://docs.google.com/spreadsheets/d/1rOGZhKHVnDGFqGTO7UNOJSkSJyQwVuEb2-yhWQit7lw/edit?gid=872795839#gid=872795839"", address(row($D36),column($D36),,,""DM&amp;GT-M""))"),30)</f>
        <v>30</v>
      </c>
      <c r="E38" s="8">
        <f t="shared" ca="1" si="2"/>
        <v>83.333333333333343</v>
      </c>
      <c r="F38" s="5">
        <f ca="1">IFERROR(__xludf.DUMMYFUNCTION("IMPORTRANGE(""https://docs.google.com/spreadsheets/d/1rOGZhKHVnDGFqGTO7UNOJSkSJyQwVuEb2-yhWQit7lw/edit?gid=659871210#gid=659871210"", address(row($D36),column($D36),,,""UHV-M""))"),27)</f>
        <v>27</v>
      </c>
      <c r="G38" s="8">
        <f t="shared" ca="1" si="3"/>
        <v>84.375</v>
      </c>
      <c r="H38" s="5">
        <f ca="1">IFERROR(__xludf.DUMMYFUNCTION("IMPORTRANGE(""https://docs.google.com/spreadsheets/d/1rOGZhKHVnDGFqGTO7UNOJSkSJyQwVuEb2-yhWQit7lw/edit?gid=1831678671#gid=1831678671"", address(row($D36),column($D36),,,""DL&amp;CO-M""))"),32)</f>
        <v>32</v>
      </c>
      <c r="I38" s="8">
        <f t="shared" ca="1" si="4"/>
        <v>80</v>
      </c>
      <c r="J38" s="5">
        <f ca="1">IFERROR(__xludf.DUMMYFUNCTION("IMPORTRANGE(""https://docs.google.com/spreadsheets/d/1rOGZhKHVnDGFqGTO7UNOJSkSJyQwVuEb2-yhWQit7lw/edit?gid=1967609937#gid=1967609937"", address(row($D36),column($D36),,,""ADSA-M""))"),50)</f>
        <v>50</v>
      </c>
      <c r="K38" s="8">
        <f t="shared" ca="1" si="5"/>
        <v>75.757575757575751</v>
      </c>
      <c r="L38" s="5">
        <f ca="1">IFERROR(__xludf.DUMMYFUNCTION("IMPORTRANGE(""https://docs.google.com/spreadsheets/d/1rOGZhKHVnDGFqGTO7UNOJSkSJyQwVuEb2-yhWQit7lw/edit?gid=413111112#gid=413111112"", address(row($D36),column($D36),,,""JAVA-M""))"),47)</f>
        <v>47</v>
      </c>
      <c r="M38" s="8">
        <f t="shared" ca="1" si="6"/>
        <v>71.212121212121218</v>
      </c>
      <c r="N38" s="5">
        <f ca="1">IFERROR(__xludf.DUMMYFUNCTION("IMPORTRANGE(""https://docs.google.com/spreadsheets/d/1rOGZhKHVnDGFqGTO7UNOJSkSJyQwVuEb2-yhWQit7lw/edit?gid=48564407#gid=48564407"", address(row($D36),column($D36),,,""FOSS LAB-M""))"),21)</f>
        <v>21</v>
      </c>
      <c r="O38" s="8">
        <f t="shared" ca="1" si="7"/>
        <v>70</v>
      </c>
      <c r="P38" s="5">
        <f ca="1">IFERROR(__xludf.DUMMYFUNCTION("IMPORTRANGE(""https://docs.google.com/spreadsheets/d/1rOGZhKHVnDGFqGTO7UNOJSkSJyQwVuEb2-yhWQit7lw/edit?gid=1253773396#gid=1253773396"", address(row($D36),column($D36),,,""PP-M""))"),16)</f>
        <v>16</v>
      </c>
      <c r="Q38" s="8">
        <f t="shared" ca="1" si="8"/>
        <v>66.666666666666657</v>
      </c>
      <c r="R38" s="5">
        <f ca="1">IFERROR(__xludf.DUMMYFUNCTION("IMPORTRANGE(""https://docs.google.com/spreadsheets/d/1rOGZhKHVnDGFqGTO7UNOJSkSJyQwVuEb2-yhWQit7lw/edit?gid=1188725859#gid=1188725859"", address(row($D36),column($D36),,,""NPTEL-M""))"),34)</f>
        <v>34</v>
      </c>
      <c r="S38" s="5">
        <f t="shared" ca="1" si="9"/>
        <v>89.473684210526315</v>
      </c>
      <c r="T38" s="6">
        <f ca="1">IFERROR(__xludf.DUMMYFUNCTION("IMPORTRANGE(""https://docs.google.com/spreadsheets/d/1rOGZhKHVnDGFqGTO7UNOJSkSJyQwVuEb2-yhWQit7lw/edit?gid=832656518#gid=832656518"", address(row($D36),column($D36),,,""CRT-M""))"),84)</f>
        <v>84</v>
      </c>
      <c r="U38" s="8">
        <f t="shared" ca="1" si="10"/>
        <v>92.307692307692307</v>
      </c>
      <c r="V38" s="6">
        <f t="shared" ca="1" si="0"/>
        <v>341</v>
      </c>
      <c r="W38" s="4">
        <f t="shared" ca="1" si="11"/>
        <v>81</v>
      </c>
      <c r="X38" s="4">
        <v>0</v>
      </c>
      <c r="Y38" s="4">
        <v>0</v>
      </c>
      <c r="Z38" s="4">
        <f t="shared" ca="1" si="1"/>
        <v>341</v>
      </c>
      <c r="AA38" s="10">
        <f t="shared" ca="1" si="12"/>
        <v>81</v>
      </c>
    </row>
    <row r="39" spans="1:27" ht="15.85" customHeight="1" x14ac:dyDescent="0.3">
      <c r="A39" s="8">
        <v>34</v>
      </c>
      <c r="B39" s="11" t="s">
        <v>89</v>
      </c>
      <c r="C39" s="11" t="s">
        <v>90</v>
      </c>
      <c r="D39" s="5">
        <f ca="1">IFERROR(__xludf.DUMMYFUNCTION("IMPORTRANGE(""https://docs.google.com/spreadsheets/d/1rOGZhKHVnDGFqGTO7UNOJSkSJyQwVuEb2-yhWQit7lw/edit?gid=872795839#gid=872795839"", address(row($D37),column($D37),,,""DM&amp;GT-M""))"),24)</f>
        <v>24</v>
      </c>
      <c r="E39" s="8">
        <f t="shared" ca="1" si="2"/>
        <v>66.666666666666657</v>
      </c>
      <c r="F39" s="5">
        <f ca="1">IFERROR(__xludf.DUMMYFUNCTION("IMPORTRANGE(""https://docs.google.com/spreadsheets/d/1rOGZhKHVnDGFqGTO7UNOJSkSJyQwVuEb2-yhWQit7lw/edit?gid=659871210#gid=659871210"", address(row($D37),column($D37),,,""UHV-M""))"),21)</f>
        <v>21</v>
      </c>
      <c r="G39" s="8">
        <f t="shared" ca="1" si="3"/>
        <v>65.625</v>
      </c>
      <c r="H39" s="5">
        <f ca="1">IFERROR(__xludf.DUMMYFUNCTION("IMPORTRANGE(""https://docs.google.com/spreadsheets/d/1rOGZhKHVnDGFqGTO7UNOJSkSJyQwVuEb2-yhWQit7lw/edit?gid=1831678671#gid=1831678671"", address(row($D37),column($D37),,,""DL&amp;CO-M""))"),27)</f>
        <v>27</v>
      </c>
      <c r="I39" s="8">
        <f t="shared" ca="1" si="4"/>
        <v>67.5</v>
      </c>
      <c r="J39" s="5">
        <f ca="1">IFERROR(__xludf.DUMMYFUNCTION("IMPORTRANGE(""https://docs.google.com/spreadsheets/d/1rOGZhKHVnDGFqGTO7UNOJSkSJyQwVuEb2-yhWQit7lw/edit?gid=1967609937#gid=1967609937"", address(row($D37),column($D37),,,""ADSA-M""))"),48)</f>
        <v>48</v>
      </c>
      <c r="K39" s="8">
        <f t="shared" ca="1" si="5"/>
        <v>72.727272727272734</v>
      </c>
      <c r="L39" s="5">
        <f ca="1">IFERROR(__xludf.DUMMYFUNCTION("IMPORTRANGE(""https://docs.google.com/spreadsheets/d/1rOGZhKHVnDGFqGTO7UNOJSkSJyQwVuEb2-yhWQit7lw/edit?gid=413111112#gid=413111112"", address(row($D37),column($D37),,,""JAVA-M""))"),41)</f>
        <v>41</v>
      </c>
      <c r="M39" s="8">
        <f t="shared" ca="1" si="6"/>
        <v>62.121212121212125</v>
      </c>
      <c r="N39" s="5">
        <f ca="1">IFERROR(__xludf.DUMMYFUNCTION("IMPORTRANGE(""https://docs.google.com/spreadsheets/d/1rOGZhKHVnDGFqGTO7UNOJSkSJyQwVuEb2-yhWQit7lw/edit?gid=48564407#gid=48564407"", address(row($D37),column($D37),,,""FOSS LAB-M""))"),17)</f>
        <v>17</v>
      </c>
      <c r="O39" s="8">
        <f t="shared" ca="1" si="7"/>
        <v>56.666666666666664</v>
      </c>
      <c r="P39" s="5">
        <f ca="1">IFERROR(__xludf.DUMMYFUNCTION("IMPORTRANGE(""https://docs.google.com/spreadsheets/d/1rOGZhKHVnDGFqGTO7UNOJSkSJyQwVuEb2-yhWQit7lw/edit?gid=1253773396#gid=1253773396"", address(row($D37),column($D37),,,""PP-M""))"),20)</f>
        <v>20</v>
      </c>
      <c r="Q39" s="8">
        <f t="shared" ca="1" si="8"/>
        <v>83.333333333333343</v>
      </c>
      <c r="R39" s="5">
        <f ca="1">IFERROR(__xludf.DUMMYFUNCTION("IMPORTRANGE(""https://docs.google.com/spreadsheets/d/1rOGZhKHVnDGFqGTO7UNOJSkSJyQwVuEb2-yhWQit7lw/edit?gid=1188725859#gid=1188725859"", address(row($D37),column($D37),,,""NPTEL-M""))"),28)</f>
        <v>28</v>
      </c>
      <c r="S39" s="5">
        <f t="shared" ca="1" si="9"/>
        <v>73.68421052631578</v>
      </c>
      <c r="T39" s="6">
        <f ca="1">IFERROR(__xludf.DUMMYFUNCTION("IMPORTRANGE(""https://docs.google.com/spreadsheets/d/1rOGZhKHVnDGFqGTO7UNOJSkSJyQwVuEb2-yhWQit7lw/edit?gid=832656518#gid=832656518"", address(row($D37),column($D37),,,""CRT-M""))"),70)</f>
        <v>70</v>
      </c>
      <c r="U39" s="8">
        <f t="shared" ca="1" si="10"/>
        <v>76.923076923076934</v>
      </c>
      <c r="V39" s="6">
        <f t="shared" ca="1" si="0"/>
        <v>296</v>
      </c>
      <c r="W39" s="4">
        <f t="shared" ca="1" si="11"/>
        <v>70</v>
      </c>
      <c r="X39" s="4">
        <v>0</v>
      </c>
      <c r="Y39" s="4">
        <v>0</v>
      </c>
      <c r="Z39" s="4">
        <f t="shared" ca="1" si="1"/>
        <v>296</v>
      </c>
      <c r="AA39" s="10">
        <f t="shared" ca="1" si="12"/>
        <v>70</v>
      </c>
    </row>
    <row r="40" spans="1:27" ht="15.85" customHeight="1" x14ac:dyDescent="0.3">
      <c r="A40" s="8">
        <v>35</v>
      </c>
      <c r="B40" s="11" t="s">
        <v>91</v>
      </c>
      <c r="C40" s="11" t="s">
        <v>92</v>
      </c>
      <c r="D40" s="5">
        <f ca="1">IFERROR(__xludf.DUMMYFUNCTION("IMPORTRANGE(""https://docs.google.com/spreadsheets/d/1rOGZhKHVnDGFqGTO7UNOJSkSJyQwVuEb2-yhWQit7lw/edit?gid=872795839#gid=872795839"", address(row($D38),column($D38),,,""DM&amp;GT-M""))"),27)</f>
        <v>27</v>
      </c>
      <c r="E40" s="8">
        <f t="shared" ca="1" si="2"/>
        <v>75</v>
      </c>
      <c r="F40" s="5">
        <f ca="1">IFERROR(__xludf.DUMMYFUNCTION("IMPORTRANGE(""https://docs.google.com/spreadsheets/d/1rOGZhKHVnDGFqGTO7UNOJSkSJyQwVuEb2-yhWQit7lw/edit?gid=659871210#gid=659871210"", address(row($D38),column($D38),,,""UHV-M""))"),24)</f>
        <v>24</v>
      </c>
      <c r="G40" s="8">
        <f t="shared" ca="1" si="3"/>
        <v>75</v>
      </c>
      <c r="H40" s="5">
        <f ca="1">IFERROR(__xludf.DUMMYFUNCTION("IMPORTRANGE(""https://docs.google.com/spreadsheets/d/1rOGZhKHVnDGFqGTO7UNOJSkSJyQwVuEb2-yhWQit7lw/edit?gid=1831678671#gid=1831678671"", address(row($D38),column($D38),,,""DL&amp;CO-M""))"),26)</f>
        <v>26</v>
      </c>
      <c r="I40" s="8">
        <f t="shared" ca="1" si="4"/>
        <v>65</v>
      </c>
      <c r="J40" s="5">
        <f ca="1">IFERROR(__xludf.DUMMYFUNCTION("IMPORTRANGE(""https://docs.google.com/spreadsheets/d/1rOGZhKHVnDGFqGTO7UNOJSkSJyQwVuEb2-yhWQit7lw/edit?gid=1967609937#gid=1967609937"", address(row($D38),column($D38),,,""ADSA-M""))"),40)</f>
        <v>40</v>
      </c>
      <c r="K40" s="8">
        <f t="shared" ca="1" si="5"/>
        <v>60.606060606060609</v>
      </c>
      <c r="L40" s="5">
        <f ca="1">IFERROR(__xludf.DUMMYFUNCTION("IMPORTRANGE(""https://docs.google.com/spreadsheets/d/1rOGZhKHVnDGFqGTO7UNOJSkSJyQwVuEb2-yhWQit7lw/edit?gid=413111112#gid=413111112"", address(row($D38),column($D38),,,""JAVA-M""))"),40)</f>
        <v>40</v>
      </c>
      <c r="M40" s="8">
        <f t="shared" ca="1" si="6"/>
        <v>60.606060606060609</v>
      </c>
      <c r="N40" s="5">
        <f ca="1">IFERROR(__xludf.DUMMYFUNCTION("IMPORTRANGE(""https://docs.google.com/spreadsheets/d/1rOGZhKHVnDGFqGTO7UNOJSkSJyQwVuEb2-yhWQit7lw/edit?gid=48564407#gid=48564407"", address(row($D38),column($D38),,,""FOSS LAB-M""))"),15)</f>
        <v>15</v>
      </c>
      <c r="O40" s="8">
        <f t="shared" ca="1" si="7"/>
        <v>50</v>
      </c>
      <c r="P40" s="5">
        <f ca="1">IFERROR(__xludf.DUMMYFUNCTION("IMPORTRANGE(""https://docs.google.com/spreadsheets/d/1rOGZhKHVnDGFqGTO7UNOJSkSJyQwVuEb2-yhWQit7lw/edit?gid=1253773396#gid=1253773396"", address(row($D38),column($D38),,,""PP-M""))"),16)</f>
        <v>16</v>
      </c>
      <c r="Q40" s="8">
        <f t="shared" ca="1" si="8"/>
        <v>66.666666666666657</v>
      </c>
      <c r="R40" s="5">
        <f ca="1">IFERROR(__xludf.DUMMYFUNCTION("IMPORTRANGE(""https://docs.google.com/spreadsheets/d/1rOGZhKHVnDGFqGTO7UNOJSkSJyQwVuEb2-yhWQit7lw/edit?gid=1188725859#gid=1188725859"", address(row($D38),column($D38),,,""NPTEL-M""))"),28)</f>
        <v>28</v>
      </c>
      <c r="S40" s="5">
        <f t="shared" ca="1" si="9"/>
        <v>73.68421052631578</v>
      </c>
      <c r="T40" s="6">
        <f ca="1">IFERROR(__xludf.DUMMYFUNCTION("IMPORTRANGE(""https://docs.google.com/spreadsheets/d/1rOGZhKHVnDGFqGTO7UNOJSkSJyQwVuEb2-yhWQit7lw/edit?gid=832656518#gid=832656518"", address(row($D38),column($D38),,,""CRT-M""))"),74)</f>
        <v>74</v>
      </c>
      <c r="U40" s="8">
        <f t="shared" ca="1" si="10"/>
        <v>81.318681318681314</v>
      </c>
      <c r="V40" s="6">
        <f t="shared" ca="1" si="0"/>
        <v>290</v>
      </c>
      <c r="W40" s="4">
        <f t="shared" ca="1" si="11"/>
        <v>69</v>
      </c>
      <c r="X40" s="4">
        <v>0</v>
      </c>
      <c r="Y40" s="4">
        <v>0</v>
      </c>
      <c r="Z40" s="4">
        <f t="shared" ca="1" si="1"/>
        <v>290</v>
      </c>
      <c r="AA40" s="10">
        <f t="shared" ca="1" si="12"/>
        <v>69</v>
      </c>
    </row>
    <row r="41" spans="1:27" ht="15.85" customHeight="1" x14ac:dyDescent="0.3">
      <c r="A41" s="8">
        <v>36</v>
      </c>
      <c r="B41" s="11" t="s">
        <v>93</v>
      </c>
      <c r="C41" s="11" t="s">
        <v>94</v>
      </c>
      <c r="D41" s="5">
        <f ca="1">IFERROR(__xludf.DUMMYFUNCTION("IMPORTRANGE(""https://docs.google.com/spreadsheets/d/1rOGZhKHVnDGFqGTO7UNOJSkSJyQwVuEb2-yhWQit7lw/edit?gid=872795839#gid=872795839"", address(row($D39),column($D39),,,""DM&amp;GT-M""))"),30)</f>
        <v>30</v>
      </c>
      <c r="E41" s="8">
        <f t="shared" ca="1" si="2"/>
        <v>83.333333333333343</v>
      </c>
      <c r="F41" s="5">
        <f ca="1">IFERROR(__xludf.DUMMYFUNCTION("IMPORTRANGE(""https://docs.google.com/spreadsheets/d/1rOGZhKHVnDGFqGTO7UNOJSkSJyQwVuEb2-yhWQit7lw/edit?gid=659871210#gid=659871210"", address(row($D39),column($D39),,,""UHV-M""))"),25)</f>
        <v>25</v>
      </c>
      <c r="G41" s="8">
        <f t="shared" ca="1" si="3"/>
        <v>78.125</v>
      </c>
      <c r="H41" s="5">
        <f ca="1">IFERROR(__xludf.DUMMYFUNCTION("IMPORTRANGE(""https://docs.google.com/spreadsheets/d/1rOGZhKHVnDGFqGTO7UNOJSkSJyQwVuEb2-yhWQit7lw/edit?gid=1831678671#gid=1831678671"", address(row($D39),column($D39),,,""DL&amp;CO-M""))"),32)</f>
        <v>32</v>
      </c>
      <c r="I41" s="8">
        <f t="shared" ca="1" si="4"/>
        <v>80</v>
      </c>
      <c r="J41" s="5">
        <f ca="1">IFERROR(__xludf.DUMMYFUNCTION("IMPORTRANGE(""https://docs.google.com/spreadsheets/d/1rOGZhKHVnDGFqGTO7UNOJSkSJyQwVuEb2-yhWQit7lw/edit?gid=1967609937#gid=1967609937"", address(row($D39),column($D39),,,""ADSA-M""))"),48)</f>
        <v>48</v>
      </c>
      <c r="K41" s="8">
        <f t="shared" ca="1" si="5"/>
        <v>72.727272727272734</v>
      </c>
      <c r="L41" s="5">
        <f ca="1">IFERROR(__xludf.DUMMYFUNCTION("IMPORTRANGE(""https://docs.google.com/spreadsheets/d/1rOGZhKHVnDGFqGTO7UNOJSkSJyQwVuEb2-yhWQit7lw/edit?gid=413111112#gid=413111112"", address(row($D39),column($D39),,,""JAVA-M""))"),47)</f>
        <v>47</v>
      </c>
      <c r="M41" s="8">
        <f t="shared" ca="1" si="6"/>
        <v>71.212121212121218</v>
      </c>
      <c r="N41" s="5">
        <f ca="1">IFERROR(__xludf.DUMMYFUNCTION("IMPORTRANGE(""https://docs.google.com/spreadsheets/d/1rOGZhKHVnDGFqGTO7UNOJSkSJyQwVuEb2-yhWQit7lw/edit?gid=48564407#gid=48564407"", address(row($D39),column($D39),,,""FOSS LAB-M""))"),21)</f>
        <v>21</v>
      </c>
      <c r="O41" s="8">
        <f t="shared" ca="1" si="7"/>
        <v>70</v>
      </c>
      <c r="P41" s="5">
        <f ca="1">IFERROR(__xludf.DUMMYFUNCTION("IMPORTRANGE(""https://docs.google.com/spreadsheets/d/1rOGZhKHVnDGFqGTO7UNOJSkSJyQwVuEb2-yhWQit7lw/edit?gid=1253773396#gid=1253773396"", address(row($D39),column($D39),,,""PP-M""))"),20)</f>
        <v>20</v>
      </c>
      <c r="Q41" s="8">
        <f t="shared" ca="1" si="8"/>
        <v>83.333333333333343</v>
      </c>
      <c r="R41" s="5">
        <f ca="1">IFERROR(__xludf.DUMMYFUNCTION("IMPORTRANGE(""https://docs.google.com/spreadsheets/d/1rOGZhKHVnDGFqGTO7UNOJSkSJyQwVuEb2-yhWQit7lw/edit?gid=1188725859#gid=1188725859"", address(row($D39),column($D39),,,""NPTEL-M""))"),30)</f>
        <v>30</v>
      </c>
      <c r="S41" s="5">
        <f t="shared" ca="1" si="9"/>
        <v>78.94736842105263</v>
      </c>
      <c r="T41" s="6">
        <f ca="1">IFERROR(__xludf.DUMMYFUNCTION("IMPORTRANGE(""https://docs.google.com/spreadsheets/d/1rOGZhKHVnDGFqGTO7UNOJSkSJyQwVuEb2-yhWQit7lw/edit?gid=832656518#gid=832656518"", address(row($D39),column($D39),,,""CRT-M""))"),77)</f>
        <v>77</v>
      </c>
      <c r="U41" s="8">
        <f t="shared" ca="1" si="10"/>
        <v>84.615384615384613</v>
      </c>
      <c r="V41" s="6">
        <f t="shared" ca="1" si="0"/>
        <v>330</v>
      </c>
      <c r="W41" s="4">
        <f t="shared" ca="1" si="11"/>
        <v>78</v>
      </c>
      <c r="X41" s="4">
        <v>0</v>
      </c>
      <c r="Y41" s="4">
        <v>0</v>
      </c>
      <c r="Z41" s="4">
        <f t="shared" ca="1" si="1"/>
        <v>330</v>
      </c>
      <c r="AA41" s="10">
        <f t="shared" ca="1" si="12"/>
        <v>78</v>
      </c>
    </row>
    <row r="42" spans="1:27" ht="15.85" customHeight="1" x14ac:dyDescent="0.3">
      <c r="A42" s="8">
        <v>37</v>
      </c>
      <c r="B42" s="11" t="s">
        <v>95</v>
      </c>
      <c r="C42" s="11" t="s">
        <v>96</v>
      </c>
      <c r="D42" s="5">
        <f ca="1">IFERROR(__xludf.DUMMYFUNCTION("IMPORTRANGE(""https://docs.google.com/spreadsheets/d/1rOGZhKHVnDGFqGTO7UNOJSkSJyQwVuEb2-yhWQit7lw/edit?gid=872795839#gid=872795839"", address(row($D40),column($D40),,,""DM&amp;GT-M""))"),25)</f>
        <v>25</v>
      </c>
      <c r="E42" s="8">
        <f t="shared" ca="1" si="2"/>
        <v>69.444444444444443</v>
      </c>
      <c r="F42" s="5">
        <f ca="1">IFERROR(__xludf.DUMMYFUNCTION("IMPORTRANGE(""https://docs.google.com/spreadsheets/d/1rOGZhKHVnDGFqGTO7UNOJSkSJyQwVuEb2-yhWQit7lw/edit?gid=659871210#gid=659871210"", address(row($D40),column($D40),,,""UHV-M""))"),23)</f>
        <v>23</v>
      </c>
      <c r="G42" s="8">
        <f t="shared" ca="1" si="3"/>
        <v>71.875</v>
      </c>
      <c r="H42" s="5">
        <f ca="1">IFERROR(__xludf.DUMMYFUNCTION("IMPORTRANGE(""https://docs.google.com/spreadsheets/d/1rOGZhKHVnDGFqGTO7UNOJSkSJyQwVuEb2-yhWQit7lw/edit?gid=1831678671#gid=1831678671"", address(row($D40),column($D40),,,""DL&amp;CO-M""))"),26)</f>
        <v>26</v>
      </c>
      <c r="I42" s="8">
        <f t="shared" ca="1" si="4"/>
        <v>65</v>
      </c>
      <c r="J42" s="5">
        <f ca="1">IFERROR(__xludf.DUMMYFUNCTION("IMPORTRANGE(""https://docs.google.com/spreadsheets/d/1rOGZhKHVnDGFqGTO7UNOJSkSJyQwVuEb2-yhWQit7lw/edit?gid=1967609937#gid=1967609937"", address(row($D40),column($D40),,,""ADSA-M""))"),45)</f>
        <v>45</v>
      </c>
      <c r="K42" s="8">
        <f t="shared" ca="1" si="5"/>
        <v>68.181818181818173</v>
      </c>
      <c r="L42" s="5">
        <f ca="1">IFERROR(__xludf.DUMMYFUNCTION("IMPORTRANGE(""https://docs.google.com/spreadsheets/d/1rOGZhKHVnDGFqGTO7UNOJSkSJyQwVuEb2-yhWQit7lw/edit?gid=413111112#gid=413111112"", address(row($D40),column($D40),,,""JAVA-M""))"),49)</f>
        <v>49</v>
      </c>
      <c r="M42" s="8">
        <f t="shared" ca="1" si="6"/>
        <v>74.242424242424249</v>
      </c>
      <c r="N42" s="5">
        <f ca="1">IFERROR(__xludf.DUMMYFUNCTION("IMPORTRANGE(""https://docs.google.com/spreadsheets/d/1rOGZhKHVnDGFqGTO7UNOJSkSJyQwVuEb2-yhWQit7lw/edit?gid=48564407#gid=48564407"", address(row($D40),column($D40),,,""FOSS LAB-M""))"),17)</f>
        <v>17</v>
      </c>
      <c r="O42" s="8">
        <f t="shared" ca="1" si="7"/>
        <v>56.666666666666664</v>
      </c>
      <c r="P42" s="5">
        <f ca="1">IFERROR(__xludf.DUMMYFUNCTION("IMPORTRANGE(""https://docs.google.com/spreadsheets/d/1rOGZhKHVnDGFqGTO7UNOJSkSJyQwVuEb2-yhWQit7lw/edit?gid=1253773396#gid=1253773396"", address(row($D40),column($D40),,,""PP-M""))"),20)</f>
        <v>20</v>
      </c>
      <c r="Q42" s="8">
        <f t="shared" ca="1" si="8"/>
        <v>83.333333333333343</v>
      </c>
      <c r="R42" s="5">
        <f ca="1">IFERROR(__xludf.DUMMYFUNCTION("IMPORTRANGE(""https://docs.google.com/spreadsheets/d/1rOGZhKHVnDGFqGTO7UNOJSkSJyQwVuEb2-yhWQit7lw/edit?gid=1188725859#gid=1188725859"", address(row($D40),column($D40),,,""NPTEL-M""))"),28)</f>
        <v>28</v>
      </c>
      <c r="S42" s="5">
        <f t="shared" ca="1" si="9"/>
        <v>73.68421052631578</v>
      </c>
      <c r="T42" s="6">
        <f ca="1">IFERROR(__xludf.DUMMYFUNCTION("IMPORTRANGE(""https://docs.google.com/spreadsheets/d/1rOGZhKHVnDGFqGTO7UNOJSkSJyQwVuEb2-yhWQit7lw/edit?gid=832656518#gid=832656518"", address(row($D40),column($D40),,,""CRT-M""))"),63)</f>
        <v>63</v>
      </c>
      <c r="U42" s="8">
        <f t="shared" ca="1" si="10"/>
        <v>69.230769230769226</v>
      </c>
      <c r="V42" s="6">
        <f t="shared" ca="1" si="0"/>
        <v>296</v>
      </c>
      <c r="W42" s="4">
        <f t="shared" ca="1" si="11"/>
        <v>70</v>
      </c>
      <c r="X42" s="4">
        <v>7</v>
      </c>
      <c r="Y42" s="4">
        <v>0</v>
      </c>
      <c r="Z42" s="4">
        <f t="shared" ca="1" si="1"/>
        <v>303</v>
      </c>
      <c r="AA42" s="10">
        <f t="shared" ca="1" si="12"/>
        <v>72</v>
      </c>
    </row>
    <row r="43" spans="1:27" ht="15.85" customHeight="1" x14ac:dyDescent="0.3">
      <c r="A43" s="8">
        <v>38</v>
      </c>
      <c r="B43" s="11" t="s">
        <v>97</v>
      </c>
      <c r="C43" s="11" t="s">
        <v>98</v>
      </c>
      <c r="D43" s="5">
        <f ca="1">IFERROR(__xludf.DUMMYFUNCTION("IMPORTRANGE(""https://docs.google.com/spreadsheets/d/1rOGZhKHVnDGFqGTO7UNOJSkSJyQwVuEb2-yhWQit7lw/edit?gid=872795839#gid=872795839"", address(row($D41),column($D41),,,""DM&amp;GT-M""))"),25)</f>
        <v>25</v>
      </c>
      <c r="E43" s="8">
        <f t="shared" ca="1" si="2"/>
        <v>69.444444444444443</v>
      </c>
      <c r="F43" s="5">
        <f ca="1">IFERROR(__xludf.DUMMYFUNCTION("IMPORTRANGE(""https://docs.google.com/spreadsheets/d/1rOGZhKHVnDGFqGTO7UNOJSkSJyQwVuEb2-yhWQit7lw/edit?gid=659871210#gid=659871210"", address(row($D41),column($D41),,,""UHV-M""))"),24)</f>
        <v>24</v>
      </c>
      <c r="G43" s="8">
        <f t="shared" ca="1" si="3"/>
        <v>75</v>
      </c>
      <c r="H43" s="5">
        <f ca="1">IFERROR(__xludf.DUMMYFUNCTION("IMPORTRANGE(""https://docs.google.com/spreadsheets/d/1rOGZhKHVnDGFqGTO7UNOJSkSJyQwVuEb2-yhWQit7lw/edit?gid=1831678671#gid=1831678671"", address(row($D41),column($D41),,,""DL&amp;CO-M""))"),27)</f>
        <v>27</v>
      </c>
      <c r="I43" s="8">
        <f t="shared" ca="1" si="4"/>
        <v>67.5</v>
      </c>
      <c r="J43" s="5">
        <f ca="1">IFERROR(__xludf.DUMMYFUNCTION("IMPORTRANGE(""https://docs.google.com/spreadsheets/d/1rOGZhKHVnDGFqGTO7UNOJSkSJyQwVuEb2-yhWQit7lw/edit?gid=1967609937#gid=1967609937"", address(row($D41),column($D41),,,""ADSA-M""))"),49)</f>
        <v>49</v>
      </c>
      <c r="K43" s="8">
        <f t="shared" ca="1" si="5"/>
        <v>74.242424242424249</v>
      </c>
      <c r="L43" s="5">
        <f ca="1">IFERROR(__xludf.DUMMYFUNCTION("IMPORTRANGE(""https://docs.google.com/spreadsheets/d/1rOGZhKHVnDGFqGTO7UNOJSkSJyQwVuEb2-yhWQit7lw/edit?gid=413111112#gid=413111112"", address(row($D41),column($D41),,,""JAVA-M""))"),45)</f>
        <v>45</v>
      </c>
      <c r="M43" s="8">
        <f t="shared" ca="1" si="6"/>
        <v>68.181818181818173</v>
      </c>
      <c r="N43" s="5">
        <f ca="1">IFERROR(__xludf.DUMMYFUNCTION("IMPORTRANGE(""https://docs.google.com/spreadsheets/d/1rOGZhKHVnDGFqGTO7UNOJSkSJyQwVuEb2-yhWQit7lw/edit?gid=48564407#gid=48564407"", address(row($D41),column($D41),,,""FOSS LAB-M""))"),19)</f>
        <v>19</v>
      </c>
      <c r="O43" s="8">
        <f t="shared" ca="1" si="7"/>
        <v>63.333333333333329</v>
      </c>
      <c r="P43" s="5">
        <f ca="1">IFERROR(__xludf.DUMMYFUNCTION("IMPORTRANGE(""https://docs.google.com/spreadsheets/d/1rOGZhKHVnDGFqGTO7UNOJSkSJyQwVuEb2-yhWQit7lw/edit?gid=1253773396#gid=1253773396"", address(row($D41),column($D41),,,""PP-M""))"),18)</f>
        <v>18</v>
      </c>
      <c r="Q43" s="8">
        <f t="shared" ca="1" si="8"/>
        <v>75</v>
      </c>
      <c r="R43" s="5">
        <f ca="1">IFERROR(__xludf.DUMMYFUNCTION("IMPORTRANGE(""https://docs.google.com/spreadsheets/d/1rOGZhKHVnDGFqGTO7UNOJSkSJyQwVuEb2-yhWQit7lw/edit?gid=1188725859#gid=1188725859"", address(row($D41),column($D41),,,""NPTEL-M""))"),26)</f>
        <v>26</v>
      </c>
      <c r="S43" s="5">
        <f t="shared" ca="1" si="9"/>
        <v>68.421052631578945</v>
      </c>
      <c r="T43" s="6">
        <f ca="1">IFERROR(__xludf.DUMMYFUNCTION("IMPORTRANGE(""https://docs.google.com/spreadsheets/d/1rOGZhKHVnDGFqGTO7UNOJSkSJyQwVuEb2-yhWQit7lw/edit?gid=832656518#gid=832656518"", address(row($D41),column($D41),,,""CRT-M""))"),70)</f>
        <v>70</v>
      </c>
      <c r="U43" s="8">
        <f t="shared" ca="1" si="10"/>
        <v>76.923076923076934</v>
      </c>
      <c r="V43" s="6">
        <f t="shared" ca="1" si="0"/>
        <v>303</v>
      </c>
      <c r="W43" s="4">
        <f t="shared" ca="1" si="11"/>
        <v>72</v>
      </c>
      <c r="X43" s="4">
        <v>0</v>
      </c>
      <c r="Y43" s="4">
        <v>0</v>
      </c>
      <c r="Z43" s="4">
        <f t="shared" ca="1" si="1"/>
        <v>303</v>
      </c>
      <c r="AA43" s="10">
        <f t="shared" ca="1" si="12"/>
        <v>72</v>
      </c>
    </row>
    <row r="44" spans="1:27" ht="15.85" customHeight="1" x14ac:dyDescent="0.3">
      <c r="A44" s="8">
        <v>39</v>
      </c>
      <c r="B44" s="11" t="s">
        <v>99</v>
      </c>
      <c r="C44" s="11" t="s">
        <v>100</v>
      </c>
      <c r="D44" s="5">
        <f ca="1">IFERROR(__xludf.DUMMYFUNCTION("IMPORTRANGE(""https://docs.google.com/spreadsheets/d/1rOGZhKHVnDGFqGTO7UNOJSkSJyQwVuEb2-yhWQit7lw/edit?gid=872795839#gid=872795839"", address(row($D42),column($D42),,,""DM&amp;GT-M""))"),31)</f>
        <v>31</v>
      </c>
      <c r="E44" s="8">
        <f t="shared" ca="1" si="2"/>
        <v>86.111111111111114</v>
      </c>
      <c r="F44" s="5">
        <f ca="1">IFERROR(__xludf.DUMMYFUNCTION("IMPORTRANGE(""https://docs.google.com/spreadsheets/d/1rOGZhKHVnDGFqGTO7UNOJSkSJyQwVuEb2-yhWQit7lw/edit?gid=659871210#gid=659871210"", address(row($D42),column($D42),,,""UHV-M""))"),29)</f>
        <v>29</v>
      </c>
      <c r="G44" s="8">
        <f t="shared" ca="1" si="3"/>
        <v>90.625</v>
      </c>
      <c r="H44" s="5">
        <f ca="1">IFERROR(__xludf.DUMMYFUNCTION("IMPORTRANGE(""https://docs.google.com/spreadsheets/d/1rOGZhKHVnDGFqGTO7UNOJSkSJyQwVuEb2-yhWQit7lw/edit?gid=1831678671#gid=1831678671"", address(row($D42),column($D42),,,""DL&amp;CO-M""))"),30)</f>
        <v>30</v>
      </c>
      <c r="I44" s="8">
        <f t="shared" ca="1" si="4"/>
        <v>75</v>
      </c>
      <c r="J44" s="5">
        <f ca="1">IFERROR(__xludf.DUMMYFUNCTION("IMPORTRANGE(""https://docs.google.com/spreadsheets/d/1rOGZhKHVnDGFqGTO7UNOJSkSJyQwVuEb2-yhWQit7lw/edit?gid=1967609937#gid=1967609937"", address(row($D42),column($D42),,,""ADSA-M""))"),54)</f>
        <v>54</v>
      </c>
      <c r="K44" s="8">
        <f t="shared" ca="1" si="5"/>
        <v>81.818181818181827</v>
      </c>
      <c r="L44" s="5">
        <f ca="1">IFERROR(__xludf.DUMMYFUNCTION("IMPORTRANGE(""https://docs.google.com/spreadsheets/d/1rOGZhKHVnDGFqGTO7UNOJSkSJyQwVuEb2-yhWQit7lw/edit?gid=413111112#gid=413111112"", address(row($D42),column($D42),,,""JAVA-M""))"),48)</f>
        <v>48</v>
      </c>
      <c r="M44" s="8">
        <f t="shared" ca="1" si="6"/>
        <v>72.727272727272734</v>
      </c>
      <c r="N44" s="5">
        <f ca="1">IFERROR(__xludf.DUMMYFUNCTION("IMPORTRANGE(""https://docs.google.com/spreadsheets/d/1rOGZhKHVnDGFqGTO7UNOJSkSJyQwVuEb2-yhWQit7lw/edit?gid=48564407#gid=48564407"", address(row($D42),column($D42),,,""FOSS LAB-M""))"),23)</f>
        <v>23</v>
      </c>
      <c r="O44" s="8">
        <f t="shared" ca="1" si="7"/>
        <v>76.666666666666671</v>
      </c>
      <c r="P44" s="5">
        <f ca="1">IFERROR(__xludf.DUMMYFUNCTION("IMPORTRANGE(""https://docs.google.com/spreadsheets/d/1rOGZhKHVnDGFqGTO7UNOJSkSJyQwVuEb2-yhWQit7lw/edit?gid=1253773396#gid=1253773396"", address(row($D42),column($D42),,,""PP-M""))"),22)</f>
        <v>22</v>
      </c>
      <c r="Q44" s="8">
        <f t="shared" ca="1" si="8"/>
        <v>91.666666666666657</v>
      </c>
      <c r="R44" s="5">
        <f ca="1">IFERROR(__xludf.DUMMYFUNCTION("IMPORTRANGE(""https://docs.google.com/spreadsheets/d/1rOGZhKHVnDGFqGTO7UNOJSkSJyQwVuEb2-yhWQit7lw/edit?gid=1188725859#gid=1188725859"", address(row($D42),column($D42),,,""NPTEL-M""))"),32)</f>
        <v>32</v>
      </c>
      <c r="S44" s="5">
        <f t="shared" ca="1" si="9"/>
        <v>84.210526315789465</v>
      </c>
      <c r="T44" s="6">
        <f ca="1">IFERROR(__xludf.DUMMYFUNCTION("IMPORTRANGE(""https://docs.google.com/spreadsheets/d/1rOGZhKHVnDGFqGTO7UNOJSkSJyQwVuEb2-yhWQit7lw/edit?gid=832656518#gid=832656518"", address(row($D42),column($D42),,,""CRT-M""))"),77)</f>
        <v>77</v>
      </c>
      <c r="U44" s="8">
        <f t="shared" ca="1" si="10"/>
        <v>84.615384615384613</v>
      </c>
      <c r="V44" s="6">
        <f t="shared" ca="1" si="0"/>
        <v>346</v>
      </c>
      <c r="W44" s="4">
        <f t="shared" ca="1" si="11"/>
        <v>82</v>
      </c>
      <c r="X44" s="4">
        <v>7</v>
      </c>
      <c r="Y44" s="4">
        <v>0</v>
      </c>
      <c r="Z44" s="4">
        <f t="shared" ca="1" si="1"/>
        <v>353</v>
      </c>
      <c r="AA44" s="10">
        <f t="shared" ca="1" si="12"/>
        <v>83</v>
      </c>
    </row>
    <row r="45" spans="1:27" ht="15.85" customHeight="1" x14ac:dyDescent="0.3">
      <c r="A45" s="8">
        <v>40</v>
      </c>
      <c r="B45" s="11" t="s">
        <v>101</v>
      </c>
      <c r="C45" s="11" t="s">
        <v>102</v>
      </c>
      <c r="D45" s="5">
        <f ca="1">IFERROR(__xludf.DUMMYFUNCTION("IMPORTRANGE(""https://docs.google.com/spreadsheets/d/1rOGZhKHVnDGFqGTO7UNOJSkSJyQwVuEb2-yhWQit7lw/edit?gid=872795839#gid=872795839"", address(row($D43),column($D43),,,""DM&amp;GT-M""))"),27)</f>
        <v>27</v>
      </c>
      <c r="E45" s="8">
        <f t="shared" ca="1" si="2"/>
        <v>75</v>
      </c>
      <c r="F45" s="5">
        <f ca="1">IFERROR(__xludf.DUMMYFUNCTION("IMPORTRANGE(""https://docs.google.com/spreadsheets/d/1rOGZhKHVnDGFqGTO7UNOJSkSJyQwVuEb2-yhWQit7lw/edit?gid=659871210#gid=659871210"", address(row($D43),column($D43),,,""UHV-M""))"),23)</f>
        <v>23</v>
      </c>
      <c r="G45" s="8">
        <f t="shared" ca="1" si="3"/>
        <v>71.875</v>
      </c>
      <c r="H45" s="5">
        <f ca="1">IFERROR(__xludf.DUMMYFUNCTION("IMPORTRANGE(""https://docs.google.com/spreadsheets/d/1rOGZhKHVnDGFqGTO7UNOJSkSJyQwVuEb2-yhWQit7lw/edit?gid=1831678671#gid=1831678671"", address(row($D43),column($D43),,,""DL&amp;CO-M""))"),28)</f>
        <v>28</v>
      </c>
      <c r="I45" s="8">
        <f t="shared" ca="1" si="4"/>
        <v>70</v>
      </c>
      <c r="J45" s="5">
        <f ca="1">IFERROR(__xludf.DUMMYFUNCTION("IMPORTRANGE(""https://docs.google.com/spreadsheets/d/1rOGZhKHVnDGFqGTO7UNOJSkSJyQwVuEb2-yhWQit7lw/edit?gid=1967609937#gid=1967609937"", address(row($D43),column($D43),,,""ADSA-M""))"),38)</f>
        <v>38</v>
      </c>
      <c r="K45" s="8">
        <f t="shared" ca="1" si="5"/>
        <v>57.575757575757578</v>
      </c>
      <c r="L45" s="5">
        <f ca="1">IFERROR(__xludf.DUMMYFUNCTION("IMPORTRANGE(""https://docs.google.com/spreadsheets/d/1rOGZhKHVnDGFqGTO7UNOJSkSJyQwVuEb2-yhWQit7lw/edit?gid=413111112#gid=413111112"", address(row($D43),column($D43),,,""JAVA-M""))"),45)</f>
        <v>45</v>
      </c>
      <c r="M45" s="8">
        <f t="shared" ca="1" si="6"/>
        <v>68.181818181818173</v>
      </c>
      <c r="N45" s="5">
        <f ca="1">IFERROR(__xludf.DUMMYFUNCTION("IMPORTRANGE(""https://docs.google.com/spreadsheets/d/1rOGZhKHVnDGFqGTO7UNOJSkSJyQwVuEb2-yhWQit7lw/edit?gid=48564407#gid=48564407"", address(row($D43),column($D43),,,""FOSS LAB-M""))"),18)</f>
        <v>18</v>
      </c>
      <c r="O45" s="8">
        <f t="shared" ca="1" si="7"/>
        <v>60</v>
      </c>
      <c r="P45" s="5">
        <f ca="1">IFERROR(__xludf.DUMMYFUNCTION("IMPORTRANGE(""https://docs.google.com/spreadsheets/d/1rOGZhKHVnDGFqGTO7UNOJSkSJyQwVuEb2-yhWQit7lw/edit?gid=1253773396#gid=1253773396"", address(row($D43),column($D43),,,""PP-M""))"),16)</f>
        <v>16</v>
      </c>
      <c r="Q45" s="8">
        <f t="shared" ca="1" si="8"/>
        <v>66.666666666666657</v>
      </c>
      <c r="R45" s="5">
        <f ca="1">IFERROR(__xludf.DUMMYFUNCTION("IMPORTRANGE(""https://docs.google.com/spreadsheets/d/1rOGZhKHVnDGFqGTO7UNOJSkSJyQwVuEb2-yhWQit7lw/edit?gid=1188725859#gid=1188725859"", address(row($D43),column($D43),,,""NPTEL-M""))"),26)</f>
        <v>26</v>
      </c>
      <c r="S45" s="5">
        <f t="shared" ca="1" si="9"/>
        <v>68.421052631578945</v>
      </c>
      <c r="T45" s="6">
        <f ca="1">IFERROR(__xludf.DUMMYFUNCTION("IMPORTRANGE(""https://docs.google.com/spreadsheets/d/1rOGZhKHVnDGFqGTO7UNOJSkSJyQwVuEb2-yhWQit7lw/edit?gid=832656518#gid=832656518"", address(row($D43),column($D43),,,""CRT-M""))"),84)</f>
        <v>84</v>
      </c>
      <c r="U45" s="8">
        <f t="shared" ca="1" si="10"/>
        <v>92.307692307692307</v>
      </c>
      <c r="V45" s="6">
        <f t="shared" ca="1" si="0"/>
        <v>305</v>
      </c>
      <c r="W45" s="4">
        <f t="shared" ca="1" si="11"/>
        <v>72</v>
      </c>
      <c r="X45" s="4">
        <v>0</v>
      </c>
      <c r="Y45" s="4">
        <v>0</v>
      </c>
      <c r="Z45" s="4">
        <f t="shared" ca="1" si="1"/>
        <v>305</v>
      </c>
      <c r="AA45" s="10">
        <f t="shared" ca="1" si="12"/>
        <v>72</v>
      </c>
    </row>
    <row r="46" spans="1:27" ht="15.85" customHeight="1" x14ac:dyDescent="0.3">
      <c r="A46" s="8">
        <v>41</v>
      </c>
      <c r="B46" s="11" t="s">
        <v>103</v>
      </c>
      <c r="C46" s="11" t="s">
        <v>104</v>
      </c>
      <c r="D46" s="5">
        <f ca="1">IFERROR(__xludf.DUMMYFUNCTION("IMPORTRANGE(""https://docs.google.com/spreadsheets/d/1rOGZhKHVnDGFqGTO7UNOJSkSJyQwVuEb2-yhWQit7lw/edit?gid=872795839#gid=872795839"", address(row($D44),column($D44),,,""DM&amp;GT-M""))"),24)</f>
        <v>24</v>
      </c>
      <c r="E46" s="8">
        <f t="shared" ca="1" si="2"/>
        <v>66.666666666666657</v>
      </c>
      <c r="F46" s="5">
        <f ca="1">IFERROR(__xludf.DUMMYFUNCTION("IMPORTRANGE(""https://docs.google.com/spreadsheets/d/1rOGZhKHVnDGFqGTO7UNOJSkSJyQwVuEb2-yhWQit7lw/edit?gid=659871210#gid=659871210"", address(row($D44),column($D44),,,""UHV-M""))"),21)</f>
        <v>21</v>
      </c>
      <c r="G46" s="8">
        <f t="shared" ca="1" si="3"/>
        <v>65.625</v>
      </c>
      <c r="H46" s="5">
        <f ca="1">IFERROR(__xludf.DUMMYFUNCTION("IMPORTRANGE(""https://docs.google.com/spreadsheets/d/1rOGZhKHVnDGFqGTO7UNOJSkSJyQwVuEb2-yhWQit7lw/edit?gid=1831678671#gid=1831678671"", address(row($D44),column($D44),,,""DL&amp;CO-M""))"),24)</f>
        <v>24</v>
      </c>
      <c r="I46" s="8">
        <f t="shared" ca="1" si="4"/>
        <v>60</v>
      </c>
      <c r="J46" s="5">
        <f ca="1">IFERROR(__xludf.DUMMYFUNCTION("IMPORTRANGE(""https://docs.google.com/spreadsheets/d/1rOGZhKHVnDGFqGTO7UNOJSkSJyQwVuEb2-yhWQit7lw/edit?gid=1967609937#gid=1967609937"", address(row($D44),column($D44),,,""ADSA-M""))"),36)</f>
        <v>36</v>
      </c>
      <c r="K46" s="8">
        <f t="shared" ca="1" si="5"/>
        <v>54.54545454545454</v>
      </c>
      <c r="L46" s="5">
        <f ca="1">IFERROR(__xludf.DUMMYFUNCTION("IMPORTRANGE(""https://docs.google.com/spreadsheets/d/1rOGZhKHVnDGFqGTO7UNOJSkSJyQwVuEb2-yhWQit7lw/edit?gid=413111112#gid=413111112"", address(row($D44),column($D44),,,""JAVA-M""))"),36)</f>
        <v>36</v>
      </c>
      <c r="M46" s="8">
        <f t="shared" ca="1" si="6"/>
        <v>54.54545454545454</v>
      </c>
      <c r="N46" s="5">
        <f ca="1">IFERROR(__xludf.DUMMYFUNCTION("IMPORTRANGE(""https://docs.google.com/spreadsheets/d/1rOGZhKHVnDGFqGTO7UNOJSkSJyQwVuEb2-yhWQit7lw/edit?gid=48564407#gid=48564407"", address(row($D44),column($D44),,,""FOSS LAB-M""))"),15)</f>
        <v>15</v>
      </c>
      <c r="O46" s="8">
        <f t="shared" ca="1" si="7"/>
        <v>50</v>
      </c>
      <c r="P46" s="5">
        <f ca="1">IFERROR(__xludf.DUMMYFUNCTION("IMPORTRANGE(""https://docs.google.com/spreadsheets/d/1rOGZhKHVnDGFqGTO7UNOJSkSJyQwVuEb2-yhWQit7lw/edit?gid=1253773396#gid=1253773396"", address(row($D44),column($D44),,,""PP-M""))"),18)</f>
        <v>18</v>
      </c>
      <c r="Q46" s="8">
        <f t="shared" ca="1" si="8"/>
        <v>75</v>
      </c>
      <c r="R46" s="5">
        <f ca="1">IFERROR(__xludf.DUMMYFUNCTION("IMPORTRANGE(""https://docs.google.com/spreadsheets/d/1rOGZhKHVnDGFqGTO7UNOJSkSJyQwVuEb2-yhWQit7lw/edit?gid=1188725859#gid=1188725859"", address(row($D44),column($D44),,,""NPTEL-M""))"),28)</f>
        <v>28</v>
      </c>
      <c r="S46" s="5">
        <f t="shared" ca="1" si="9"/>
        <v>73.68421052631578</v>
      </c>
      <c r="T46" s="6">
        <f ca="1">IFERROR(__xludf.DUMMYFUNCTION("IMPORTRANGE(""https://docs.google.com/spreadsheets/d/1rOGZhKHVnDGFqGTO7UNOJSkSJyQwVuEb2-yhWQit7lw/edit?gid=832656518#gid=832656518"", address(row($D44),column($D44),,,""CRT-M""))"),56)</f>
        <v>56</v>
      </c>
      <c r="U46" s="8">
        <f t="shared" ca="1" si="10"/>
        <v>61.53846153846154</v>
      </c>
      <c r="V46" s="6">
        <f t="shared" ca="1" si="0"/>
        <v>258</v>
      </c>
      <c r="W46" s="4">
        <f t="shared" ca="1" si="11"/>
        <v>61</v>
      </c>
      <c r="X46" s="4">
        <v>0</v>
      </c>
      <c r="Y46" s="4">
        <v>0</v>
      </c>
      <c r="Z46" s="4">
        <f t="shared" ca="1" si="1"/>
        <v>258</v>
      </c>
      <c r="AA46" s="10">
        <f t="shared" ca="1" si="12"/>
        <v>61</v>
      </c>
    </row>
    <row r="47" spans="1:27" ht="15.85" customHeight="1" x14ac:dyDescent="0.3">
      <c r="A47" s="8">
        <v>42</v>
      </c>
      <c r="B47" s="11" t="s">
        <v>105</v>
      </c>
      <c r="C47" s="11" t="s">
        <v>106</v>
      </c>
      <c r="D47" s="5">
        <f ca="1">IFERROR(__xludf.DUMMYFUNCTION("IMPORTRANGE(""https://docs.google.com/spreadsheets/d/1rOGZhKHVnDGFqGTO7UNOJSkSJyQwVuEb2-yhWQit7lw/edit?gid=872795839#gid=872795839"", address(row($D45),column($D45),,,""DM&amp;GT-M""))"),35)</f>
        <v>35</v>
      </c>
      <c r="E47" s="8">
        <f t="shared" ca="1" si="2"/>
        <v>97.222222222222214</v>
      </c>
      <c r="F47" s="5">
        <f ca="1">IFERROR(__xludf.DUMMYFUNCTION("IMPORTRANGE(""https://docs.google.com/spreadsheets/d/1rOGZhKHVnDGFqGTO7UNOJSkSJyQwVuEb2-yhWQit7lw/edit?gid=659871210#gid=659871210"", address(row($D45),column($D45),,,""UHV-M""))"),31)</f>
        <v>31</v>
      </c>
      <c r="G47" s="8">
        <f t="shared" ca="1" si="3"/>
        <v>96.875</v>
      </c>
      <c r="H47" s="5">
        <f ca="1">IFERROR(__xludf.DUMMYFUNCTION("IMPORTRANGE(""https://docs.google.com/spreadsheets/d/1rOGZhKHVnDGFqGTO7UNOJSkSJyQwVuEb2-yhWQit7lw/edit?gid=1831678671#gid=1831678671"", address(row($D45),column($D45),,,""DL&amp;CO-M""))"),38)</f>
        <v>38</v>
      </c>
      <c r="I47" s="8">
        <f t="shared" ca="1" si="4"/>
        <v>95</v>
      </c>
      <c r="J47" s="5">
        <f ca="1">IFERROR(__xludf.DUMMYFUNCTION("IMPORTRANGE(""https://docs.google.com/spreadsheets/d/1rOGZhKHVnDGFqGTO7UNOJSkSJyQwVuEb2-yhWQit7lw/edit?gid=1967609937#gid=1967609937"", address(row($D45),column($D45),,,""ADSA-M""))"),58)</f>
        <v>58</v>
      </c>
      <c r="K47" s="8">
        <f t="shared" ca="1" si="5"/>
        <v>87.878787878787875</v>
      </c>
      <c r="L47" s="5">
        <f ca="1">IFERROR(__xludf.DUMMYFUNCTION("IMPORTRANGE(""https://docs.google.com/spreadsheets/d/1rOGZhKHVnDGFqGTO7UNOJSkSJyQwVuEb2-yhWQit7lw/edit?gid=413111112#gid=413111112"", address(row($D45),column($D45),,,""JAVA-M""))"),59)</f>
        <v>59</v>
      </c>
      <c r="M47" s="8">
        <f t="shared" ca="1" si="6"/>
        <v>89.393939393939391</v>
      </c>
      <c r="N47" s="5">
        <f ca="1">IFERROR(__xludf.DUMMYFUNCTION("IMPORTRANGE(""https://docs.google.com/spreadsheets/d/1rOGZhKHVnDGFqGTO7UNOJSkSJyQwVuEb2-yhWQit7lw/edit?gid=48564407#gid=48564407"", address(row($D45),column($D45),,,""FOSS LAB-M""))"),24)</f>
        <v>24</v>
      </c>
      <c r="O47" s="8">
        <f t="shared" ca="1" si="7"/>
        <v>80</v>
      </c>
      <c r="P47" s="5">
        <f ca="1">IFERROR(__xludf.DUMMYFUNCTION("IMPORTRANGE(""https://docs.google.com/spreadsheets/d/1rOGZhKHVnDGFqGTO7UNOJSkSJyQwVuEb2-yhWQit7lw/edit?gid=1253773396#gid=1253773396"", address(row($D45),column($D45),,,""PP-M""))"),22)</f>
        <v>22</v>
      </c>
      <c r="Q47" s="8">
        <f t="shared" ca="1" si="8"/>
        <v>91.666666666666657</v>
      </c>
      <c r="R47" s="5">
        <f ca="1">IFERROR(__xludf.DUMMYFUNCTION("IMPORTRANGE(""https://docs.google.com/spreadsheets/d/1rOGZhKHVnDGFqGTO7UNOJSkSJyQwVuEb2-yhWQit7lw/edit?gid=1188725859#gid=1188725859"", address(row($D45),column($D45),,,""NPTEL-M""))"),36)</f>
        <v>36</v>
      </c>
      <c r="S47" s="5">
        <f t="shared" ca="1" si="9"/>
        <v>94.73684210526315</v>
      </c>
      <c r="T47" s="6">
        <f ca="1">IFERROR(__xludf.DUMMYFUNCTION("IMPORTRANGE(""https://docs.google.com/spreadsheets/d/1rOGZhKHVnDGFqGTO7UNOJSkSJyQwVuEb2-yhWQit7lw/edit?gid=832656518#gid=832656518"", address(row($D45),column($D45),,,""CRT-M""))"),63)</f>
        <v>63</v>
      </c>
      <c r="U47" s="8">
        <f t="shared" ca="1" si="10"/>
        <v>69.230769230769226</v>
      </c>
      <c r="V47" s="6">
        <f t="shared" ca="1" si="0"/>
        <v>366</v>
      </c>
      <c r="W47" s="4">
        <f t="shared" ca="1" si="11"/>
        <v>87</v>
      </c>
      <c r="X47" s="4">
        <v>7</v>
      </c>
      <c r="Y47" s="4">
        <v>0</v>
      </c>
      <c r="Z47" s="4">
        <f t="shared" ca="1" si="1"/>
        <v>373</v>
      </c>
      <c r="AA47" s="10">
        <f t="shared" ca="1" si="12"/>
        <v>88</v>
      </c>
    </row>
    <row r="48" spans="1:27" ht="15.85" customHeight="1" x14ac:dyDescent="0.3">
      <c r="A48" s="8">
        <v>43</v>
      </c>
      <c r="B48" s="11" t="s">
        <v>107</v>
      </c>
      <c r="C48" s="11" t="s">
        <v>108</v>
      </c>
      <c r="D48" s="5">
        <f ca="1">IFERROR(__xludf.DUMMYFUNCTION("IMPORTRANGE(""https://docs.google.com/spreadsheets/d/1rOGZhKHVnDGFqGTO7UNOJSkSJyQwVuEb2-yhWQit7lw/edit?gid=872795839#gid=872795839"", address(row($D46),column($D46),,,""DM&amp;GT-M""))"),25)</f>
        <v>25</v>
      </c>
      <c r="E48" s="8">
        <f t="shared" ca="1" si="2"/>
        <v>69.444444444444443</v>
      </c>
      <c r="F48" s="5">
        <f ca="1">IFERROR(__xludf.DUMMYFUNCTION("IMPORTRANGE(""https://docs.google.com/spreadsheets/d/1rOGZhKHVnDGFqGTO7UNOJSkSJyQwVuEb2-yhWQit7lw/edit?gid=659871210#gid=659871210"", address(row($D46),column($D46),,,""UHV-M""))"),19)</f>
        <v>19</v>
      </c>
      <c r="G48" s="8">
        <f t="shared" ca="1" si="3"/>
        <v>59.375</v>
      </c>
      <c r="H48" s="5">
        <f ca="1">IFERROR(__xludf.DUMMYFUNCTION("IMPORTRANGE(""https://docs.google.com/spreadsheets/d/1rOGZhKHVnDGFqGTO7UNOJSkSJyQwVuEb2-yhWQit7lw/edit?gid=1831678671#gid=1831678671"", address(row($D46),column($D46),,,""DL&amp;CO-M""))"),26)</f>
        <v>26</v>
      </c>
      <c r="I48" s="8">
        <f t="shared" ca="1" si="4"/>
        <v>65</v>
      </c>
      <c r="J48" s="5">
        <f ca="1">IFERROR(__xludf.DUMMYFUNCTION("IMPORTRANGE(""https://docs.google.com/spreadsheets/d/1rOGZhKHVnDGFqGTO7UNOJSkSJyQwVuEb2-yhWQit7lw/edit?gid=1967609937#gid=1967609937"", address(row($D46),column($D46),,,""ADSA-M""))"),45)</f>
        <v>45</v>
      </c>
      <c r="K48" s="8">
        <f t="shared" ca="1" si="5"/>
        <v>68.181818181818173</v>
      </c>
      <c r="L48" s="5">
        <f ca="1">IFERROR(__xludf.DUMMYFUNCTION("IMPORTRANGE(""https://docs.google.com/spreadsheets/d/1rOGZhKHVnDGFqGTO7UNOJSkSJyQwVuEb2-yhWQit7lw/edit?gid=413111112#gid=413111112"", address(row($D46),column($D46),,,""JAVA-M""))"),44)</f>
        <v>44</v>
      </c>
      <c r="M48" s="8">
        <f t="shared" ca="1" si="6"/>
        <v>66.666666666666657</v>
      </c>
      <c r="N48" s="5">
        <f ca="1">IFERROR(__xludf.DUMMYFUNCTION("IMPORTRANGE(""https://docs.google.com/spreadsheets/d/1rOGZhKHVnDGFqGTO7UNOJSkSJyQwVuEb2-yhWQit7lw/edit?gid=48564407#gid=48564407"", address(row($D46),column($D46),,,""FOSS LAB-M""))"),22)</f>
        <v>22</v>
      </c>
      <c r="O48" s="8">
        <f t="shared" ca="1" si="7"/>
        <v>73.333333333333329</v>
      </c>
      <c r="P48" s="5">
        <f ca="1">IFERROR(__xludf.DUMMYFUNCTION("IMPORTRANGE(""https://docs.google.com/spreadsheets/d/1rOGZhKHVnDGFqGTO7UNOJSkSJyQwVuEb2-yhWQit7lw/edit?gid=1253773396#gid=1253773396"", address(row($D46),column($D46),,,""PP-M""))"),12)</f>
        <v>12</v>
      </c>
      <c r="Q48" s="8">
        <f t="shared" ca="1" si="8"/>
        <v>50</v>
      </c>
      <c r="R48" s="5">
        <f ca="1">IFERROR(__xludf.DUMMYFUNCTION("IMPORTRANGE(""https://docs.google.com/spreadsheets/d/1rOGZhKHVnDGFqGTO7UNOJSkSJyQwVuEb2-yhWQit7lw/edit?gid=1188725859#gid=1188725859"", address(row($D46),column($D46),,,""NPTEL-M""))"),24)</f>
        <v>24</v>
      </c>
      <c r="S48" s="5">
        <f t="shared" ca="1" si="9"/>
        <v>63.157894736842103</v>
      </c>
      <c r="T48" s="6">
        <f ca="1">IFERROR(__xludf.DUMMYFUNCTION("IMPORTRANGE(""https://docs.google.com/spreadsheets/d/1rOGZhKHVnDGFqGTO7UNOJSkSJyQwVuEb2-yhWQit7lw/edit?gid=832656518#gid=832656518"", address(row($D46),column($D46),,,""CRT-M""))"),77)</f>
        <v>77</v>
      </c>
      <c r="U48" s="8">
        <f t="shared" ca="1" si="10"/>
        <v>84.615384615384613</v>
      </c>
      <c r="V48" s="6">
        <f t="shared" ca="1" si="0"/>
        <v>294</v>
      </c>
      <c r="W48" s="4">
        <f t="shared" ca="1" si="11"/>
        <v>70</v>
      </c>
      <c r="X48" s="4">
        <v>0</v>
      </c>
      <c r="Y48" s="4">
        <v>0</v>
      </c>
      <c r="Z48" s="4">
        <f t="shared" ca="1" si="1"/>
        <v>294</v>
      </c>
      <c r="AA48" s="10">
        <f t="shared" ca="1" si="12"/>
        <v>70</v>
      </c>
    </row>
    <row r="49" spans="1:27" ht="15.85" customHeight="1" x14ac:dyDescent="0.3">
      <c r="A49" s="8">
        <v>44</v>
      </c>
      <c r="B49" s="11" t="s">
        <v>109</v>
      </c>
      <c r="C49" s="11" t="s">
        <v>110</v>
      </c>
      <c r="D49" s="5">
        <f ca="1">IFERROR(__xludf.DUMMYFUNCTION("IMPORTRANGE(""https://docs.google.com/spreadsheets/d/1rOGZhKHVnDGFqGTO7UNOJSkSJyQwVuEb2-yhWQit7lw/edit?gid=872795839#gid=872795839"", address(row($D47),column($D47),,,""DM&amp;GT-M""))"),15)</f>
        <v>15</v>
      </c>
      <c r="E49" s="8">
        <f t="shared" ca="1" si="2"/>
        <v>41.666666666666671</v>
      </c>
      <c r="F49" s="5">
        <f ca="1">IFERROR(__xludf.DUMMYFUNCTION("IMPORTRANGE(""https://docs.google.com/spreadsheets/d/1rOGZhKHVnDGFqGTO7UNOJSkSJyQwVuEb2-yhWQit7lw/edit?gid=659871210#gid=659871210"", address(row($D47),column($D47),,,""UHV-M""))"),19)</f>
        <v>19</v>
      </c>
      <c r="G49" s="8">
        <f t="shared" ca="1" si="3"/>
        <v>59.375</v>
      </c>
      <c r="H49" s="5">
        <f ca="1">IFERROR(__xludf.DUMMYFUNCTION("IMPORTRANGE(""https://docs.google.com/spreadsheets/d/1rOGZhKHVnDGFqGTO7UNOJSkSJyQwVuEb2-yhWQit7lw/edit?gid=1831678671#gid=1831678671"", address(row($D47),column($D47),,,""DL&amp;CO-M""))"),15)</f>
        <v>15</v>
      </c>
      <c r="I49" s="8">
        <f t="shared" ca="1" si="4"/>
        <v>37.5</v>
      </c>
      <c r="J49" s="5">
        <f ca="1">IFERROR(__xludf.DUMMYFUNCTION("IMPORTRANGE(""https://docs.google.com/spreadsheets/d/1rOGZhKHVnDGFqGTO7UNOJSkSJyQwVuEb2-yhWQit7lw/edit?gid=1967609937#gid=1967609937"", address(row($D47),column($D47),,,""ADSA-M""))"),30)</f>
        <v>30</v>
      </c>
      <c r="K49" s="8">
        <f t="shared" ca="1" si="5"/>
        <v>45.454545454545453</v>
      </c>
      <c r="L49" s="5">
        <f ca="1">IFERROR(__xludf.DUMMYFUNCTION("IMPORTRANGE(""https://docs.google.com/spreadsheets/d/1rOGZhKHVnDGFqGTO7UNOJSkSJyQwVuEb2-yhWQit7lw/edit?gid=413111112#gid=413111112"", address(row($D47),column($D47),,,""JAVA-M""))"),34)</f>
        <v>34</v>
      </c>
      <c r="M49" s="8">
        <f t="shared" ca="1" si="6"/>
        <v>51.515151515151516</v>
      </c>
      <c r="N49" s="5">
        <f ca="1">IFERROR(__xludf.DUMMYFUNCTION("IMPORTRANGE(""https://docs.google.com/spreadsheets/d/1rOGZhKHVnDGFqGTO7UNOJSkSJyQwVuEb2-yhWQit7lw/edit?gid=48564407#gid=48564407"", address(row($D47),column($D47),,,""FOSS LAB-M""))"),12)</f>
        <v>12</v>
      </c>
      <c r="O49" s="8">
        <f t="shared" ca="1" si="7"/>
        <v>40</v>
      </c>
      <c r="P49" s="5">
        <f ca="1">IFERROR(__xludf.DUMMYFUNCTION("IMPORTRANGE(""https://docs.google.com/spreadsheets/d/1rOGZhKHVnDGFqGTO7UNOJSkSJyQwVuEb2-yhWQit7lw/edit?gid=1253773396#gid=1253773396"", address(row($D47),column($D47),,,""PP-M""))"),16)</f>
        <v>16</v>
      </c>
      <c r="Q49" s="8">
        <f t="shared" ca="1" si="8"/>
        <v>66.666666666666657</v>
      </c>
      <c r="R49" s="5">
        <f ca="1">IFERROR(__xludf.DUMMYFUNCTION("IMPORTRANGE(""https://docs.google.com/spreadsheets/d/1rOGZhKHVnDGFqGTO7UNOJSkSJyQwVuEb2-yhWQit7lw/edit?gid=1188725859#gid=1188725859"", address(row($D47),column($D47),,,""NPTEL-M""))"),22)</f>
        <v>22</v>
      </c>
      <c r="S49" s="5">
        <f t="shared" ca="1" si="9"/>
        <v>57.894736842105267</v>
      </c>
      <c r="T49" s="6">
        <f ca="1">IFERROR(__xludf.DUMMYFUNCTION("IMPORTRANGE(""https://docs.google.com/spreadsheets/d/1rOGZhKHVnDGFqGTO7UNOJSkSJyQwVuEb2-yhWQit7lw/edit?gid=832656518#gid=832656518"", address(row($D47),column($D47),,,""CRT-M""))"),77)</f>
        <v>77</v>
      </c>
      <c r="U49" s="8">
        <f t="shared" ca="1" si="10"/>
        <v>84.615384615384613</v>
      </c>
      <c r="V49" s="6">
        <f t="shared" ca="1" si="0"/>
        <v>240</v>
      </c>
      <c r="W49" s="4">
        <f t="shared" ca="1" si="11"/>
        <v>57</v>
      </c>
      <c r="X49" s="4">
        <v>0</v>
      </c>
      <c r="Y49" s="4">
        <v>0</v>
      </c>
      <c r="Z49" s="4">
        <f t="shared" ca="1" si="1"/>
        <v>240</v>
      </c>
      <c r="AA49" s="10">
        <f t="shared" ca="1" si="12"/>
        <v>57</v>
      </c>
    </row>
    <row r="50" spans="1:27" ht="15.85" customHeight="1" x14ac:dyDescent="0.3">
      <c r="A50" s="8">
        <v>45</v>
      </c>
      <c r="B50" s="11" t="s">
        <v>111</v>
      </c>
      <c r="C50" s="11" t="s">
        <v>112</v>
      </c>
      <c r="D50" s="5">
        <f ca="1">IFERROR(__xludf.DUMMYFUNCTION("IMPORTRANGE(""https://docs.google.com/spreadsheets/d/1rOGZhKHVnDGFqGTO7UNOJSkSJyQwVuEb2-yhWQit7lw/edit?gid=872795839#gid=872795839"", address(row($D48),column($D48),,,""DM&amp;GT-M""))"),21)</f>
        <v>21</v>
      </c>
      <c r="E50" s="8">
        <f t="shared" ca="1" si="2"/>
        <v>58.333333333333336</v>
      </c>
      <c r="F50" s="5">
        <f ca="1">IFERROR(__xludf.DUMMYFUNCTION("IMPORTRANGE(""https://docs.google.com/spreadsheets/d/1rOGZhKHVnDGFqGTO7UNOJSkSJyQwVuEb2-yhWQit7lw/edit?gid=659871210#gid=659871210"", address(row($D48),column($D48),,,""UHV-M""))"),16)</f>
        <v>16</v>
      </c>
      <c r="G50" s="8">
        <f t="shared" ca="1" si="3"/>
        <v>50</v>
      </c>
      <c r="H50" s="5">
        <f ca="1">IFERROR(__xludf.DUMMYFUNCTION("IMPORTRANGE(""https://docs.google.com/spreadsheets/d/1rOGZhKHVnDGFqGTO7UNOJSkSJyQwVuEb2-yhWQit7lw/edit?gid=1831678671#gid=1831678671"", address(row($D48),column($D48),,,""DL&amp;CO-M""))"),21)</f>
        <v>21</v>
      </c>
      <c r="I50" s="8">
        <f t="shared" ca="1" si="4"/>
        <v>52.5</v>
      </c>
      <c r="J50" s="5">
        <f ca="1">IFERROR(__xludf.DUMMYFUNCTION("IMPORTRANGE(""https://docs.google.com/spreadsheets/d/1rOGZhKHVnDGFqGTO7UNOJSkSJyQwVuEb2-yhWQit7lw/edit?gid=1967609937#gid=1967609937"", address(row($D48),column($D48),,,""ADSA-M""))"),34)</f>
        <v>34</v>
      </c>
      <c r="K50" s="8">
        <f t="shared" ca="1" si="5"/>
        <v>51.515151515151516</v>
      </c>
      <c r="L50" s="5">
        <f ca="1">IFERROR(__xludf.DUMMYFUNCTION("IMPORTRANGE(""https://docs.google.com/spreadsheets/d/1rOGZhKHVnDGFqGTO7UNOJSkSJyQwVuEb2-yhWQit7lw/edit?gid=413111112#gid=413111112"", address(row($D48),column($D48),,,""JAVA-M""))"),28)</f>
        <v>28</v>
      </c>
      <c r="M50" s="8">
        <f t="shared" ca="1" si="6"/>
        <v>42.424242424242422</v>
      </c>
      <c r="N50" s="5">
        <f ca="1">IFERROR(__xludf.DUMMYFUNCTION("IMPORTRANGE(""https://docs.google.com/spreadsheets/d/1rOGZhKHVnDGFqGTO7UNOJSkSJyQwVuEb2-yhWQit7lw/edit?gid=48564407#gid=48564407"", address(row($D48),column($D48),,,""FOSS LAB-M""))"),18)</f>
        <v>18</v>
      </c>
      <c r="O50" s="8">
        <f t="shared" ca="1" si="7"/>
        <v>60</v>
      </c>
      <c r="P50" s="5">
        <f ca="1">IFERROR(__xludf.DUMMYFUNCTION("IMPORTRANGE(""https://docs.google.com/spreadsheets/d/1rOGZhKHVnDGFqGTO7UNOJSkSJyQwVuEb2-yhWQit7lw/edit?gid=1253773396#gid=1253773396"", address(row($D48),column($D48),,,""PP-M""))"),14)</f>
        <v>14</v>
      </c>
      <c r="Q50" s="8">
        <f t="shared" ca="1" si="8"/>
        <v>58.333333333333336</v>
      </c>
      <c r="R50" s="5">
        <f ca="1">IFERROR(__xludf.DUMMYFUNCTION("IMPORTRANGE(""https://docs.google.com/spreadsheets/d/1rOGZhKHVnDGFqGTO7UNOJSkSJyQwVuEb2-yhWQit7lw/edit?gid=1188725859#gid=1188725859"", address(row($D48),column($D48),,,""NPTEL-M""))"),24)</f>
        <v>24</v>
      </c>
      <c r="S50" s="5">
        <f t="shared" ca="1" si="9"/>
        <v>63.157894736842103</v>
      </c>
      <c r="T50" s="6">
        <f ca="1">IFERROR(__xludf.DUMMYFUNCTION("IMPORTRANGE(""https://docs.google.com/spreadsheets/d/1rOGZhKHVnDGFqGTO7UNOJSkSJyQwVuEb2-yhWQit7lw/edit?gid=832656518#gid=832656518"", address(row($D48),column($D48),,,""CRT-M""))"),74)</f>
        <v>74</v>
      </c>
      <c r="U50" s="8">
        <f t="shared" ca="1" si="10"/>
        <v>81.318681318681314</v>
      </c>
      <c r="V50" s="6">
        <f t="shared" ca="1" si="0"/>
        <v>250</v>
      </c>
      <c r="W50" s="4">
        <f t="shared" ca="1" si="11"/>
        <v>59</v>
      </c>
      <c r="X50" s="4">
        <v>0</v>
      </c>
      <c r="Y50" s="4">
        <v>0</v>
      </c>
      <c r="Z50" s="4">
        <f t="shared" ca="1" si="1"/>
        <v>250</v>
      </c>
      <c r="AA50" s="10">
        <f t="shared" ca="1" si="12"/>
        <v>59</v>
      </c>
    </row>
    <row r="51" spans="1:27" ht="15.85" customHeight="1" x14ac:dyDescent="0.3">
      <c r="A51" s="8">
        <v>46</v>
      </c>
      <c r="B51" s="11" t="s">
        <v>113</v>
      </c>
      <c r="C51" s="11" t="s">
        <v>114</v>
      </c>
      <c r="D51" s="5">
        <f ca="1">IFERROR(__xludf.DUMMYFUNCTION("IMPORTRANGE(""https://docs.google.com/spreadsheets/d/1rOGZhKHVnDGFqGTO7UNOJSkSJyQwVuEb2-yhWQit7lw/edit?gid=872795839#gid=872795839"", address(row($D49),column($D49),,,""DM&amp;GT-M""))"),29)</f>
        <v>29</v>
      </c>
      <c r="E51" s="8">
        <f t="shared" ca="1" si="2"/>
        <v>80.555555555555557</v>
      </c>
      <c r="F51" s="5">
        <f ca="1">IFERROR(__xludf.DUMMYFUNCTION("IMPORTRANGE(""https://docs.google.com/spreadsheets/d/1rOGZhKHVnDGFqGTO7UNOJSkSJyQwVuEb2-yhWQit7lw/edit?gid=659871210#gid=659871210"", address(row($D49),column($D49),,,""UHV-M""))"),25)</f>
        <v>25</v>
      </c>
      <c r="G51" s="8">
        <f t="shared" ca="1" si="3"/>
        <v>78.125</v>
      </c>
      <c r="H51" s="5">
        <f ca="1">IFERROR(__xludf.DUMMYFUNCTION("IMPORTRANGE(""https://docs.google.com/spreadsheets/d/1rOGZhKHVnDGFqGTO7UNOJSkSJyQwVuEb2-yhWQit7lw/edit?gid=1831678671#gid=1831678671"", address(row($D49),column($D49),,,""DL&amp;CO-M""))"),32)</f>
        <v>32</v>
      </c>
      <c r="I51" s="8">
        <f t="shared" ca="1" si="4"/>
        <v>80</v>
      </c>
      <c r="J51" s="5">
        <f ca="1">IFERROR(__xludf.DUMMYFUNCTION("IMPORTRANGE(""https://docs.google.com/spreadsheets/d/1rOGZhKHVnDGFqGTO7UNOJSkSJyQwVuEb2-yhWQit7lw/edit?gid=1967609937#gid=1967609937"", address(row($D49),column($D49),,,""ADSA-M""))"),52)</f>
        <v>52</v>
      </c>
      <c r="K51" s="8">
        <f t="shared" ca="1" si="5"/>
        <v>78.787878787878782</v>
      </c>
      <c r="L51" s="5">
        <f ca="1">IFERROR(__xludf.DUMMYFUNCTION("IMPORTRANGE(""https://docs.google.com/spreadsheets/d/1rOGZhKHVnDGFqGTO7UNOJSkSJyQwVuEb2-yhWQit7lw/edit?gid=413111112#gid=413111112"", address(row($D49),column($D49),,,""JAVA-M""))"),45)</f>
        <v>45</v>
      </c>
      <c r="M51" s="8">
        <f t="shared" ca="1" si="6"/>
        <v>68.181818181818173</v>
      </c>
      <c r="N51" s="5">
        <f ca="1">IFERROR(__xludf.DUMMYFUNCTION("IMPORTRANGE(""https://docs.google.com/spreadsheets/d/1rOGZhKHVnDGFqGTO7UNOJSkSJyQwVuEb2-yhWQit7lw/edit?gid=48564407#gid=48564407"", address(row($D49),column($D49),,,""FOSS LAB-M""))"),21)</f>
        <v>21</v>
      </c>
      <c r="O51" s="8">
        <f t="shared" ca="1" si="7"/>
        <v>70</v>
      </c>
      <c r="P51" s="5">
        <f ca="1">IFERROR(__xludf.DUMMYFUNCTION("IMPORTRANGE(""https://docs.google.com/spreadsheets/d/1rOGZhKHVnDGFqGTO7UNOJSkSJyQwVuEb2-yhWQit7lw/edit?gid=1253773396#gid=1253773396"", address(row($D49),column($D49),,,""PP-M""))"),18)</f>
        <v>18</v>
      </c>
      <c r="Q51" s="8">
        <f t="shared" ca="1" si="8"/>
        <v>75</v>
      </c>
      <c r="R51" s="5">
        <f ca="1">IFERROR(__xludf.DUMMYFUNCTION("IMPORTRANGE(""https://docs.google.com/spreadsheets/d/1rOGZhKHVnDGFqGTO7UNOJSkSJyQwVuEb2-yhWQit7lw/edit?gid=1188725859#gid=1188725859"", address(row($D49),column($D49),,,""NPTEL-M""))"),32)</f>
        <v>32</v>
      </c>
      <c r="S51" s="5">
        <f t="shared" ca="1" si="9"/>
        <v>84.210526315789465</v>
      </c>
      <c r="T51" s="6">
        <f ca="1">IFERROR(__xludf.DUMMYFUNCTION("IMPORTRANGE(""https://docs.google.com/spreadsheets/d/1rOGZhKHVnDGFqGTO7UNOJSkSJyQwVuEb2-yhWQit7lw/edit?gid=832656518#gid=832656518"", address(row($D49),column($D49),,,""CRT-M""))"),77)</f>
        <v>77</v>
      </c>
      <c r="U51" s="8">
        <f t="shared" ca="1" si="10"/>
        <v>84.615384615384613</v>
      </c>
      <c r="V51" s="6">
        <f t="shared" ca="1" si="0"/>
        <v>331</v>
      </c>
      <c r="W51" s="4">
        <f t="shared" ca="1" si="11"/>
        <v>78</v>
      </c>
      <c r="X51" s="4">
        <v>0</v>
      </c>
      <c r="Y51" s="4">
        <v>0</v>
      </c>
      <c r="Z51" s="4">
        <f t="shared" ca="1" si="1"/>
        <v>331</v>
      </c>
      <c r="AA51" s="10">
        <f t="shared" ca="1" si="12"/>
        <v>78</v>
      </c>
    </row>
    <row r="52" spans="1:27" ht="15.85" customHeight="1" x14ac:dyDescent="0.3">
      <c r="A52" s="8">
        <v>47</v>
      </c>
      <c r="B52" s="11" t="s">
        <v>115</v>
      </c>
      <c r="C52" s="11" t="s">
        <v>116</v>
      </c>
      <c r="D52" s="5">
        <f ca="1">IFERROR(__xludf.DUMMYFUNCTION("IMPORTRANGE(""https://docs.google.com/spreadsheets/d/1rOGZhKHVnDGFqGTO7UNOJSkSJyQwVuEb2-yhWQit7lw/edit?gid=872795839#gid=872795839"", address(row($D50),column($D50),,,""DM&amp;GT-M""))"),17)</f>
        <v>17</v>
      </c>
      <c r="E52" s="8">
        <f t="shared" ca="1" si="2"/>
        <v>47.222222222222221</v>
      </c>
      <c r="F52" s="5">
        <f ca="1">IFERROR(__xludf.DUMMYFUNCTION("IMPORTRANGE(""https://docs.google.com/spreadsheets/d/1rOGZhKHVnDGFqGTO7UNOJSkSJyQwVuEb2-yhWQit7lw/edit?gid=659871210#gid=659871210"", address(row($D50),column($D50),,,""UHV-M""))"),14)</f>
        <v>14</v>
      </c>
      <c r="G52" s="8">
        <f t="shared" ca="1" si="3"/>
        <v>43.75</v>
      </c>
      <c r="H52" s="5">
        <f ca="1">IFERROR(__xludf.DUMMYFUNCTION("IMPORTRANGE(""https://docs.google.com/spreadsheets/d/1rOGZhKHVnDGFqGTO7UNOJSkSJyQwVuEb2-yhWQit7lw/edit?gid=1831678671#gid=1831678671"", address(row($D50),column($D50),,,""DL&amp;CO-M""))"),16)</f>
        <v>16</v>
      </c>
      <c r="I52" s="8">
        <f t="shared" ca="1" si="4"/>
        <v>40</v>
      </c>
      <c r="J52" s="5">
        <f ca="1">IFERROR(__xludf.DUMMYFUNCTION("IMPORTRANGE(""https://docs.google.com/spreadsheets/d/1rOGZhKHVnDGFqGTO7UNOJSkSJyQwVuEb2-yhWQit7lw/edit?gid=1967609937#gid=1967609937"", address(row($D50),column($D50),,,""ADSA-M""))"),32)</f>
        <v>32</v>
      </c>
      <c r="K52" s="8">
        <f t="shared" ca="1" si="5"/>
        <v>48.484848484848484</v>
      </c>
      <c r="L52" s="5">
        <f ca="1">IFERROR(__xludf.DUMMYFUNCTION("IMPORTRANGE(""https://docs.google.com/spreadsheets/d/1rOGZhKHVnDGFqGTO7UNOJSkSJyQwVuEb2-yhWQit7lw/edit?gid=413111112#gid=413111112"", address(row($D50),column($D50),,,""JAVA-M""))"),28)</f>
        <v>28</v>
      </c>
      <c r="M52" s="8">
        <f t="shared" ca="1" si="6"/>
        <v>42.424242424242422</v>
      </c>
      <c r="N52" s="5">
        <f ca="1">IFERROR(__xludf.DUMMYFUNCTION("IMPORTRANGE(""https://docs.google.com/spreadsheets/d/1rOGZhKHVnDGFqGTO7UNOJSkSJyQwVuEb2-yhWQit7lw/edit?gid=48564407#gid=48564407"", address(row($D50),column($D50),,,""FOSS LAB-M""))"),12)</f>
        <v>12</v>
      </c>
      <c r="O52" s="8">
        <f t="shared" ca="1" si="7"/>
        <v>40</v>
      </c>
      <c r="P52" s="5">
        <f ca="1">IFERROR(__xludf.DUMMYFUNCTION("IMPORTRANGE(""https://docs.google.com/spreadsheets/d/1rOGZhKHVnDGFqGTO7UNOJSkSJyQwVuEb2-yhWQit7lw/edit?gid=1253773396#gid=1253773396"", address(row($D50),column($D50),,,""PP-M""))"),12)</f>
        <v>12</v>
      </c>
      <c r="Q52" s="8">
        <f t="shared" ca="1" si="8"/>
        <v>50</v>
      </c>
      <c r="R52" s="5">
        <f ca="1">IFERROR(__xludf.DUMMYFUNCTION("IMPORTRANGE(""https://docs.google.com/spreadsheets/d/1rOGZhKHVnDGFqGTO7UNOJSkSJyQwVuEb2-yhWQit7lw/edit?gid=1188725859#gid=1188725859"", address(row($D50),column($D50),,,""NPTEL-M""))"),18)</f>
        <v>18</v>
      </c>
      <c r="S52" s="5">
        <f t="shared" ca="1" si="9"/>
        <v>47.368421052631575</v>
      </c>
      <c r="T52" s="6">
        <f ca="1">IFERROR(__xludf.DUMMYFUNCTION("IMPORTRANGE(""https://docs.google.com/spreadsheets/d/1rOGZhKHVnDGFqGTO7UNOJSkSJyQwVuEb2-yhWQit7lw/edit?gid=832656518#gid=832656518"", address(row($D50),column($D50),,,""CRT-M""))"),70)</f>
        <v>70</v>
      </c>
      <c r="U52" s="8">
        <f t="shared" ca="1" si="10"/>
        <v>76.923076923076934</v>
      </c>
      <c r="V52" s="6">
        <f t="shared" ca="1" si="0"/>
        <v>219</v>
      </c>
      <c r="W52" s="4">
        <f t="shared" ca="1" si="11"/>
        <v>52</v>
      </c>
      <c r="X52" s="4">
        <v>0</v>
      </c>
      <c r="Y52" s="4">
        <v>0</v>
      </c>
      <c r="Z52" s="4">
        <f t="shared" ca="1" si="1"/>
        <v>219</v>
      </c>
      <c r="AA52" s="10">
        <f t="shared" ca="1" si="12"/>
        <v>52</v>
      </c>
    </row>
    <row r="53" spans="1:27" ht="15.85" customHeight="1" x14ac:dyDescent="0.3">
      <c r="A53" s="8">
        <v>48</v>
      </c>
      <c r="B53" s="11" t="s">
        <v>117</v>
      </c>
      <c r="C53" s="11" t="s">
        <v>118</v>
      </c>
      <c r="D53" s="5">
        <f ca="1">IFERROR(__xludf.DUMMYFUNCTION("IMPORTRANGE(""https://docs.google.com/spreadsheets/d/1rOGZhKHVnDGFqGTO7UNOJSkSJyQwVuEb2-yhWQit7lw/edit?gid=872795839#gid=872795839"", address(row($D51),column($D51),,,""DM&amp;GT-M""))"),27)</f>
        <v>27</v>
      </c>
      <c r="E53" s="8">
        <f t="shared" ca="1" si="2"/>
        <v>75</v>
      </c>
      <c r="F53" s="5">
        <f ca="1">IFERROR(__xludf.DUMMYFUNCTION("IMPORTRANGE(""https://docs.google.com/spreadsheets/d/1rOGZhKHVnDGFqGTO7UNOJSkSJyQwVuEb2-yhWQit7lw/edit?gid=659871210#gid=659871210"", address(row($D51),column($D51),,,""UHV-M""))"),23)</f>
        <v>23</v>
      </c>
      <c r="G53" s="8">
        <f t="shared" ca="1" si="3"/>
        <v>71.875</v>
      </c>
      <c r="H53" s="5">
        <f ca="1">IFERROR(__xludf.DUMMYFUNCTION("IMPORTRANGE(""https://docs.google.com/spreadsheets/d/1rOGZhKHVnDGFqGTO7UNOJSkSJyQwVuEb2-yhWQit7lw/edit?gid=1831678671#gid=1831678671"", address(row($D51),column($D51),,,""DL&amp;CO-M""))"),27)</f>
        <v>27</v>
      </c>
      <c r="I53" s="8">
        <f t="shared" ca="1" si="4"/>
        <v>67.5</v>
      </c>
      <c r="J53" s="5">
        <f ca="1">IFERROR(__xludf.DUMMYFUNCTION("IMPORTRANGE(""https://docs.google.com/spreadsheets/d/1rOGZhKHVnDGFqGTO7UNOJSkSJyQwVuEb2-yhWQit7lw/edit?gid=1967609937#gid=1967609937"", address(row($D51),column($D51),,,""ADSA-M""))"),38)</f>
        <v>38</v>
      </c>
      <c r="K53" s="8">
        <f t="shared" ca="1" si="5"/>
        <v>57.575757575757578</v>
      </c>
      <c r="L53" s="5">
        <f ca="1">IFERROR(__xludf.DUMMYFUNCTION("IMPORTRANGE(""https://docs.google.com/spreadsheets/d/1rOGZhKHVnDGFqGTO7UNOJSkSJyQwVuEb2-yhWQit7lw/edit?gid=413111112#gid=413111112"", address(row($D51),column($D51),,,""JAVA-M""))"),38)</f>
        <v>38</v>
      </c>
      <c r="M53" s="8">
        <f t="shared" ca="1" si="6"/>
        <v>57.575757575757578</v>
      </c>
      <c r="N53" s="5">
        <f ca="1">IFERROR(__xludf.DUMMYFUNCTION("IMPORTRANGE(""https://docs.google.com/spreadsheets/d/1rOGZhKHVnDGFqGTO7UNOJSkSJyQwVuEb2-yhWQit7lw/edit?gid=48564407#gid=48564407"", address(row($D51),column($D51),,,""FOSS LAB-M""))"),20)</f>
        <v>20</v>
      </c>
      <c r="O53" s="8">
        <f t="shared" ca="1" si="7"/>
        <v>66.666666666666657</v>
      </c>
      <c r="P53" s="5">
        <f ca="1">IFERROR(__xludf.DUMMYFUNCTION("IMPORTRANGE(""https://docs.google.com/spreadsheets/d/1rOGZhKHVnDGFqGTO7UNOJSkSJyQwVuEb2-yhWQit7lw/edit?gid=1253773396#gid=1253773396"", address(row($D51),column($D51),,,""PP-M""))"),18)</f>
        <v>18</v>
      </c>
      <c r="Q53" s="8">
        <f t="shared" ca="1" si="8"/>
        <v>75</v>
      </c>
      <c r="R53" s="5">
        <f ca="1">IFERROR(__xludf.DUMMYFUNCTION("IMPORTRANGE(""https://docs.google.com/spreadsheets/d/1rOGZhKHVnDGFqGTO7UNOJSkSJyQwVuEb2-yhWQit7lw/edit?gid=1188725859#gid=1188725859"", address(row($D51),column($D51),,,""NPTEL-M""))"),22)</f>
        <v>22</v>
      </c>
      <c r="S53" s="5">
        <f t="shared" ca="1" si="9"/>
        <v>57.894736842105267</v>
      </c>
      <c r="T53" s="6">
        <f ca="1">IFERROR(__xludf.DUMMYFUNCTION("IMPORTRANGE(""https://docs.google.com/spreadsheets/d/1rOGZhKHVnDGFqGTO7UNOJSkSJyQwVuEb2-yhWQit7lw/edit?gid=832656518#gid=832656518"", address(row($D51),column($D51),,,""CRT-M""))"),70)</f>
        <v>70</v>
      </c>
      <c r="U53" s="8">
        <f t="shared" ca="1" si="10"/>
        <v>76.923076923076934</v>
      </c>
      <c r="V53" s="6">
        <f t="shared" ca="1" si="0"/>
        <v>283</v>
      </c>
      <c r="W53" s="4">
        <f t="shared" ca="1" si="11"/>
        <v>67</v>
      </c>
      <c r="X53" s="4">
        <v>4</v>
      </c>
      <c r="Y53" s="4">
        <v>0</v>
      </c>
      <c r="Z53" s="4">
        <f t="shared" ca="1" si="1"/>
        <v>287</v>
      </c>
      <c r="AA53" s="10">
        <f t="shared" ca="1" si="12"/>
        <v>68</v>
      </c>
    </row>
    <row r="54" spans="1:27" ht="15.85" customHeight="1" x14ac:dyDescent="0.3">
      <c r="A54" s="8">
        <v>49</v>
      </c>
      <c r="B54" s="11" t="s">
        <v>119</v>
      </c>
      <c r="C54" s="11" t="s">
        <v>120</v>
      </c>
      <c r="D54" s="5">
        <f ca="1">IFERROR(__xludf.DUMMYFUNCTION("IMPORTRANGE(""https://docs.google.com/spreadsheets/d/1rOGZhKHVnDGFqGTO7UNOJSkSJyQwVuEb2-yhWQit7lw/edit?gid=872795839#gid=872795839"", address(row($D52),column($D52),,,""DM&amp;GT-M""))"),20)</f>
        <v>20</v>
      </c>
      <c r="E54" s="8">
        <f t="shared" ca="1" si="2"/>
        <v>55.555555555555557</v>
      </c>
      <c r="F54" s="5">
        <f ca="1">IFERROR(__xludf.DUMMYFUNCTION("IMPORTRANGE(""https://docs.google.com/spreadsheets/d/1rOGZhKHVnDGFqGTO7UNOJSkSJyQwVuEb2-yhWQit7lw/edit?gid=659871210#gid=659871210"", address(row($D52),column($D52),,,""UHV-M""))"),19)</f>
        <v>19</v>
      </c>
      <c r="G54" s="8">
        <f t="shared" ca="1" si="3"/>
        <v>59.375</v>
      </c>
      <c r="H54" s="5">
        <f ca="1">IFERROR(__xludf.DUMMYFUNCTION("IMPORTRANGE(""https://docs.google.com/spreadsheets/d/1rOGZhKHVnDGFqGTO7UNOJSkSJyQwVuEb2-yhWQit7lw/edit?gid=1831678671#gid=1831678671"", address(row($D52),column($D52),,,""DL&amp;CO-M""))"),19)</f>
        <v>19</v>
      </c>
      <c r="I54" s="8">
        <f t="shared" ca="1" si="4"/>
        <v>47.5</v>
      </c>
      <c r="J54" s="5">
        <f ca="1">IFERROR(__xludf.DUMMYFUNCTION("IMPORTRANGE(""https://docs.google.com/spreadsheets/d/1rOGZhKHVnDGFqGTO7UNOJSkSJyQwVuEb2-yhWQit7lw/edit?gid=1967609937#gid=1967609937"", address(row($D52),column($D52),,,""ADSA-M""))"),30)</f>
        <v>30</v>
      </c>
      <c r="K54" s="8">
        <f t="shared" ca="1" si="5"/>
        <v>45.454545454545453</v>
      </c>
      <c r="L54" s="5">
        <f ca="1">IFERROR(__xludf.DUMMYFUNCTION("IMPORTRANGE(""https://docs.google.com/spreadsheets/d/1rOGZhKHVnDGFqGTO7UNOJSkSJyQwVuEb2-yhWQit7lw/edit?gid=413111112#gid=413111112"", address(row($D52),column($D52),,,""JAVA-M""))"),36)</f>
        <v>36</v>
      </c>
      <c r="M54" s="8">
        <f t="shared" ca="1" si="6"/>
        <v>54.54545454545454</v>
      </c>
      <c r="N54" s="5">
        <f ca="1">IFERROR(__xludf.DUMMYFUNCTION("IMPORTRANGE(""https://docs.google.com/spreadsheets/d/1rOGZhKHVnDGFqGTO7UNOJSkSJyQwVuEb2-yhWQit7lw/edit?gid=48564407#gid=48564407"", address(row($D52),column($D52),,,""FOSS LAB-M""))"),15)</f>
        <v>15</v>
      </c>
      <c r="O54" s="8">
        <f t="shared" ca="1" si="7"/>
        <v>50</v>
      </c>
      <c r="P54" s="5">
        <f ca="1">IFERROR(__xludf.DUMMYFUNCTION("IMPORTRANGE(""https://docs.google.com/spreadsheets/d/1rOGZhKHVnDGFqGTO7UNOJSkSJyQwVuEb2-yhWQit7lw/edit?gid=1253773396#gid=1253773396"", address(row($D52),column($D52),,,""PP-M""))"),12)</f>
        <v>12</v>
      </c>
      <c r="Q54" s="8">
        <f t="shared" ca="1" si="8"/>
        <v>50</v>
      </c>
      <c r="R54" s="5">
        <f ca="1">IFERROR(__xludf.DUMMYFUNCTION("IMPORTRANGE(""https://docs.google.com/spreadsheets/d/1rOGZhKHVnDGFqGTO7UNOJSkSJyQwVuEb2-yhWQit7lw/edit?gid=1188725859#gid=1188725859"", address(row($D52),column($D52),,,""NPTEL-M""))"),24)</f>
        <v>24</v>
      </c>
      <c r="S54" s="5">
        <f t="shared" ca="1" si="9"/>
        <v>63.157894736842103</v>
      </c>
      <c r="T54" s="6">
        <f ca="1">IFERROR(__xludf.DUMMYFUNCTION("IMPORTRANGE(""https://docs.google.com/spreadsheets/d/1rOGZhKHVnDGFqGTO7UNOJSkSJyQwVuEb2-yhWQit7lw/edit?gid=832656518#gid=832656518"", address(row($D52),column($D52),,,""CRT-M""))"),84)</f>
        <v>84</v>
      </c>
      <c r="U54" s="8">
        <f t="shared" ca="1" si="10"/>
        <v>92.307692307692307</v>
      </c>
      <c r="V54" s="6">
        <f t="shared" ca="1" si="0"/>
        <v>259</v>
      </c>
      <c r="W54" s="4">
        <f t="shared" ca="1" si="11"/>
        <v>61</v>
      </c>
      <c r="X54" s="4">
        <v>0</v>
      </c>
      <c r="Y54" s="4">
        <v>0</v>
      </c>
      <c r="Z54" s="4">
        <f t="shared" ca="1" si="1"/>
        <v>259</v>
      </c>
      <c r="AA54" s="10">
        <f t="shared" ca="1" si="12"/>
        <v>61</v>
      </c>
    </row>
    <row r="55" spans="1:27" ht="15.85" customHeight="1" x14ac:dyDescent="0.3">
      <c r="A55" s="8">
        <v>50</v>
      </c>
      <c r="B55" s="11" t="s">
        <v>121</v>
      </c>
      <c r="C55" s="11" t="s">
        <v>122</v>
      </c>
      <c r="D55" s="5">
        <f ca="1">IFERROR(__xludf.DUMMYFUNCTION("IMPORTRANGE(""https://docs.google.com/spreadsheets/d/1rOGZhKHVnDGFqGTO7UNOJSkSJyQwVuEb2-yhWQit7lw/edit?gid=872795839#gid=872795839"", address(row($D53),column($D53),,,""DM&amp;GT-M""))"),29)</f>
        <v>29</v>
      </c>
      <c r="E55" s="8">
        <f t="shared" ca="1" si="2"/>
        <v>80.555555555555557</v>
      </c>
      <c r="F55" s="5">
        <f ca="1">IFERROR(__xludf.DUMMYFUNCTION("IMPORTRANGE(""https://docs.google.com/spreadsheets/d/1rOGZhKHVnDGFqGTO7UNOJSkSJyQwVuEb2-yhWQit7lw/edit?gid=659871210#gid=659871210"", address(row($D53),column($D53),,,""UHV-M""))"),25)</f>
        <v>25</v>
      </c>
      <c r="G55" s="8">
        <f t="shared" ca="1" si="3"/>
        <v>78.125</v>
      </c>
      <c r="H55" s="5">
        <f ca="1">IFERROR(__xludf.DUMMYFUNCTION("IMPORTRANGE(""https://docs.google.com/spreadsheets/d/1rOGZhKHVnDGFqGTO7UNOJSkSJyQwVuEb2-yhWQit7lw/edit?gid=1831678671#gid=1831678671"", address(row($D53),column($D53),,,""DL&amp;CO-M""))"),32)</f>
        <v>32</v>
      </c>
      <c r="I55" s="8">
        <f t="shared" ca="1" si="4"/>
        <v>80</v>
      </c>
      <c r="J55" s="5">
        <f ca="1">IFERROR(__xludf.DUMMYFUNCTION("IMPORTRANGE(""https://docs.google.com/spreadsheets/d/1rOGZhKHVnDGFqGTO7UNOJSkSJyQwVuEb2-yhWQit7lw/edit?gid=1967609937#gid=1967609937"", address(row($D53),column($D53),,,""ADSA-M""))"),49)</f>
        <v>49</v>
      </c>
      <c r="K55" s="8">
        <f t="shared" ca="1" si="5"/>
        <v>74.242424242424249</v>
      </c>
      <c r="L55" s="5">
        <f ca="1">IFERROR(__xludf.DUMMYFUNCTION("IMPORTRANGE(""https://docs.google.com/spreadsheets/d/1rOGZhKHVnDGFqGTO7UNOJSkSJyQwVuEb2-yhWQit7lw/edit?gid=413111112#gid=413111112"", address(row($D53),column($D53),,,""JAVA-M""))"),49)</f>
        <v>49</v>
      </c>
      <c r="M55" s="8">
        <f t="shared" ca="1" si="6"/>
        <v>74.242424242424249</v>
      </c>
      <c r="N55" s="5">
        <f ca="1">IFERROR(__xludf.DUMMYFUNCTION("IMPORTRANGE(""https://docs.google.com/spreadsheets/d/1rOGZhKHVnDGFqGTO7UNOJSkSJyQwVuEb2-yhWQit7lw/edit?gid=48564407#gid=48564407"", address(row($D53),column($D53),,,""FOSS LAB-M""))"),21)</f>
        <v>21</v>
      </c>
      <c r="O55" s="8">
        <f t="shared" ca="1" si="7"/>
        <v>70</v>
      </c>
      <c r="P55" s="5">
        <f ca="1">IFERROR(__xludf.DUMMYFUNCTION("IMPORTRANGE(""https://docs.google.com/spreadsheets/d/1rOGZhKHVnDGFqGTO7UNOJSkSJyQwVuEb2-yhWQit7lw/edit?gid=1253773396#gid=1253773396"", address(row($D53),column($D53),,,""PP-M""))"),20)</f>
        <v>20</v>
      </c>
      <c r="Q55" s="8">
        <f t="shared" ca="1" si="8"/>
        <v>83.333333333333343</v>
      </c>
      <c r="R55" s="5">
        <f ca="1">IFERROR(__xludf.DUMMYFUNCTION("IMPORTRANGE(""https://docs.google.com/spreadsheets/d/1rOGZhKHVnDGFqGTO7UNOJSkSJyQwVuEb2-yhWQit7lw/edit?gid=1188725859#gid=1188725859"", address(row($D53),column($D53),,,""NPTEL-M""))"),32)</f>
        <v>32</v>
      </c>
      <c r="S55" s="5">
        <f t="shared" ca="1" si="9"/>
        <v>84.210526315789465</v>
      </c>
      <c r="T55" s="6">
        <f ca="1">IFERROR(__xludf.DUMMYFUNCTION("IMPORTRANGE(""https://docs.google.com/spreadsheets/d/1rOGZhKHVnDGFqGTO7UNOJSkSJyQwVuEb2-yhWQit7lw/edit?gid=832656518#gid=832656518"", address(row($D53),column($D53),,,""CRT-M""))"),91)</f>
        <v>91</v>
      </c>
      <c r="U55" s="8">
        <f t="shared" ca="1" si="10"/>
        <v>100</v>
      </c>
      <c r="V55" s="6">
        <f t="shared" ca="1" si="0"/>
        <v>348</v>
      </c>
      <c r="W55" s="4">
        <f t="shared" ca="1" si="11"/>
        <v>82</v>
      </c>
      <c r="X55" s="4">
        <v>4</v>
      </c>
      <c r="Y55" s="4">
        <v>0</v>
      </c>
      <c r="Z55" s="4">
        <f t="shared" ca="1" si="1"/>
        <v>352</v>
      </c>
      <c r="AA55" s="10">
        <f t="shared" ca="1" si="12"/>
        <v>83</v>
      </c>
    </row>
    <row r="56" spans="1:27" ht="15.85" customHeight="1" x14ac:dyDescent="0.3">
      <c r="A56" s="8">
        <v>51</v>
      </c>
      <c r="B56" s="11" t="s">
        <v>123</v>
      </c>
      <c r="C56" s="11" t="s">
        <v>124</v>
      </c>
      <c r="D56" s="5">
        <f ca="1">IFERROR(__xludf.DUMMYFUNCTION("IMPORTRANGE(""https://docs.google.com/spreadsheets/d/1rOGZhKHVnDGFqGTO7UNOJSkSJyQwVuEb2-yhWQit7lw/edit?gid=872795839#gid=872795839"", address(row($D54),column($D54),,,""DM&amp;GT-M""))"),17)</f>
        <v>17</v>
      </c>
      <c r="E56" s="8">
        <f t="shared" ca="1" si="2"/>
        <v>47.222222222222221</v>
      </c>
      <c r="F56" s="5">
        <f ca="1">IFERROR(__xludf.DUMMYFUNCTION("IMPORTRANGE(""https://docs.google.com/spreadsheets/d/1rOGZhKHVnDGFqGTO7UNOJSkSJyQwVuEb2-yhWQit7lw/edit?gid=659871210#gid=659871210"", address(row($D54),column($D54),,,""UHV-M""))"),16)</f>
        <v>16</v>
      </c>
      <c r="G56" s="8">
        <f t="shared" ca="1" si="3"/>
        <v>50</v>
      </c>
      <c r="H56" s="5">
        <f ca="1">IFERROR(__xludf.DUMMYFUNCTION("IMPORTRANGE(""https://docs.google.com/spreadsheets/d/1rOGZhKHVnDGFqGTO7UNOJSkSJyQwVuEb2-yhWQit7lw/edit?gid=1831678671#gid=1831678671"", address(row($D54),column($D54),,,""DL&amp;CO-M""))"),16)</f>
        <v>16</v>
      </c>
      <c r="I56" s="8">
        <f t="shared" ca="1" si="4"/>
        <v>40</v>
      </c>
      <c r="J56" s="5">
        <f ca="1">IFERROR(__xludf.DUMMYFUNCTION("IMPORTRANGE(""https://docs.google.com/spreadsheets/d/1rOGZhKHVnDGFqGTO7UNOJSkSJyQwVuEb2-yhWQit7lw/edit?gid=1967609937#gid=1967609937"", address(row($D54),column($D54),,,""ADSA-M""))"),32)</f>
        <v>32</v>
      </c>
      <c r="K56" s="8">
        <f t="shared" ca="1" si="5"/>
        <v>48.484848484848484</v>
      </c>
      <c r="L56" s="5">
        <f ca="1">IFERROR(__xludf.DUMMYFUNCTION("IMPORTRANGE(""https://docs.google.com/spreadsheets/d/1rOGZhKHVnDGFqGTO7UNOJSkSJyQwVuEb2-yhWQit7lw/edit?gid=413111112#gid=413111112"", address(row($D54),column($D54),,,""JAVA-M""))"),32)</f>
        <v>32</v>
      </c>
      <c r="M56" s="8">
        <f t="shared" ca="1" si="6"/>
        <v>48.484848484848484</v>
      </c>
      <c r="N56" s="5">
        <f ca="1">IFERROR(__xludf.DUMMYFUNCTION("IMPORTRANGE(""https://docs.google.com/spreadsheets/d/1rOGZhKHVnDGFqGTO7UNOJSkSJyQwVuEb2-yhWQit7lw/edit?gid=48564407#gid=48564407"", address(row($D54),column($D54),,,""FOSS LAB-M""))"),15)</f>
        <v>15</v>
      </c>
      <c r="O56" s="8">
        <f t="shared" ca="1" si="7"/>
        <v>50</v>
      </c>
      <c r="P56" s="5">
        <f ca="1">IFERROR(__xludf.DUMMYFUNCTION("IMPORTRANGE(""https://docs.google.com/spreadsheets/d/1rOGZhKHVnDGFqGTO7UNOJSkSJyQwVuEb2-yhWQit7lw/edit?gid=1253773396#gid=1253773396"", address(row($D54),column($D54),,,""PP-M""))"),6)</f>
        <v>6</v>
      </c>
      <c r="Q56" s="8">
        <f t="shared" ca="1" si="8"/>
        <v>25</v>
      </c>
      <c r="R56" s="5">
        <f ca="1">IFERROR(__xludf.DUMMYFUNCTION("IMPORTRANGE(""https://docs.google.com/spreadsheets/d/1rOGZhKHVnDGFqGTO7UNOJSkSJyQwVuEb2-yhWQit7lw/edit?gid=1188725859#gid=1188725859"", address(row($D54),column($D54),,,""NPTEL-M""))"),18)</f>
        <v>18</v>
      </c>
      <c r="S56" s="5">
        <f t="shared" ca="1" si="9"/>
        <v>47.368421052631575</v>
      </c>
      <c r="T56" s="6">
        <f ca="1">IFERROR(__xludf.DUMMYFUNCTION("IMPORTRANGE(""https://docs.google.com/spreadsheets/d/1rOGZhKHVnDGFqGTO7UNOJSkSJyQwVuEb2-yhWQit7lw/edit?gid=832656518#gid=832656518"", address(row($D54),column($D54),,,""CRT-M""))"),84)</f>
        <v>84</v>
      </c>
      <c r="U56" s="8">
        <f t="shared" ca="1" si="10"/>
        <v>92.307692307692307</v>
      </c>
      <c r="V56" s="6">
        <f t="shared" ca="1" si="0"/>
        <v>236</v>
      </c>
      <c r="W56" s="4">
        <f t="shared" ca="1" si="11"/>
        <v>56</v>
      </c>
      <c r="X56" s="4">
        <v>0</v>
      </c>
      <c r="Y56" s="4">
        <v>0</v>
      </c>
      <c r="Z56" s="4">
        <f t="shared" ca="1" si="1"/>
        <v>236</v>
      </c>
      <c r="AA56" s="10">
        <f t="shared" ca="1" si="12"/>
        <v>56</v>
      </c>
    </row>
    <row r="57" spans="1:27" ht="15.85" customHeight="1" x14ac:dyDescent="0.3">
      <c r="A57" s="8">
        <v>52</v>
      </c>
      <c r="B57" s="11" t="s">
        <v>125</v>
      </c>
      <c r="C57" s="11" t="s">
        <v>126</v>
      </c>
      <c r="D57" s="5">
        <f ca="1">IFERROR(__xludf.DUMMYFUNCTION("IMPORTRANGE(""https://docs.google.com/spreadsheets/d/1rOGZhKHVnDGFqGTO7UNOJSkSJyQwVuEb2-yhWQit7lw/edit?gid=872795839#gid=872795839"", address(row($D55),column($D55),,,""DM&amp;GT-M""))"),22)</f>
        <v>22</v>
      </c>
      <c r="E57" s="8">
        <f t="shared" ca="1" si="2"/>
        <v>61.111111111111114</v>
      </c>
      <c r="F57" s="5">
        <f ca="1">IFERROR(__xludf.DUMMYFUNCTION("IMPORTRANGE(""https://docs.google.com/spreadsheets/d/1rOGZhKHVnDGFqGTO7UNOJSkSJyQwVuEb2-yhWQit7lw/edit?gid=659871210#gid=659871210"", address(row($D55),column($D55),,,""UHV-M""))"),22)</f>
        <v>22</v>
      </c>
      <c r="G57" s="8">
        <f t="shared" ca="1" si="3"/>
        <v>68.75</v>
      </c>
      <c r="H57" s="5">
        <f ca="1">IFERROR(__xludf.DUMMYFUNCTION("IMPORTRANGE(""https://docs.google.com/spreadsheets/d/1rOGZhKHVnDGFqGTO7UNOJSkSJyQwVuEb2-yhWQit7lw/edit?gid=1831678671#gid=1831678671"", address(row($D55),column($D55),,,""DL&amp;CO-M""))"),23)</f>
        <v>23</v>
      </c>
      <c r="I57" s="8">
        <f t="shared" ca="1" si="4"/>
        <v>57.499999999999993</v>
      </c>
      <c r="J57" s="5">
        <f ca="1">IFERROR(__xludf.DUMMYFUNCTION("IMPORTRANGE(""https://docs.google.com/spreadsheets/d/1rOGZhKHVnDGFqGTO7UNOJSkSJyQwVuEb2-yhWQit7lw/edit?gid=1967609937#gid=1967609937"", address(row($D55),column($D55),,,""ADSA-M""))"),38)</f>
        <v>38</v>
      </c>
      <c r="K57" s="8">
        <f t="shared" ca="1" si="5"/>
        <v>57.575757575757578</v>
      </c>
      <c r="L57" s="5">
        <f ca="1">IFERROR(__xludf.DUMMYFUNCTION("IMPORTRANGE(""https://docs.google.com/spreadsheets/d/1rOGZhKHVnDGFqGTO7UNOJSkSJyQwVuEb2-yhWQit7lw/edit?gid=413111112#gid=413111112"", address(row($D55),column($D55),,,""JAVA-M""))"),35)</f>
        <v>35</v>
      </c>
      <c r="M57" s="8">
        <f t="shared" ca="1" si="6"/>
        <v>53.030303030303031</v>
      </c>
      <c r="N57" s="5">
        <f ca="1">IFERROR(__xludf.DUMMYFUNCTION("IMPORTRANGE(""https://docs.google.com/spreadsheets/d/1rOGZhKHVnDGFqGTO7UNOJSkSJyQwVuEb2-yhWQit7lw/edit?gid=48564407#gid=48564407"", address(row($D55),column($D55),,,""FOSS LAB-M""))"),18)</f>
        <v>18</v>
      </c>
      <c r="O57" s="8">
        <f t="shared" ca="1" si="7"/>
        <v>60</v>
      </c>
      <c r="P57" s="5">
        <f ca="1">IFERROR(__xludf.DUMMYFUNCTION("IMPORTRANGE(""https://docs.google.com/spreadsheets/d/1rOGZhKHVnDGFqGTO7UNOJSkSJyQwVuEb2-yhWQit7lw/edit?gid=1253773396#gid=1253773396"", address(row($D55),column($D55),,,""PP-M""))"),12)</f>
        <v>12</v>
      </c>
      <c r="Q57" s="8">
        <f t="shared" ca="1" si="8"/>
        <v>50</v>
      </c>
      <c r="R57" s="5">
        <f ca="1">IFERROR(__xludf.DUMMYFUNCTION("IMPORTRANGE(""https://docs.google.com/spreadsheets/d/1rOGZhKHVnDGFqGTO7UNOJSkSJyQwVuEb2-yhWQit7lw/edit?gid=1188725859#gid=1188725859"", address(row($D55),column($D55),,,""NPTEL-M""))"),24)</f>
        <v>24</v>
      </c>
      <c r="S57" s="5">
        <f t="shared" ca="1" si="9"/>
        <v>63.157894736842103</v>
      </c>
      <c r="T57" s="6">
        <f ca="1">IFERROR(__xludf.DUMMYFUNCTION("IMPORTRANGE(""https://docs.google.com/spreadsheets/d/1rOGZhKHVnDGFqGTO7UNOJSkSJyQwVuEb2-yhWQit7lw/edit?gid=832656518#gid=832656518"", address(row($D55),column($D55),,,""CRT-M""))"),74)</f>
        <v>74</v>
      </c>
      <c r="U57" s="8">
        <f t="shared" ca="1" si="10"/>
        <v>81.318681318681314</v>
      </c>
      <c r="V57" s="6">
        <f t="shared" ca="1" si="0"/>
        <v>268</v>
      </c>
      <c r="W57" s="4">
        <f t="shared" ca="1" si="11"/>
        <v>63</v>
      </c>
      <c r="X57" s="4">
        <v>0</v>
      </c>
      <c r="Y57" s="4">
        <v>0</v>
      </c>
      <c r="Z57" s="4">
        <f t="shared" ca="1" si="1"/>
        <v>268</v>
      </c>
      <c r="AA57" s="10">
        <f t="shared" ca="1" si="12"/>
        <v>63</v>
      </c>
    </row>
    <row r="58" spans="1:27" ht="15.85" customHeight="1" x14ac:dyDescent="0.3">
      <c r="A58" s="8">
        <v>53</v>
      </c>
      <c r="B58" s="11" t="s">
        <v>127</v>
      </c>
      <c r="C58" s="11" t="s">
        <v>128</v>
      </c>
      <c r="D58" s="5">
        <f ca="1">IFERROR(__xludf.DUMMYFUNCTION("IMPORTRANGE(""https://docs.google.com/spreadsheets/d/1rOGZhKHVnDGFqGTO7UNOJSkSJyQwVuEb2-yhWQit7lw/edit?gid=872795839#gid=872795839"", address(row($D56),column($D56),,,""DM&amp;GT-M""))"),16)</f>
        <v>16</v>
      </c>
      <c r="E58" s="8">
        <f t="shared" ca="1" si="2"/>
        <v>44.444444444444443</v>
      </c>
      <c r="F58" s="5">
        <f ca="1">IFERROR(__xludf.DUMMYFUNCTION("IMPORTRANGE(""https://docs.google.com/spreadsheets/d/1rOGZhKHVnDGFqGTO7UNOJSkSJyQwVuEb2-yhWQit7lw/edit?gid=659871210#gid=659871210"", address(row($D56),column($D56),,,""UHV-M""))"),15)</f>
        <v>15</v>
      </c>
      <c r="G58" s="8">
        <f t="shared" ca="1" si="3"/>
        <v>46.875</v>
      </c>
      <c r="H58" s="5">
        <f ca="1">IFERROR(__xludf.DUMMYFUNCTION("IMPORTRANGE(""https://docs.google.com/spreadsheets/d/1rOGZhKHVnDGFqGTO7UNOJSkSJyQwVuEb2-yhWQit7lw/edit?gid=1831678671#gid=1831678671"", address(row($D56),column($D56),,,""DL&amp;CO-M""))"),15)</f>
        <v>15</v>
      </c>
      <c r="I58" s="8">
        <f t="shared" ca="1" si="4"/>
        <v>37.5</v>
      </c>
      <c r="J58" s="5">
        <f ca="1">IFERROR(__xludf.DUMMYFUNCTION("IMPORTRANGE(""https://docs.google.com/spreadsheets/d/1rOGZhKHVnDGFqGTO7UNOJSkSJyQwVuEb2-yhWQit7lw/edit?gid=1967609937#gid=1967609937"", address(row($D56),column($D56),,,""ADSA-M""))"),28)</f>
        <v>28</v>
      </c>
      <c r="K58" s="8">
        <f t="shared" ca="1" si="5"/>
        <v>42.424242424242422</v>
      </c>
      <c r="L58" s="5">
        <f ca="1">IFERROR(__xludf.DUMMYFUNCTION("IMPORTRANGE(""https://docs.google.com/spreadsheets/d/1rOGZhKHVnDGFqGTO7UNOJSkSJyQwVuEb2-yhWQit7lw/edit?gid=413111112#gid=413111112"", address(row($D56),column($D56),,,""JAVA-M""))"),28)</f>
        <v>28</v>
      </c>
      <c r="M58" s="8">
        <f t="shared" ca="1" si="6"/>
        <v>42.424242424242422</v>
      </c>
      <c r="N58" s="5">
        <f ca="1">IFERROR(__xludf.DUMMYFUNCTION("IMPORTRANGE(""https://docs.google.com/spreadsheets/d/1rOGZhKHVnDGFqGTO7UNOJSkSJyQwVuEb2-yhWQit7lw/edit?gid=48564407#gid=48564407"", address(row($D56),column($D56),,,""FOSS LAB-M""))"),12)</f>
        <v>12</v>
      </c>
      <c r="O58" s="8">
        <f t="shared" ca="1" si="7"/>
        <v>40</v>
      </c>
      <c r="P58" s="5">
        <f ca="1">IFERROR(__xludf.DUMMYFUNCTION("IMPORTRANGE(""https://docs.google.com/spreadsheets/d/1rOGZhKHVnDGFqGTO7UNOJSkSJyQwVuEb2-yhWQit7lw/edit?gid=1253773396#gid=1253773396"", address(row($D56),column($D56),,,""PP-M""))"),10)</f>
        <v>10</v>
      </c>
      <c r="Q58" s="8">
        <f t="shared" ca="1" si="8"/>
        <v>41.666666666666671</v>
      </c>
      <c r="R58" s="5">
        <f ca="1">IFERROR(__xludf.DUMMYFUNCTION("IMPORTRANGE(""https://docs.google.com/spreadsheets/d/1rOGZhKHVnDGFqGTO7UNOJSkSJyQwVuEb2-yhWQit7lw/edit?gid=1188725859#gid=1188725859"", address(row($D56),column($D56),,,""NPTEL-M""))"),22)</f>
        <v>22</v>
      </c>
      <c r="S58" s="5">
        <f t="shared" ca="1" si="9"/>
        <v>57.894736842105267</v>
      </c>
      <c r="T58" s="6">
        <f ca="1">IFERROR(__xludf.DUMMYFUNCTION("IMPORTRANGE(""https://docs.google.com/spreadsheets/d/1rOGZhKHVnDGFqGTO7UNOJSkSJyQwVuEb2-yhWQit7lw/edit?gid=832656518#gid=832656518"", address(row($D56),column($D56),,,""CRT-M""))"),81)</f>
        <v>81</v>
      </c>
      <c r="U58" s="8">
        <f t="shared" ca="1" si="10"/>
        <v>89.010989010989007</v>
      </c>
      <c r="V58" s="6">
        <f t="shared" ca="1" si="0"/>
        <v>227</v>
      </c>
      <c r="W58" s="4">
        <f t="shared" ca="1" si="11"/>
        <v>54</v>
      </c>
      <c r="X58" s="4">
        <v>0</v>
      </c>
      <c r="Y58" s="4">
        <v>0</v>
      </c>
      <c r="Z58" s="4">
        <f t="shared" ca="1" si="1"/>
        <v>227</v>
      </c>
      <c r="AA58" s="10">
        <f t="shared" ca="1" si="12"/>
        <v>54</v>
      </c>
    </row>
    <row r="59" spans="1:27" ht="15.85" customHeight="1" x14ac:dyDescent="0.3">
      <c r="A59" s="8">
        <v>54</v>
      </c>
      <c r="B59" s="11" t="s">
        <v>129</v>
      </c>
      <c r="C59" s="11" t="s">
        <v>130</v>
      </c>
      <c r="D59" s="5">
        <f ca="1">IFERROR(__xludf.DUMMYFUNCTION("IMPORTRANGE(""https://docs.google.com/spreadsheets/d/1rOGZhKHVnDGFqGTO7UNOJSkSJyQwVuEb2-yhWQit7lw/edit?gid=872795839#gid=872795839"", address(row($D57),column($D57),,,""DM&amp;GT-M""))"),24)</f>
        <v>24</v>
      </c>
      <c r="E59" s="8">
        <f t="shared" ca="1" si="2"/>
        <v>66.666666666666657</v>
      </c>
      <c r="F59" s="5">
        <f ca="1">IFERROR(__xludf.DUMMYFUNCTION("IMPORTRANGE(""https://docs.google.com/spreadsheets/d/1rOGZhKHVnDGFqGTO7UNOJSkSJyQwVuEb2-yhWQit7lw/edit?gid=659871210#gid=659871210"", address(row($D57),column($D57),,,""UHV-M""))"),28)</f>
        <v>28</v>
      </c>
      <c r="G59" s="8">
        <f t="shared" ca="1" si="3"/>
        <v>87.5</v>
      </c>
      <c r="H59" s="5">
        <f ca="1">IFERROR(__xludf.DUMMYFUNCTION("IMPORTRANGE(""https://docs.google.com/spreadsheets/d/1rOGZhKHVnDGFqGTO7UNOJSkSJyQwVuEb2-yhWQit7lw/edit?gid=1831678671#gid=1831678671"", address(row($D57),column($D57),,,""DL&amp;CO-M""))"),25)</f>
        <v>25</v>
      </c>
      <c r="I59" s="8">
        <f t="shared" ca="1" si="4"/>
        <v>62.5</v>
      </c>
      <c r="J59" s="5">
        <f ca="1">IFERROR(__xludf.DUMMYFUNCTION("IMPORTRANGE(""https://docs.google.com/spreadsheets/d/1rOGZhKHVnDGFqGTO7UNOJSkSJyQwVuEb2-yhWQit7lw/edit?gid=1967609937#gid=1967609937"", address(row($D57),column($D57),,,""ADSA-M""))"),46)</f>
        <v>46</v>
      </c>
      <c r="K59" s="8">
        <f t="shared" ca="1" si="5"/>
        <v>69.696969696969703</v>
      </c>
      <c r="L59" s="5">
        <f ca="1">IFERROR(__xludf.DUMMYFUNCTION("IMPORTRANGE(""https://docs.google.com/spreadsheets/d/1rOGZhKHVnDGFqGTO7UNOJSkSJyQwVuEb2-yhWQit7lw/edit?gid=413111112#gid=413111112"", address(row($D57),column($D57),,,""JAVA-M""))"),43)</f>
        <v>43</v>
      </c>
      <c r="M59" s="8">
        <f t="shared" ca="1" si="6"/>
        <v>65.151515151515156</v>
      </c>
      <c r="N59" s="5">
        <f ca="1">IFERROR(__xludf.DUMMYFUNCTION("IMPORTRANGE(""https://docs.google.com/spreadsheets/d/1rOGZhKHVnDGFqGTO7UNOJSkSJyQwVuEb2-yhWQit7lw/edit?gid=48564407#gid=48564407"", address(row($D57),column($D57),,,""FOSS LAB-M""))"),23)</f>
        <v>23</v>
      </c>
      <c r="O59" s="8">
        <f t="shared" ca="1" si="7"/>
        <v>76.666666666666671</v>
      </c>
      <c r="P59" s="5">
        <f ca="1">IFERROR(__xludf.DUMMYFUNCTION("IMPORTRANGE(""https://docs.google.com/spreadsheets/d/1rOGZhKHVnDGFqGTO7UNOJSkSJyQwVuEb2-yhWQit7lw/edit?gid=1253773396#gid=1253773396"", address(row($D57),column($D57),,,""PP-M""))"),20)</f>
        <v>20</v>
      </c>
      <c r="Q59" s="8">
        <f t="shared" ca="1" si="8"/>
        <v>83.333333333333343</v>
      </c>
      <c r="R59" s="5">
        <f ca="1">IFERROR(__xludf.DUMMYFUNCTION("IMPORTRANGE(""https://docs.google.com/spreadsheets/d/1rOGZhKHVnDGFqGTO7UNOJSkSJyQwVuEb2-yhWQit7lw/edit?gid=1188725859#gid=1188725859"", address(row($D57),column($D57),,,""NPTEL-M""))"),30)</f>
        <v>30</v>
      </c>
      <c r="S59" s="5">
        <f t="shared" ca="1" si="9"/>
        <v>78.94736842105263</v>
      </c>
      <c r="T59" s="6">
        <f ca="1">IFERROR(__xludf.DUMMYFUNCTION("IMPORTRANGE(""https://docs.google.com/spreadsheets/d/1rOGZhKHVnDGFqGTO7UNOJSkSJyQwVuEb2-yhWQit7lw/edit?gid=832656518#gid=832656518"", address(row($D57),column($D57),,,""CRT-M""))"),84)</f>
        <v>84</v>
      </c>
      <c r="U59" s="8">
        <f t="shared" ca="1" si="10"/>
        <v>92.307692307692307</v>
      </c>
      <c r="V59" s="6">
        <f t="shared" ca="1" si="0"/>
        <v>323</v>
      </c>
      <c r="W59" s="4">
        <f t="shared" ca="1" si="11"/>
        <v>76</v>
      </c>
      <c r="X59" s="4">
        <v>0</v>
      </c>
      <c r="Y59" s="4">
        <v>0</v>
      </c>
      <c r="Z59" s="4">
        <f t="shared" ca="1" si="1"/>
        <v>323</v>
      </c>
      <c r="AA59" s="10">
        <f t="shared" ca="1" si="12"/>
        <v>76</v>
      </c>
    </row>
    <row r="60" spans="1:27" ht="15.85" customHeight="1" x14ac:dyDescent="0.3">
      <c r="A60" s="8">
        <v>55</v>
      </c>
      <c r="B60" s="11" t="s">
        <v>131</v>
      </c>
      <c r="C60" s="11" t="s">
        <v>132</v>
      </c>
      <c r="D60" s="5">
        <f ca="1">IFERROR(__xludf.DUMMYFUNCTION("IMPORTRANGE(""https://docs.google.com/spreadsheets/d/1rOGZhKHVnDGFqGTO7UNOJSkSJyQwVuEb2-yhWQit7lw/edit?gid=872795839#gid=872795839"", address(row($D58),column($D58),,,""DM&amp;GT-M""))"),34)</f>
        <v>34</v>
      </c>
      <c r="E60" s="8">
        <f t="shared" ca="1" si="2"/>
        <v>94.444444444444443</v>
      </c>
      <c r="F60" s="5">
        <f ca="1">IFERROR(__xludf.DUMMYFUNCTION("IMPORTRANGE(""https://docs.google.com/spreadsheets/d/1rOGZhKHVnDGFqGTO7UNOJSkSJyQwVuEb2-yhWQit7lw/edit?gid=659871210#gid=659871210"", address(row($D58),column($D58),,,""UHV-M""))"),31)</f>
        <v>31</v>
      </c>
      <c r="G60" s="8">
        <f t="shared" ca="1" si="3"/>
        <v>96.875</v>
      </c>
      <c r="H60" s="5">
        <f ca="1">IFERROR(__xludf.DUMMYFUNCTION("IMPORTRANGE(""https://docs.google.com/spreadsheets/d/1rOGZhKHVnDGFqGTO7UNOJSkSJyQwVuEb2-yhWQit7lw/edit?gid=1831678671#gid=1831678671"", address(row($D58),column($D58),,,""DL&amp;CO-M""))"),38)</f>
        <v>38</v>
      </c>
      <c r="I60" s="8">
        <f t="shared" ca="1" si="4"/>
        <v>95</v>
      </c>
      <c r="J60" s="5">
        <f ca="1">IFERROR(__xludf.DUMMYFUNCTION("IMPORTRANGE(""https://docs.google.com/spreadsheets/d/1rOGZhKHVnDGFqGTO7UNOJSkSJyQwVuEb2-yhWQit7lw/edit?gid=1967609937#gid=1967609937"", address(row($D58),column($D58),,,""ADSA-M""))"),64)</f>
        <v>64</v>
      </c>
      <c r="K60" s="8">
        <f t="shared" ca="1" si="5"/>
        <v>96.969696969696969</v>
      </c>
      <c r="L60" s="5">
        <f ca="1">IFERROR(__xludf.DUMMYFUNCTION("IMPORTRANGE(""https://docs.google.com/spreadsheets/d/1rOGZhKHVnDGFqGTO7UNOJSkSJyQwVuEb2-yhWQit7lw/edit?gid=413111112#gid=413111112"", address(row($D58),column($D58),,,""JAVA-M""))"),62)</f>
        <v>62</v>
      </c>
      <c r="M60" s="8">
        <f t="shared" ca="1" si="6"/>
        <v>93.939393939393938</v>
      </c>
      <c r="N60" s="5">
        <f ca="1">IFERROR(__xludf.DUMMYFUNCTION("IMPORTRANGE(""https://docs.google.com/spreadsheets/d/1rOGZhKHVnDGFqGTO7UNOJSkSJyQwVuEb2-yhWQit7lw/edit?gid=48564407#gid=48564407"", address(row($D58),column($D58),,,""FOSS LAB-M""))"),24)</f>
        <v>24</v>
      </c>
      <c r="O60" s="8">
        <f t="shared" ca="1" si="7"/>
        <v>80</v>
      </c>
      <c r="P60" s="5">
        <f ca="1">IFERROR(__xludf.DUMMYFUNCTION("IMPORTRANGE(""https://docs.google.com/spreadsheets/d/1rOGZhKHVnDGFqGTO7UNOJSkSJyQwVuEb2-yhWQit7lw/edit?gid=1253773396#gid=1253773396"", address(row($D58),column($D58),,,""PP-M""))"),22)</f>
        <v>22</v>
      </c>
      <c r="Q60" s="8">
        <f t="shared" ca="1" si="8"/>
        <v>91.666666666666657</v>
      </c>
      <c r="R60" s="5">
        <f ca="1">IFERROR(__xludf.DUMMYFUNCTION("IMPORTRANGE(""https://docs.google.com/spreadsheets/d/1rOGZhKHVnDGFqGTO7UNOJSkSJyQwVuEb2-yhWQit7lw/edit?gid=1188725859#gid=1188725859"", address(row($D58),column($D58),,,""NPTEL-M""))"),36)</f>
        <v>36</v>
      </c>
      <c r="S60" s="5">
        <f t="shared" ca="1" si="9"/>
        <v>94.73684210526315</v>
      </c>
      <c r="T60" s="6">
        <f ca="1">IFERROR(__xludf.DUMMYFUNCTION("IMPORTRANGE(""https://docs.google.com/spreadsheets/d/1rOGZhKHVnDGFqGTO7UNOJSkSJyQwVuEb2-yhWQit7lw/edit?gid=832656518#gid=832656518"", address(row($D58),column($D58),,,""CRT-M""))"),91)</f>
        <v>91</v>
      </c>
      <c r="U60" s="8">
        <f t="shared" ca="1" si="10"/>
        <v>100</v>
      </c>
      <c r="V60" s="6">
        <f t="shared" ca="1" si="0"/>
        <v>402</v>
      </c>
      <c r="W60" s="4">
        <f t="shared" ca="1" si="11"/>
        <v>95</v>
      </c>
      <c r="X60" s="4">
        <v>7</v>
      </c>
      <c r="Y60" s="4">
        <v>0</v>
      </c>
      <c r="Z60" s="4">
        <f t="shared" ca="1" si="1"/>
        <v>409</v>
      </c>
      <c r="AA60" s="10">
        <f t="shared" ca="1" si="12"/>
        <v>97</v>
      </c>
    </row>
    <row r="61" spans="1:27" ht="15.85" customHeight="1" x14ac:dyDescent="0.3">
      <c r="A61" s="8">
        <v>56</v>
      </c>
      <c r="B61" s="11" t="s">
        <v>133</v>
      </c>
      <c r="C61" s="11" t="s">
        <v>134</v>
      </c>
      <c r="D61" s="5">
        <f ca="1">IFERROR(__xludf.DUMMYFUNCTION("IMPORTRANGE(""https://docs.google.com/spreadsheets/d/1rOGZhKHVnDGFqGTO7UNOJSkSJyQwVuEb2-yhWQit7lw/edit?gid=872795839#gid=872795839"", address(row($D59),column($D59),,,""DM&amp;GT-M""))"),18)</f>
        <v>18</v>
      </c>
      <c r="E61" s="8">
        <f t="shared" ca="1" si="2"/>
        <v>50</v>
      </c>
      <c r="F61" s="5">
        <f ca="1">IFERROR(__xludf.DUMMYFUNCTION("IMPORTRANGE(""https://docs.google.com/spreadsheets/d/1rOGZhKHVnDGFqGTO7UNOJSkSJyQwVuEb2-yhWQit7lw/edit?gid=659871210#gid=659871210"", address(row($D59),column($D59),,,""UHV-M""))"),17)</f>
        <v>17</v>
      </c>
      <c r="G61" s="8">
        <f t="shared" ca="1" si="3"/>
        <v>53.125</v>
      </c>
      <c r="H61" s="5">
        <f ca="1">IFERROR(__xludf.DUMMYFUNCTION("IMPORTRANGE(""https://docs.google.com/spreadsheets/d/1rOGZhKHVnDGFqGTO7UNOJSkSJyQwVuEb2-yhWQit7lw/edit?gid=1831678671#gid=1831678671"", address(row($D59),column($D59),,,""DL&amp;CO-M""))"),18)</f>
        <v>18</v>
      </c>
      <c r="I61" s="8">
        <f t="shared" ca="1" si="4"/>
        <v>45</v>
      </c>
      <c r="J61" s="5">
        <f ca="1">IFERROR(__xludf.DUMMYFUNCTION("IMPORTRANGE(""https://docs.google.com/spreadsheets/d/1rOGZhKHVnDGFqGTO7UNOJSkSJyQwVuEb2-yhWQit7lw/edit?gid=1967609937#gid=1967609937"", address(row($D59),column($D59),,,""ADSA-M""))"),34)</f>
        <v>34</v>
      </c>
      <c r="K61" s="8">
        <f t="shared" ca="1" si="5"/>
        <v>51.515151515151516</v>
      </c>
      <c r="L61" s="5">
        <f ca="1">IFERROR(__xludf.DUMMYFUNCTION("IMPORTRANGE(""https://docs.google.com/spreadsheets/d/1rOGZhKHVnDGFqGTO7UNOJSkSJyQwVuEb2-yhWQit7lw/edit?gid=413111112#gid=413111112"", address(row($D59),column($D59),,,""JAVA-M""))"),26)</f>
        <v>26</v>
      </c>
      <c r="M61" s="8">
        <f t="shared" ca="1" si="6"/>
        <v>39.393939393939391</v>
      </c>
      <c r="N61" s="5">
        <f ca="1">IFERROR(__xludf.DUMMYFUNCTION("IMPORTRANGE(""https://docs.google.com/spreadsheets/d/1rOGZhKHVnDGFqGTO7UNOJSkSJyQwVuEb2-yhWQit7lw/edit?gid=48564407#gid=48564407"", address(row($D59),column($D59),,,""FOSS LAB-M""))"),15)</f>
        <v>15</v>
      </c>
      <c r="O61" s="8">
        <f t="shared" ca="1" si="7"/>
        <v>50</v>
      </c>
      <c r="P61" s="5">
        <f ca="1">IFERROR(__xludf.DUMMYFUNCTION("IMPORTRANGE(""https://docs.google.com/spreadsheets/d/1rOGZhKHVnDGFqGTO7UNOJSkSJyQwVuEb2-yhWQit7lw/edit?gid=1253773396#gid=1253773396"", address(row($D59),column($D59),,,""PP-M""))"),16)</f>
        <v>16</v>
      </c>
      <c r="Q61" s="8">
        <f t="shared" ca="1" si="8"/>
        <v>66.666666666666657</v>
      </c>
      <c r="R61" s="5">
        <f ca="1">IFERROR(__xludf.DUMMYFUNCTION("IMPORTRANGE(""https://docs.google.com/spreadsheets/d/1rOGZhKHVnDGFqGTO7UNOJSkSJyQwVuEb2-yhWQit7lw/edit?gid=1188725859#gid=1188725859"", address(row($D59),column($D59),,,""NPTEL-M""))"),22)</f>
        <v>22</v>
      </c>
      <c r="S61" s="5">
        <f t="shared" ca="1" si="9"/>
        <v>57.894736842105267</v>
      </c>
      <c r="T61" s="6">
        <f ca="1">IFERROR(__xludf.DUMMYFUNCTION("IMPORTRANGE(""https://docs.google.com/spreadsheets/d/1rOGZhKHVnDGFqGTO7UNOJSkSJyQwVuEb2-yhWQit7lw/edit?gid=832656518#gid=832656518"", address(row($D59),column($D59),,,""CRT-M""))"),56)</f>
        <v>56</v>
      </c>
      <c r="U61" s="8">
        <f t="shared" ca="1" si="10"/>
        <v>61.53846153846154</v>
      </c>
      <c r="V61" s="6">
        <f t="shared" ca="1" si="0"/>
        <v>222</v>
      </c>
      <c r="W61" s="4">
        <f t="shared" ca="1" si="11"/>
        <v>52</v>
      </c>
      <c r="X61" s="4">
        <v>7</v>
      </c>
      <c r="Y61" s="4">
        <v>0</v>
      </c>
      <c r="Z61" s="4">
        <f t="shared" ca="1" si="1"/>
        <v>229</v>
      </c>
      <c r="AA61" s="10">
        <f t="shared" ca="1" si="12"/>
        <v>54</v>
      </c>
    </row>
    <row r="62" spans="1:27" ht="15.85" customHeight="1" x14ac:dyDescent="0.3">
      <c r="A62" s="8">
        <v>57</v>
      </c>
      <c r="B62" s="11" t="s">
        <v>135</v>
      </c>
      <c r="C62" s="11" t="s">
        <v>136</v>
      </c>
      <c r="D62" s="5">
        <f ca="1">IFERROR(__xludf.DUMMYFUNCTION("IMPORTRANGE(""https://docs.google.com/spreadsheets/d/1rOGZhKHVnDGFqGTO7UNOJSkSJyQwVuEb2-yhWQit7lw/edit?gid=872795839#gid=872795839"", address(row($D60),column($D60),,,""DM&amp;GT-M""))"),32)</f>
        <v>32</v>
      </c>
      <c r="E62" s="8">
        <f t="shared" ca="1" si="2"/>
        <v>88.888888888888886</v>
      </c>
      <c r="F62" s="5">
        <f ca="1">IFERROR(__xludf.DUMMYFUNCTION("IMPORTRANGE(""https://docs.google.com/spreadsheets/d/1rOGZhKHVnDGFqGTO7UNOJSkSJyQwVuEb2-yhWQit7lw/edit?gid=659871210#gid=659871210"", address(row($D60),column($D60),,,""UHV-M""))"),27)</f>
        <v>27</v>
      </c>
      <c r="G62" s="8">
        <f t="shared" ca="1" si="3"/>
        <v>84.375</v>
      </c>
      <c r="H62" s="5">
        <f ca="1">IFERROR(__xludf.DUMMYFUNCTION("IMPORTRANGE(""https://docs.google.com/spreadsheets/d/1rOGZhKHVnDGFqGTO7UNOJSkSJyQwVuEb2-yhWQit7lw/edit?gid=1831678671#gid=1831678671"", address(row($D60),column($D60),,,""DL&amp;CO-M""))"),34)</f>
        <v>34</v>
      </c>
      <c r="I62" s="8">
        <f t="shared" ca="1" si="4"/>
        <v>85</v>
      </c>
      <c r="J62" s="5">
        <f ca="1">IFERROR(__xludf.DUMMYFUNCTION("IMPORTRANGE(""https://docs.google.com/spreadsheets/d/1rOGZhKHVnDGFqGTO7UNOJSkSJyQwVuEb2-yhWQit7lw/edit?gid=1967609937#gid=1967609937"", address(row($D60),column($D60),,,""ADSA-M""))"),56)</f>
        <v>56</v>
      </c>
      <c r="K62" s="8">
        <f t="shared" ca="1" si="5"/>
        <v>84.848484848484844</v>
      </c>
      <c r="L62" s="5">
        <f ca="1">IFERROR(__xludf.DUMMYFUNCTION("IMPORTRANGE(""https://docs.google.com/spreadsheets/d/1rOGZhKHVnDGFqGTO7UNOJSkSJyQwVuEb2-yhWQit7lw/edit?gid=413111112#gid=413111112"", address(row($D60),column($D60),,,""JAVA-M""))"),47)</f>
        <v>47</v>
      </c>
      <c r="M62" s="8">
        <f t="shared" ca="1" si="6"/>
        <v>71.212121212121218</v>
      </c>
      <c r="N62" s="5">
        <f ca="1">IFERROR(__xludf.DUMMYFUNCTION("IMPORTRANGE(""https://docs.google.com/spreadsheets/d/1rOGZhKHVnDGFqGTO7UNOJSkSJyQwVuEb2-yhWQit7lw/edit?gid=48564407#gid=48564407"", address(row($D60),column($D60),,,""FOSS LAB-M""))"),29)</f>
        <v>29</v>
      </c>
      <c r="O62" s="8">
        <f t="shared" ca="1" si="7"/>
        <v>96.666666666666671</v>
      </c>
      <c r="P62" s="5">
        <f ca="1">IFERROR(__xludf.DUMMYFUNCTION("IMPORTRANGE(""https://docs.google.com/spreadsheets/d/1rOGZhKHVnDGFqGTO7UNOJSkSJyQwVuEb2-yhWQit7lw/edit?gid=1253773396#gid=1253773396"", address(row($D60),column($D60),,,""PP-M""))"),20)</f>
        <v>20</v>
      </c>
      <c r="Q62" s="8">
        <f t="shared" ca="1" si="8"/>
        <v>83.333333333333343</v>
      </c>
      <c r="R62" s="5">
        <f ca="1">IFERROR(__xludf.DUMMYFUNCTION("IMPORTRANGE(""https://docs.google.com/spreadsheets/d/1rOGZhKHVnDGFqGTO7UNOJSkSJyQwVuEb2-yhWQit7lw/edit?gid=1188725859#gid=1188725859"", address(row($D60),column($D60),,,""NPTEL-M""))"),36)</f>
        <v>36</v>
      </c>
      <c r="S62" s="5">
        <f t="shared" ca="1" si="9"/>
        <v>94.73684210526315</v>
      </c>
      <c r="T62" s="6">
        <f ca="1">IFERROR(__xludf.DUMMYFUNCTION("IMPORTRANGE(""https://docs.google.com/spreadsheets/d/1rOGZhKHVnDGFqGTO7UNOJSkSJyQwVuEb2-yhWQit7lw/edit?gid=832656518#gid=832656518"", address(row($D60),column($D60),,,""CRT-M""))"),77)</f>
        <v>77</v>
      </c>
      <c r="U62" s="8">
        <f t="shared" ca="1" si="10"/>
        <v>84.615384615384613</v>
      </c>
      <c r="V62" s="6">
        <f t="shared" ca="1" si="0"/>
        <v>358</v>
      </c>
      <c r="W62" s="4">
        <f t="shared" ca="1" si="11"/>
        <v>85</v>
      </c>
      <c r="X62" s="4">
        <v>0</v>
      </c>
      <c r="Y62" s="4">
        <v>0</v>
      </c>
      <c r="Z62" s="4">
        <f t="shared" ca="1" si="1"/>
        <v>358</v>
      </c>
      <c r="AA62" s="10">
        <f t="shared" ca="1" si="12"/>
        <v>85</v>
      </c>
    </row>
    <row r="63" spans="1:27" ht="15.85" customHeight="1" x14ac:dyDescent="0.3">
      <c r="A63" s="8">
        <v>58</v>
      </c>
      <c r="B63" s="11" t="s">
        <v>137</v>
      </c>
      <c r="C63" s="11" t="s">
        <v>138</v>
      </c>
      <c r="D63" s="5">
        <f ca="1">IFERROR(__xludf.DUMMYFUNCTION("IMPORTRANGE(""https://docs.google.com/spreadsheets/d/1rOGZhKHVnDGFqGTO7UNOJSkSJyQwVuEb2-yhWQit7lw/edit?gid=872795839#gid=872795839"", address(row($D61),column($D61),,,""DM&amp;GT-M""))"),35)</f>
        <v>35</v>
      </c>
      <c r="E63" s="8">
        <f t="shared" ca="1" si="2"/>
        <v>97.222222222222214</v>
      </c>
      <c r="F63" s="5">
        <f ca="1">IFERROR(__xludf.DUMMYFUNCTION("IMPORTRANGE(""https://docs.google.com/spreadsheets/d/1rOGZhKHVnDGFqGTO7UNOJSkSJyQwVuEb2-yhWQit7lw/edit?gid=659871210#gid=659871210"", address(row($D61),column($D61),,,""UHV-M""))"),32)</f>
        <v>32</v>
      </c>
      <c r="G63" s="8">
        <f t="shared" ca="1" si="3"/>
        <v>100</v>
      </c>
      <c r="H63" s="5">
        <f ca="1">IFERROR(__xludf.DUMMYFUNCTION("IMPORTRANGE(""https://docs.google.com/spreadsheets/d/1rOGZhKHVnDGFqGTO7UNOJSkSJyQwVuEb2-yhWQit7lw/edit?gid=1831678671#gid=1831678671"", address(row($D61),column($D61),,,""DL&amp;CO-M""))"),36)</f>
        <v>36</v>
      </c>
      <c r="I63" s="8">
        <f t="shared" ca="1" si="4"/>
        <v>90</v>
      </c>
      <c r="J63" s="5">
        <f ca="1">IFERROR(__xludf.DUMMYFUNCTION("IMPORTRANGE(""https://docs.google.com/spreadsheets/d/1rOGZhKHVnDGFqGTO7UNOJSkSJyQwVuEb2-yhWQit7lw/edit?gid=1967609937#gid=1967609937"", address(row($D61),column($D61),,,""ADSA-M""))"),60)</f>
        <v>60</v>
      </c>
      <c r="K63" s="8">
        <f t="shared" ca="1" si="5"/>
        <v>90.909090909090907</v>
      </c>
      <c r="L63" s="5">
        <f ca="1">IFERROR(__xludf.DUMMYFUNCTION("IMPORTRANGE(""https://docs.google.com/spreadsheets/d/1rOGZhKHVnDGFqGTO7UNOJSkSJyQwVuEb2-yhWQit7lw/edit?gid=413111112#gid=413111112"", address(row($D61),column($D61),,,""JAVA-M""))"),58)</f>
        <v>58</v>
      </c>
      <c r="M63" s="8">
        <f t="shared" ca="1" si="6"/>
        <v>87.878787878787875</v>
      </c>
      <c r="N63" s="5">
        <f ca="1">IFERROR(__xludf.DUMMYFUNCTION("IMPORTRANGE(""https://docs.google.com/spreadsheets/d/1rOGZhKHVnDGFqGTO7UNOJSkSJyQwVuEb2-yhWQit7lw/edit?gid=48564407#gid=48564407"", address(row($D61),column($D61),,,""FOSS LAB-M""))"),27)</f>
        <v>27</v>
      </c>
      <c r="O63" s="8">
        <f t="shared" ca="1" si="7"/>
        <v>90</v>
      </c>
      <c r="P63" s="5">
        <f ca="1">IFERROR(__xludf.DUMMYFUNCTION("IMPORTRANGE(""https://docs.google.com/spreadsheets/d/1rOGZhKHVnDGFqGTO7UNOJSkSJyQwVuEb2-yhWQit7lw/edit?gid=1253773396#gid=1253773396"", address(row($D61),column($D61),,,""PP-M""))"),20)</f>
        <v>20</v>
      </c>
      <c r="Q63" s="8">
        <f t="shared" ca="1" si="8"/>
        <v>83.333333333333343</v>
      </c>
      <c r="R63" s="5">
        <f ca="1">IFERROR(__xludf.DUMMYFUNCTION("IMPORTRANGE(""https://docs.google.com/spreadsheets/d/1rOGZhKHVnDGFqGTO7UNOJSkSJyQwVuEb2-yhWQit7lw/edit?gid=1188725859#gid=1188725859"", address(row($D61),column($D61),,,""NPTEL-M""))"),38)</f>
        <v>38</v>
      </c>
      <c r="S63" s="5">
        <f t="shared" ca="1" si="9"/>
        <v>100</v>
      </c>
      <c r="T63" s="6">
        <f ca="1">IFERROR(__xludf.DUMMYFUNCTION("IMPORTRANGE(""https://docs.google.com/spreadsheets/d/1rOGZhKHVnDGFqGTO7UNOJSkSJyQwVuEb2-yhWQit7lw/edit?gid=832656518#gid=832656518"", address(row($D61),column($D61),,,""CRT-M""))"),91)</f>
        <v>91</v>
      </c>
      <c r="U63" s="8">
        <f t="shared" ca="1" si="10"/>
        <v>100</v>
      </c>
      <c r="V63" s="6">
        <f t="shared" ca="1" si="0"/>
        <v>397</v>
      </c>
      <c r="W63" s="4">
        <f t="shared" ca="1" si="11"/>
        <v>94</v>
      </c>
      <c r="X63" s="4">
        <v>4</v>
      </c>
      <c r="Y63" s="4">
        <v>0</v>
      </c>
      <c r="Z63" s="4">
        <f t="shared" ca="1" si="1"/>
        <v>401</v>
      </c>
      <c r="AA63" s="10">
        <f t="shared" ca="1" si="12"/>
        <v>95</v>
      </c>
    </row>
    <row r="64" spans="1:27" ht="15.85" customHeight="1" x14ac:dyDescent="0.3">
      <c r="A64" s="8">
        <v>59</v>
      </c>
      <c r="B64" s="11" t="s">
        <v>139</v>
      </c>
      <c r="C64" s="11" t="s">
        <v>140</v>
      </c>
      <c r="D64" s="5">
        <f ca="1">IFERROR(__xludf.DUMMYFUNCTION("IMPORTRANGE(""https://docs.google.com/spreadsheets/d/1rOGZhKHVnDGFqGTO7UNOJSkSJyQwVuEb2-yhWQit7lw/edit?gid=872795839#gid=872795839"", address(row($D62),column($D62),,,""DM&amp;GT-M""))"),27)</f>
        <v>27</v>
      </c>
      <c r="E64" s="8">
        <f t="shared" ca="1" si="2"/>
        <v>75</v>
      </c>
      <c r="F64" s="5">
        <f ca="1">IFERROR(__xludf.DUMMYFUNCTION("IMPORTRANGE(""https://docs.google.com/spreadsheets/d/1rOGZhKHVnDGFqGTO7UNOJSkSJyQwVuEb2-yhWQit7lw/edit?gid=659871210#gid=659871210"", address(row($D62),column($D62),,,""UHV-M""))"),23)</f>
        <v>23</v>
      </c>
      <c r="G64" s="8">
        <f t="shared" ca="1" si="3"/>
        <v>71.875</v>
      </c>
      <c r="H64" s="5">
        <f ca="1">IFERROR(__xludf.DUMMYFUNCTION("IMPORTRANGE(""https://docs.google.com/spreadsheets/d/1rOGZhKHVnDGFqGTO7UNOJSkSJyQwVuEb2-yhWQit7lw/edit?gid=1831678671#gid=1831678671"", address(row($D62),column($D62),,,""DL&amp;CO-M""))"),28)</f>
        <v>28</v>
      </c>
      <c r="I64" s="8">
        <f t="shared" ca="1" si="4"/>
        <v>70</v>
      </c>
      <c r="J64" s="5">
        <f ca="1">IFERROR(__xludf.DUMMYFUNCTION("IMPORTRANGE(""https://docs.google.com/spreadsheets/d/1rOGZhKHVnDGFqGTO7UNOJSkSJyQwVuEb2-yhWQit7lw/edit?gid=1967609937#gid=1967609937"", address(row($D62),column($D62),,,""ADSA-M""))"),44)</f>
        <v>44</v>
      </c>
      <c r="K64" s="8">
        <f t="shared" ca="1" si="5"/>
        <v>66.666666666666657</v>
      </c>
      <c r="L64" s="5">
        <f ca="1">IFERROR(__xludf.DUMMYFUNCTION("IMPORTRANGE(""https://docs.google.com/spreadsheets/d/1rOGZhKHVnDGFqGTO7UNOJSkSJyQwVuEb2-yhWQit7lw/edit?gid=413111112#gid=413111112"", address(row($D62),column($D62),,,""JAVA-M""))"),43)</f>
        <v>43</v>
      </c>
      <c r="M64" s="8">
        <f t="shared" ca="1" si="6"/>
        <v>65.151515151515156</v>
      </c>
      <c r="N64" s="5">
        <f ca="1">IFERROR(__xludf.DUMMYFUNCTION("IMPORTRANGE(""https://docs.google.com/spreadsheets/d/1rOGZhKHVnDGFqGTO7UNOJSkSJyQwVuEb2-yhWQit7lw/edit?gid=48564407#gid=48564407"", address(row($D62),column($D62),,,""FOSS LAB-M""))"),26)</f>
        <v>26</v>
      </c>
      <c r="O64" s="8">
        <f t="shared" ca="1" si="7"/>
        <v>86.666666666666671</v>
      </c>
      <c r="P64" s="5">
        <f ca="1">IFERROR(__xludf.DUMMYFUNCTION("IMPORTRANGE(""https://docs.google.com/spreadsheets/d/1rOGZhKHVnDGFqGTO7UNOJSkSJyQwVuEb2-yhWQit7lw/edit?gid=1253773396#gid=1253773396"", address(row($D62),column($D62),,,""PP-M""))"),18)</f>
        <v>18</v>
      </c>
      <c r="Q64" s="8">
        <f t="shared" ca="1" si="8"/>
        <v>75</v>
      </c>
      <c r="R64" s="5">
        <f ca="1">IFERROR(__xludf.DUMMYFUNCTION("IMPORTRANGE(""https://docs.google.com/spreadsheets/d/1rOGZhKHVnDGFqGTO7UNOJSkSJyQwVuEb2-yhWQit7lw/edit?gid=1188725859#gid=1188725859"", address(row($D62),column($D62),,,""NPTEL-M""))"),28)</f>
        <v>28</v>
      </c>
      <c r="S64" s="5">
        <f t="shared" ca="1" si="9"/>
        <v>73.68421052631578</v>
      </c>
      <c r="T64" s="6">
        <f ca="1">IFERROR(__xludf.DUMMYFUNCTION("IMPORTRANGE(""https://docs.google.com/spreadsheets/d/1rOGZhKHVnDGFqGTO7UNOJSkSJyQwVuEb2-yhWQit7lw/edit?gid=832656518#gid=832656518"", address(row($D62),column($D62),,,""CRT-M""))"),84)</f>
        <v>84</v>
      </c>
      <c r="U64" s="8">
        <f t="shared" ca="1" si="10"/>
        <v>92.307692307692307</v>
      </c>
      <c r="V64" s="6">
        <f t="shared" ca="1" si="0"/>
        <v>321</v>
      </c>
      <c r="W64" s="4">
        <f t="shared" ca="1" si="11"/>
        <v>76</v>
      </c>
      <c r="X64" s="4">
        <v>0</v>
      </c>
      <c r="Y64" s="4">
        <v>0</v>
      </c>
      <c r="Z64" s="4">
        <f t="shared" ca="1" si="1"/>
        <v>321</v>
      </c>
      <c r="AA64" s="10">
        <f t="shared" ca="1" si="12"/>
        <v>76</v>
      </c>
    </row>
    <row r="65" spans="1:27" ht="15.85" customHeight="1" x14ac:dyDescent="0.3">
      <c r="A65" s="8">
        <v>60</v>
      </c>
      <c r="B65" s="11" t="s">
        <v>141</v>
      </c>
      <c r="C65" s="11" t="s">
        <v>142</v>
      </c>
      <c r="D65" s="5">
        <f ca="1">IFERROR(__xludf.DUMMYFUNCTION("IMPORTRANGE(""https://docs.google.com/spreadsheets/d/1rOGZhKHVnDGFqGTO7UNOJSkSJyQwVuEb2-yhWQit7lw/edit?gid=872795839#gid=872795839"", address(row($D63),column($D63),,,""DM&amp;GT-M""))"),22)</f>
        <v>22</v>
      </c>
      <c r="E65" s="8">
        <f t="shared" ca="1" si="2"/>
        <v>61.111111111111114</v>
      </c>
      <c r="F65" s="5">
        <f ca="1">IFERROR(__xludf.DUMMYFUNCTION("IMPORTRANGE(""https://docs.google.com/spreadsheets/d/1rOGZhKHVnDGFqGTO7UNOJSkSJyQwVuEb2-yhWQit7lw/edit?gid=659871210#gid=659871210"", address(row($D63),column($D63),,,""UHV-M""))"),23)</f>
        <v>23</v>
      </c>
      <c r="G65" s="8">
        <f t="shared" ca="1" si="3"/>
        <v>71.875</v>
      </c>
      <c r="H65" s="5">
        <f ca="1">IFERROR(__xludf.DUMMYFUNCTION("IMPORTRANGE(""https://docs.google.com/spreadsheets/d/1rOGZhKHVnDGFqGTO7UNOJSkSJyQwVuEb2-yhWQit7lw/edit?gid=1831678671#gid=1831678671"", address(row($D63),column($D63),,,""DL&amp;CO-M""))"),22)</f>
        <v>22</v>
      </c>
      <c r="I65" s="8">
        <f t="shared" ca="1" si="4"/>
        <v>55.000000000000007</v>
      </c>
      <c r="J65" s="5">
        <f ca="1">IFERROR(__xludf.DUMMYFUNCTION("IMPORTRANGE(""https://docs.google.com/spreadsheets/d/1rOGZhKHVnDGFqGTO7UNOJSkSJyQwVuEb2-yhWQit7lw/edit?gid=1967609937#gid=1967609937"", address(row($D63),column($D63),,,""ADSA-M""))"),40)</f>
        <v>40</v>
      </c>
      <c r="K65" s="8">
        <f t="shared" ca="1" si="5"/>
        <v>60.606060606060609</v>
      </c>
      <c r="L65" s="5">
        <f ca="1">IFERROR(__xludf.DUMMYFUNCTION("IMPORTRANGE(""https://docs.google.com/spreadsheets/d/1rOGZhKHVnDGFqGTO7UNOJSkSJyQwVuEb2-yhWQit7lw/edit?gid=413111112#gid=413111112"", address(row($D63),column($D63),,,""JAVA-M""))"),37)</f>
        <v>37</v>
      </c>
      <c r="M65" s="8">
        <f t="shared" ca="1" si="6"/>
        <v>56.060606060606055</v>
      </c>
      <c r="N65" s="5">
        <f ca="1">IFERROR(__xludf.DUMMYFUNCTION("IMPORTRANGE(""https://docs.google.com/spreadsheets/d/1rOGZhKHVnDGFqGTO7UNOJSkSJyQwVuEb2-yhWQit7lw/edit?gid=48564407#gid=48564407"", address(row($D63),column($D63),,,""FOSS LAB-M""))"),18)</f>
        <v>18</v>
      </c>
      <c r="O65" s="8">
        <f t="shared" ca="1" si="7"/>
        <v>60</v>
      </c>
      <c r="P65" s="5">
        <f ca="1">IFERROR(__xludf.DUMMYFUNCTION("IMPORTRANGE(""https://docs.google.com/spreadsheets/d/1rOGZhKHVnDGFqGTO7UNOJSkSJyQwVuEb2-yhWQit7lw/edit?gid=1253773396#gid=1253773396"", address(row($D63),column($D63),,,""PP-M""))"),16)</f>
        <v>16</v>
      </c>
      <c r="Q65" s="8">
        <f t="shared" ca="1" si="8"/>
        <v>66.666666666666657</v>
      </c>
      <c r="R65" s="5">
        <f ca="1">IFERROR(__xludf.DUMMYFUNCTION("IMPORTRANGE(""https://docs.google.com/spreadsheets/d/1rOGZhKHVnDGFqGTO7UNOJSkSJyQwVuEb2-yhWQit7lw/edit?gid=1188725859#gid=1188725859"", address(row($D63),column($D63),,,""NPTEL-M""))"),24)</f>
        <v>24</v>
      </c>
      <c r="S65" s="5">
        <f t="shared" ca="1" si="9"/>
        <v>63.157894736842103</v>
      </c>
      <c r="T65" s="6">
        <f ca="1">IFERROR(__xludf.DUMMYFUNCTION("IMPORTRANGE(""https://docs.google.com/spreadsheets/d/1rOGZhKHVnDGFqGTO7UNOJSkSJyQwVuEb2-yhWQit7lw/edit?gid=832656518#gid=832656518"", address(row($D63),column($D63),,,""CRT-M""))"),91)</f>
        <v>91</v>
      </c>
      <c r="U65" s="8">
        <f t="shared" ca="1" si="10"/>
        <v>100</v>
      </c>
      <c r="V65" s="6">
        <f t="shared" ca="1" si="0"/>
        <v>293</v>
      </c>
      <c r="W65" s="4">
        <f t="shared" ca="1" si="11"/>
        <v>69</v>
      </c>
      <c r="X65" s="4">
        <v>0</v>
      </c>
      <c r="Y65" s="4">
        <v>0</v>
      </c>
      <c r="Z65" s="4">
        <f t="shared" ca="1" si="1"/>
        <v>293</v>
      </c>
      <c r="AA65" s="10">
        <f t="shared" ca="1" si="12"/>
        <v>69</v>
      </c>
    </row>
    <row r="66" spans="1:27" ht="15.85" customHeight="1" x14ac:dyDescent="0.3">
      <c r="A66" s="8">
        <v>61</v>
      </c>
      <c r="B66" s="11" t="s">
        <v>143</v>
      </c>
      <c r="C66" s="11" t="s">
        <v>144</v>
      </c>
      <c r="D66" s="5">
        <f ca="1">IFERROR(__xludf.DUMMYFUNCTION("IMPORTRANGE(""https://docs.google.com/spreadsheets/d/1rOGZhKHVnDGFqGTO7UNOJSkSJyQwVuEb2-yhWQit7lw/edit?gid=872795839#gid=872795839"", address(row($D64),column($D64),,,""DM&amp;GT-M""))"),19)</f>
        <v>19</v>
      </c>
      <c r="E66" s="8">
        <f t="shared" ca="1" si="2"/>
        <v>52.777777777777779</v>
      </c>
      <c r="F66" s="5">
        <f ca="1">IFERROR(__xludf.DUMMYFUNCTION("IMPORTRANGE(""https://docs.google.com/spreadsheets/d/1rOGZhKHVnDGFqGTO7UNOJSkSJyQwVuEb2-yhWQit7lw/edit?gid=659871210#gid=659871210"", address(row($D64),column($D64),,,""UHV-M""))"),17)</f>
        <v>17</v>
      </c>
      <c r="G66" s="8">
        <f t="shared" ca="1" si="3"/>
        <v>53.125</v>
      </c>
      <c r="H66" s="5">
        <f ca="1">IFERROR(__xludf.DUMMYFUNCTION("IMPORTRANGE(""https://docs.google.com/spreadsheets/d/1rOGZhKHVnDGFqGTO7UNOJSkSJyQwVuEb2-yhWQit7lw/edit?gid=1831678671#gid=1831678671"", address(row($D64),column($D64),,,""DL&amp;CO-M""))"),19)</f>
        <v>19</v>
      </c>
      <c r="I66" s="8">
        <f t="shared" ca="1" si="4"/>
        <v>47.5</v>
      </c>
      <c r="J66" s="5">
        <f ca="1">IFERROR(__xludf.DUMMYFUNCTION("IMPORTRANGE(""https://docs.google.com/spreadsheets/d/1rOGZhKHVnDGFqGTO7UNOJSkSJyQwVuEb2-yhWQit7lw/edit?gid=1967609937#gid=1967609937"", address(row($D64),column($D64),,,""ADSA-M""))"),34)</f>
        <v>34</v>
      </c>
      <c r="K66" s="8">
        <f t="shared" ca="1" si="5"/>
        <v>51.515151515151516</v>
      </c>
      <c r="L66" s="5">
        <f ca="1">IFERROR(__xludf.DUMMYFUNCTION("IMPORTRANGE(""https://docs.google.com/spreadsheets/d/1rOGZhKHVnDGFqGTO7UNOJSkSJyQwVuEb2-yhWQit7lw/edit?gid=413111112#gid=413111112"", address(row($D64),column($D64),,,""JAVA-M""))"),30)</f>
        <v>30</v>
      </c>
      <c r="M66" s="8">
        <f t="shared" ca="1" si="6"/>
        <v>45.454545454545453</v>
      </c>
      <c r="N66" s="5">
        <f ca="1">IFERROR(__xludf.DUMMYFUNCTION("IMPORTRANGE(""https://docs.google.com/spreadsheets/d/1rOGZhKHVnDGFqGTO7UNOJSkSJyQwVuEb2-yhWQit7lw/edit?gid=48564407#gid=48564407"", address(row($D64),column($D64),,,""FOSS LAB-M""))"),21)</f>
        <v>21</v>
      </c>
      <c r="O66" s="8">
        <f t="shared" ca="1" si="7"/>
        <v>70</v>
      </c>
      <c r="P66" s="5">
        <f ca="1">IFERROR(__xludf.DUMMYFUNCTION("IMPORTRANGE(""https://docs.google.com/spreadsheets/d/1rOGZhKHVnDGFqGTO7UNOJSkSJyQwVuEb2-yhWQit7lw/edit?gid=1253773396#gid=1253773396"", address(row($D64),column($D64),,,""PP-M""))"),10)</f>
        <v>10</v>
      </c>
      <c r="Q66" s="8">
        <f t="shared" ca="1" si="8"/>
        <v>41.666666666666671</v>
      </c>
      <c r="R66" s="5">
        <f ca="1">IFERROR(__xludf.DUMMYFUNCTION("IMPORTRANGE(""https://docs.google.com/spreadsheets/d/1rOGZhKHVnDGFqGTO7UNOJSkSJyQwVuEb2-yhWQit7lw/edit?gid=1188725859#gid=1188725859"", address(row($D64),column($D64),,,""NPTEL-M""))"),20)</f>
        <v>20</v>
      </c>
      <c r="S66" s="5">
        <f t="shared" ca="1" si="9"/>
        <v>52.631578947368418</v>
      </c>
      <c r="T66" s="6">
        <f ca="1">IFERROR(__xludf.DUMMYFUNCTION("IMPORTRANGE(""https://docs.google.com/spreadsheets/d/1rOGZhKHVnDGFqGTO7UNOJSkSJyQwVuEb2-yhWQit7lw/edit?gid=832656518#gid=832656518"", address(row($D64),column($D64),,,""CRT-M""))"),67)</f>
        <v>67</v>
      </c>
      <c r="U66" s="8">
        <f t="shared" ca="1" si="10"/>
        <v>73.626373626373635</v>
      </c>
      <c r="V66" s="6">
        <f t="shared" ca="1" si="0"/>
        <v>237</v>
      </c>
      <c r="W66" s="4">
        <f t="shared" ca="1" si="11"/>
        <v>56</v>
      </c>
      <c r="X66" s="4">
        <v>0</v>
      </c>
      <c r="Y66" s="4">
        <v>0</v>
      </c>
      <c r="Z66" s="4">
        <f t="shared" ca="1" si="1"/>
        <v>237</v>
      </c>
      <c r="AA66" s="10">
        <f t="shared" ca="1" si="12"/>
        <v>56</v>
      </c>
    </row>
    <row r="67" spans="1:27" ht="15.85" customHeight="1" x14ac:dyDescent="0.3">
      <c r="A67" s="8">
        <v>62</v>
      </c>
      <c r="B67" s="11" t="s">
        <v>145</v>
      </c>
      <c r="C67" s="11" t="s">
        <v>146</v>
      </c>
      <c r="D67" s="5">
        <f ca="1">IFERROR(__xludf.DUMMYFUNCTION("IMPORTRANGE(""https://docs.google.com/spreadsheets/d/1rOGZhKHVnDGFqGTO7UNOJSkSJyQwVuEb2-yhWQit7lw/edit?gid=872795839#gid=872795839"", address(row($D65),column($D65),,,""DM&amp;GT-M""))"),26)</f>
        <v>26</v>
      </c>
      <c r="E67" s="8">
        <f t="shared" ca="1" si="2"/>
        <v>72.222222222222214</v>
      </c>
      <c r="F67" s="5">
        <f ca="1">IFERROR(__xludf.DUMMYFUNCTION("IMPORTRANGE(""https://docs.google.com/spreadsheets/d/1rOGZhKHVnDGFqGTO7UNOJSkSJyQwVuEb2-yhWQit7lw/edit?gid=659871210#gid=659871210"", address(row($D65),column($D65),,,""UHV-M""))"),17)</f>
        <v>17</v>
      </c>
      <c r="G67" s="8">
        <f t="shared" ca="1" si="3"/>
        <v>53.125</v>
      </c>
      <c r="H67" s="5">
        <f ca="1">IFERROR(__xludf.DUMMYFUNCTION("IMPORTRANGE(""https://docs.google.com/spreadsheets/d/1rOGZhKHVnDGFqGTO7UNOJSkSJyQwVuEb2-yhWQit7lw/edit?gid=1831678671#gid=1831678671"", address(row($D65),column($D65),,,""DL&amp;CO-M""))"),25)</f>
        <v>25</v>
      </c>
      <c r="I67" s="8">
        <f t="shared" ca="1" si="4"/>
        <v>62.5</v>
      </c>
      <c r="J67" s="5">
        <f ca="1">IFERROR(__xludf.DUMMYFUNCTION("IMPORTRANGE(""https://docs.google.com/spreadsheets/d/1rOGZhKHVnDGFqGTO7UNOJSkSJyQwVuEb2-yhWQit7lw/edit?gid=1967609937#gid=1967609937"", address(row($D65),column($D65),,,""ADSA-M""))"),36)</f>
        <v>36</v>
      </c>
      <c r="K67" s="8">
        <f t="shared" ca="1" si="5"/>
        <v>54.54545454545454</v>
      </c>
      <c r="L67" s="5">
        <f ca="1">IFERROR(__xludf.DUMMYFUNCTION("IMPORTRANGE(""https://docs.google.com/spreadsheets/d/1rOGZhKHVnDGFqGTO7UNOJSkSJyQwVuEb2-yhWQit7lw/edit?gid=413111112#gid=413111112"", address(row($D65),column($D65),,,""JAVA-M""))"),36)</f>
        <v>36</v>
      </c>
      <c r="M67" s="8">
        <f t="shared" ca="1" si="6"/>
        <v>54.54545454545454</v>
      </c>
      <c r="N67" s="5">
        <f ca="1">IFERROR(__xludf.DUMMYFUNCTION("IMPORTRANGE(""https://docs.google.com/spreadsheets/d/1rOGZhKHVnDGFqGTO7UNOJSkSJyQwVuEb2-yhWQit7lw/edit?gid=48564407#gid=48564407"", address(row($D65),column($D65),,,""FOSS LAB-M""))"),21)</f>
        <v>21</v>
      </c>
      <c r="O67" s="8">
        <f t="shared" ca="1" si="7"/>
        <v>70</v>
      </c>
      <c r="P67" s="5">
        <f ca="1">IFERROR(__xludf.DUMMYFUNCTION("IMPORTRANGE(""https://docs.google.com/spreadsheets/d/1rOGZhKHVnDGFqGTO7UNOJSkSJyQwVuEb2-yhWQit7lw/edit?gid=1253773396#gid=1253773396"", address(row($D65),column($D65),,,""PP-M""))"),14)</f>
        <v>14</v>
      </c>
      <c r="Q67" s="8">
        <f t="shared" ca="1" si="8"/>
        <v>58.333333333333336</v>
      </c>
      <c r="R67" s="5">
        <f ca="1">IFERROR(__xludf.DUMMYFUNCTION("IMPORTRANGE(""https://docs.google.com/spreadsheets/d/1rOGZhKHVnDGFqGTO7UNOJSkSJyQwVuEb2-yhWQit7lw/edit?gid=1188725859#gid=1188725859"", address(row($D65),column($D65),,,""NPTEL-M""))"),26)</f>
        <v>26</v>
      </c>
      <c r="S67" s="5">
        <f t="shared" ca="1" si="9"/>
        <v>68.421052631578945</v>
      </c>
      <c r="T67" s="6">
        <f ca="1">IFERROR(__xludf.DUMMYFUNCTION("IMPORTRANGE(""https://docs.google.com/spreadsheets/d/1rOGZhKHVnDGFqGTO7UNOJSkSJyQwVuEb2-yhWQit7lw/edit?gid=832656518#gid=832656518"", address(row($D65),column($D65),,,""CRT-M""))"),70)</f>
        <v>70</v>
      </c>
      <c r="U67" s="8">
        <f t="shared" ca="1" si="10"/>
        <v>76.923076923076934</v>
      </c>
      <c r="V67" s="6">
        <f t="shared" ca="1" si="0"/>
        <v>271</v>
      </c>
      <c r="W67" s="4">
        <f t="shared" ca="1" si="11"/>
        <v>64</v>
      </c>
      <c r="X67" s="4">
        <v>4</v>
      </c>
      <c r="Y67" s="4">
        <v>0</v>
      </c>
      <c r="Z67" s="4">
        <f t="shared" ca="1" si="1"/>
        <v>275</v>
      </c>
      <c r="AA67" s="10">
        <f t="shared" ca="1" si="12"/>
        <v>65</v>
      </c>
    </row>
    <row r="68" spans="1:27" ht="15.85" customHeight="1" x14ac:dyDescent="0.3">
      <c r="A68" s="8">
        <v>63</v>
      </c>
      <c r="B68" s="11" t="s">
        <v>147</v>
      </c>
      <c r="C68" s="11" t="s">
        <v>148</v>
      </c>
      <c r="D68" s="5">
        <f ca="1">IFERROR(__xludf.DUMMYFUNCTION("IMPORTRANGE(""https://docs.google.com/spreadsheets/d/1rOGZhKHVnDGFqGTO7UNOJSkSJyQwVuEb2-yhWQit7lw/edit?gid=872795839#gid=872795839"", address(row($D66),column($D66),,,""DM&amp;GT-M""))"),20)</f>
        <v>20</v>
      </c>
      <c r="E68" s="8">
        <f t="shared" ca="1" si="2"/>
        <v>55.555555555555557</v>
      </c>
      <c r="F68" s="5">
        <f ca="1">IFERROR(__xludf.DUMMYFUNCTION("IMPORTRANGE(""https://docs.google.com/spreadsheets/d/1rOGZhKHVnDGFqGTO7UNOJSkSJyQwVuEb2-yhWQit7lw/edit?gid=659871210#gid=659871210"", address(row($D66),column($D66),,,""UHV-M""))"),20)</f>
        <v>20</v>
      </c>
      <c r="G68" s="8">
        <f t="shared" ca="1" si="3"/>
        <v>62.5</v>
      </c>
      <c r="H68" s="5">
        <f ca="1">IFERROR(__xludf.DUMMYFUNCTION("IMPORTRANGE(""https://docs.google.com/spreadsheets/d/1rOGZhKHVnDGFqGTO7UNOJSkSJyQwVuEb2-yhWQit7lw/edit?gid=1831678671#gid=1831678671"", address(row($D66),column($D66),,,""DL&amp;CO-M""))"),23)</f>
        <v>23</v>
      </c>
      <c r="I68" s="8">
        <f t="shared" ca="1" si="4"/>
        <v>57.499999999999993</v>
      </c>
      <c r="J68" s="5">
        <f ca="1">IFERROR(__xludf.DUMMYFUNCTION("IMPORTRANGE(""https://docs.google.com/spreadsheets/d/1rOGZhKHVnDGFqGTO7UNOJSkSJyQwVuEb2-yhWQit7lw/edit?gid=1967609937#gid=1967609937"", address(row($D66),column($D66),,,""ADSA-M""))"),45)</f>
        <v>45</v>
      </c>
      <c r="K68" s="8">
        <f t="shared" ca="1" si="5"/>
        <v>68.181818181818173</v>
      </c>
      <c r="L68" s="5">
        <f ca="1">IFERROR(__xludf.DUMMYFUNCTION("IMPORTRANGE(""https://docs.google.com/spreadsheets/d/1rOGZhKHVnDGFqGTO7UNOJSkSJyQwVuEb2-yhWQit7lw/edit?gid=413111112#gid=413111112"", address(row($D66),column($D66),,,""JAVA-M""))"),41)</f>
        <v>41</v>
      </c>
      <c r="M68" s="8">
        <f t="shared" ca="1" si="6"/>
        <v>62.121212121212125</v>
      </c>
      <c r="N68" s="5">
        <f ca="1">IFERROR(__xludf.DUMMYFUNCTION("IMPORTRANGE(""https://docs.google.com/spreadsheets/d/1rOGZhKHVnDGFqGTO7UNOJSkSJyQwVuEb2-yhWQit7lw/edit?gid=48564407#gid=48564407"", address(row($D66),column($D66),,,""FOSS LAB-M""))"),15)</f>
        <v>15</v>
      </c>
      <c r="O68" s="8">
        <f t="shared" ca="1" si="7"/>
        <v>50</v>
      </c>
      <c r="P68" s="5">
        <f ca="1">IFERROR(__xludf.DUMMYFUNCTION("IMPORTRANGE(""https://docs.google.com/spreadsheets/d/1rOGZhKHVnDGFqGTO7UNOJSkSJyQwVuEb2-yhWQit7lw/edit?gid=1253773396#gid=1253773396"", address(row($D66),column($D66),,,""PP-M""))"),18)</f>
        <v>18</v>
      </c>
      <c r="Q68" s="8">
        <f t="shared" ca="1" si="8"/>
        <v>75</v>
      </c>
      <c r="R68" s="5">
        <f ca="1">IFERROR(__xludf.DUMMYFUNCTION("IMPORTRANGE(""https://docs.google.com/spreadsheets/d/1rOGZhKHVnDGFqGTO7UNOJSkSJyQwVuEb2-yhWQit7lw/edit?gid=1188725859#gid=1188725859"", address(row($D66),column($D66),,,""NPTEL-M""))"),30)</f>
        <v>30</v>
      </c>
      <c r="S68" s="5">
        <f t="shared" ca="1" si="9"/>
        <v>78.94736842105263</v>
      </c>
      <c r="T68" s="6">
        <f ca="1">IFERROR(__xludf.DUMMYFUNCTION("IMPORTRANGE(""https://docs.google.com/spreadsheets/d/1rOGZhKHVnDGFqGTO7UNOJSkSJyQwVuEb2-yhWQit7lw/edit?gid=832656518#gid=832656518"", address(row($D66),column($D66),,,""CRT-M""))"),49)</f>
        <v>49</v>
      </c>
      <c r="U68" s="8">
        <f t="shared" ca="1" si="10"/>
        <v>53.846153846153847</v>
      </c>
      <c r="V68" s="6">
        <f t="shared" ca="1" si="0"/>
        <v>261</v>
      </c>
      <c r="W68" s="4">
        <f t="shared" ca="1" si="11"/>
        <v>62</v>
      </c>
      <c r="X68" s="4">
        <v>11</v>
      </c>
      <c r="Y68" s="4">
        <v>0</v>
      </c>
      <c r="Z68" s="4">
        <f t="shared" ca="1" si="1"/>
        <v>272</v>
      </c>
      <c r="AA68" s="10">
        <f t="shared" ca="1" si="12"/>
        <v>64</v>
      </c>
    </row>
    <row r="69" spans="1:27" ht="15.85" customHeight="1" x14ac:dyDescent="0.3">
      <c r="A69" s="8">
        <v>64</v>
      </c>
      <c r="B69" s="11" t="s">
        <v>149</v>
      </c>
      <c r="C69" s="11" t="s">
        <v>150</v>
      </c>
      <c r="D69" s="5">
        <f ca="1">IFERROR(__xludf.DUMMYFUNCTION("IMPORTRANGE(""https://docs.google.com/spreadsheets/d/1rOGZhKHVnDGFqGTO7UNOJSkSJyQwVuEb2-yhWQit7lw/edit?gid=872795839#gid=872795839"", address(row($D67),column($D67),,,""DM&amp;GT-M""))"),10)</f>
        <v>10</v>
      </c>
      <c r="E69" s="8">
        <f t="shared" ca="1" si="2"/>
        <v>27.777777777777779</v>
      </c>
      <c r="F69" s="5">
        <f ca="1">IFERROR(__xludf.DUMMYFUNCTION("IMPORTRANGE(""https://docs.google.com/spreadsheets/d/1rOGZhKHVnDGFqGTO7UNOJSkSJyQwVuEb2-yhWQit7lw/edit?gid=659871210#gid=659871210"", address(row($D67),column($D67),,,""UHV-M""))"),11)</f>
        <v>11</v>
      </c>
      <c r="G69" s="8">
        <f t="shared" ca="1" si="3"/>
        <v>34.375</v>
      </c>
      <c r="H69" s="5">
        <f ca="1">IFERROR(__xludf.DUMMYFUNCTION("IMPORTRANGE(""https://docs.google.com/spreadsheets/d/1rOGZhKHVnDGFqGTO7UNOJSkSJyQwVuEb2-yhWQit7lw/edit?gid=1831678671#gid=1831678671"", address(row($D67),column($D67),,,""DL&amp;CO-M""))"),10)</f>
        <v>10</v>
      </c>
      <c r="I69" s="8">
        <f t="shared" ca="1" si="4"/>
        <v>25</v>
      </c>
      <c r="J69" s="5">
        <f ca="1">IFERROR(__xludf.DUMMYFUNCTION("IMPORTRANGE(""https://docs.google.com/spreadsheets/d/1rOGZhKHVnDGFqGTO7UNOJSkSJyQwVuEb2-yhWQit7lw/edit?gid=1967609937#gid=1967609937"", address(row($D67),column($D67),,,""ADSA-M""))"),26)</f>
        <v>26</v>
      </c>
      <c r="K69" s="8">
        <f t="shared" ca="1" si="5"/>
        <v>39.393939393939391</v>
      </c>
      <c r="L69" s="5">
        <f ca="1">IFERROR(__xludf.DUMMYFUNCTION("IMPORTRANGE(""https://docs.google.com/spreadsheets/d/1rOGZhKHVnDGFqGTO7UNOJSkSJyQwVuEb2-yhWQit7lw/edit?gid=413111112#gid=413111112"", address(row($D67),column($D67),,,""JAVA-M""))"),20)</f>
        <v>20</v>
      </c>
      <c r="M69" s="8">
        <f t="shared" ca="1" si="6"/>
        <v>30.303030303030305</v>
      </c>
      <c r="N69" s="5">
        <f ca="1">IFERROR(__xludf.DUMMYFUNCTION("IMPORTRANGE(""https://docs.google.com/spreadsheets/d/1rOGZhKHVnDGFqGTO7UNOJSkSJyQwVuEb2-yhWQit7lw/edit?gid=48564407#gid=48564407"", address(row($D67),column($D67),,,""FOSS LAB-M""))"),9)</f>
        <v>9</v>
      </c>
      <c r="O69" s="8">
        <f t="shared" ca="1" si="7"/>
        <v>30</v>
      </c>
      <c r="P69" s="5">
        <f ca="1">IFERROR(__xludf.DUMMYFUNCTION("IMPORTRANGE(""https://docs.google.com/spreadsheets/d/1rOGZhKHVnDGFqGTO7UNOJSkSJyQwVuEb2-yhWQit7lw/edit?gid=1253773396#gid=1253773396"", address(row($D67),column($D67),,,""PP-M""))"),6)</f>
        <v>6</v>
      </c>
      <c r="Q69" s="8">
        <f t="shared" ca="1" si="8"/>
        <v>25</v>
      </c>
      <c r="R69" s="5">
        <f ca="1">IFERROR(__xludf.DUMMYFUNCTION("IMPORTRANGE(""https://docs.google.com/spreadsheets/d/1rOGZhKHVnDGFqGTO7UNOJSkSJyQwVuEb2-yhWQit7lw/edit?gid=1188725859#gid=1188725859"", address(row($D67),column($D67),,,""NPTEL-M""))"),12)</f>
        <v>12</v>
      </c>
      <c r="S69" s="5">
        <f t="shared" ca="1" si="9"/>
        <v>31.578947368421051</v>
      </c>
      <c r="T69" s="6">
        <f ca="1">IFERROR(__xludf.DUMMYFUNCTION("IMPORTRANGE(""https://docs.google.com/spreadsheets/d/1rOGZhKHVnDGFqGTO7UNOJSkSJyQwVuEb2-yhWQit7lw/edit?gid=832656518#gid=832656518"", address(row($D67),column($D67),,,""CRT-M""))"),60)</f>
        <v>60</v>
      </c>
      <c r="U69" s="8">
        <f t="shared" ca="1" si="10"/>
        <v>65.934065934065927</v>
      </c>
      <c r="V69" s="6">
        <f t="shared" ca="1" si="0"/>
        <v>164</v>
      </c>
      <c r="W69" s="4">
        <f t="shared" ca="1" si="11"/>
        <v>39</v>
      </c>
      <c r="X69" s="4">
        <v>0</v>
      </c>
      <c r="Y69" s="4">
        <v>0</v>
      </c>
      <c r="Z69" s="4">
        <f t="shared" ca="1" si="1"/>
        <v>164</v>
      </c>
      <c r="AA69" s="10">
        <f t="shared" ca="1" si="12"/>
        <v>39</v>
      </c>
    </row>
    <row r="70" spans="1:27" ht="15.05" customHeight="1" x14ac:dyDescent="0.3">
      <c r="A70" s="8">
        <v>65</v>
      </c>
      <c r="B70" s="11" t="s">
        <v>151</v>
      </c>
      <c r="C70" s="11" t="s">
        <v>152</v>
      </c>
      <c r="D70" s="5">
        <f ca="1">IFERROR(__xludf.DUMMYFUNCTION("IMPORTRANGE(""https://docs.google.com/spreadsheets/d/1rOGZhKHVnDGFqGTO7UNOJSkSJyQwVuEb2-yhWQit7lw/edit?gid=872795839#gid=872795839"", address(row($D68),column($D68),,,""DM&amp;GT-M""))"),21)</f>
        <v>21</v>
      </c>
      <c r="E70" s="8">
        <f t="shared" ca="1" si="2"/>
        <v>58.333333333333336</v>
      </c>
      <c r="F70" s="5">
        <f ca="1">IFERROR(__xludf.DUMMYFUNCTION("IMPORTRANGE(""https://docs.google.com/spreadsheets/d/1rOGZhKHVnDGFqGTO7UNOJSkSJyQwVuEb2-yhWQit7lw/edit?gid=659871210#gid=659871210"", address(row($D68),column($D68),,,""UHV-M""))"),23)</f>
        <v>23</v>
      </c>
      <c r="G70" s="8">
        <f t="shared" ca="1" si="3"/>
        <v>71.875</v>
      </c>
      <c r="H70" s="5">
        <f ca="1">IFERROR(__xludf.DUMMYFUNCTION("IMPORTRANGE(""https://docs.google.com/spreadsheets/d/1rOGZhKHVnDGFqGTO7UNOJSkSJyQwVuEb2-yhWQit7lw/edit?gid=1831678671#gid=1831678671"", address(row($D68),column($D68),,,""DL&amp;CO-M""))"),21)</f>
        <v>21</v>
      </c>
      <c r="I70" s="8">
        <f t="shared" ca="1" si="4"/>
        <v>52.5</v>
      </c>
      <c r="J70" s="5">
        <f ca="1">IFERROR(__xludf.DUMMYFUNCTION("IMPORTRANGE(""https://docs.google.com/spreadsheets/d/1rOGZhKHVnDGFqGTO7UNOJSkSJyQwVuEb2-yhWQit7lw/edit?gid=1967609937#gid=1967609937"", address(row($D68),column($D68),,,""ADSA-M""))"),36)</f>
        <v>36</v>
      </c>
      <c r="K70" s="8">
        <f t="shared" ca="1" si="5"/>
        <v>54.54545454545454</v>
      </c>
      <c r="L70" s="5">
        <f ca="1">IFERROR(__xludf.DUMMYFUNCTION("IMPORTRANGE(""https://docs.google.com/spreadsheets/d/1rOGZhKHVnDGFqGTO7UNOJSkSJyQwVuEb2-yhWQit7lw/edit?gid=413111112#gid=413111112"", address(row($D68),column($D68),,,""JAVA-M""))"),39)</f>
        <v>39</v>
      </c>
      <c r="M70" s="8">
        <f t="shared" ca="1" si="6"/>
        <v>59.090909090909093</v>
      </c>
      <c r="N70" s="5">
        <f ca="1">IFERROR(__xludf.DUMMYFUNCTION("IMPORTRANGE(""https://docs.google.com/spreadsheets/d/1rOGZhKHVnDGFqGTO7UNOJSkSJyQwVuEb2-yhWQit7lw/edit?gid=48564407#gid=48564407"", address(row($D68),column($D68),,,""FOSS LAB-M""))"),15)</f>
        <v>15</v>
      </c>
      <c r="O70" s="8">
        <f t="shared" ca="1" si="7"/>
        <v>50</v>
      </c>
      <c r="P70" s="5">
        <f ca="1">IFERROR(__xludf.DUMMYFUNCTION("IMPORTRANGE(""https://docs.google.com/spreadsheets/d/1rOGZhKHVnDGFqGTO7UNOJSkSJyQwVuEb2-yhWQit7lw/edit?gid=1253773396#gid=1253773396"", address(row($D68),column($D68),,,""PP-M""))"),16)</f>
        <v>16</v>
      </c>
      <c r="Q70" s="8">
        <f t="shared" ca="1" si="8"/>
        <v>66.666666666666657</v>
      </c>
      <c r="R70" s="5">
        <f ca="1">IFERROR(__xludf.DUMMYFUNCTION("IMPORTRANGE(""https://docs.google.com/spreadsheets/d/1rOGZhKHVnDGFqGTO7UNOJSkSJyQwVuEb2-yhWQit7lw/edit?gid=1188725859#gid=1188725859"", address(row($D68),column($D68),,,""NPTEL-M""))"),20)</f>
        <v>20</v>
      </c>
      <c r="S70" s="5">
        <f t="shared" ca="1" si="9"/>
        <v>52.631578947368418</v>
      </c>
      <c r="T70" s="6">
        <f ca="1">IFERROR(__xludf.DUMMYFUNCTION("IMPORTRANGE(""https://docs.google.com/spreadsheets/d/1rOGZhKHVnDGFqGTO7UNOJSkSJyQwVuEb2-yhWQit7lw/edit?gid=832656518#gid=832656518"", address(row($D68),column($D68),,,""CRT-M""))"),84)</f>
        <v>84</v>
      </c>
      <c r="U70" s="8">
        <f t="shared" ca="1" si="10"/>
        <v>92.307692307692307</v>
      </c>
      <c r="V70" s="6">
        <f t="shared" ca="1" si="0"/>
        <v>275</v>
      </c>
      <c r="W70" s="4">
        <f t="shared" ca="1" si="11"/>
        <v>65</v>
      </c>
      <c r="X70" s="4">
        <v>0</v>
      </c>
      <c r="Y70" s="4">
        <v>0</v>
      </c>
      <c r="Z70" s="4">
        <f t="shared" ca="1" si="1"/>
        <v>275</v>
      </c>
      <c r="AA70" s="10">
        <f t="shared" ca="1" si="12"/>
        <v>65</v>
      </c>
    </row>
    <row r="71" spans="1:27" ht="15.05" customHeight="1" x14ac:dyDescent="0.3">
      <c r="A71" s="8">
        <v>66</v>
      </c>
      <c r="B71" s="11" t="s">
        <v>153</v>
      </c>
      <c r="C71" s="11" t="s">
        <v>154</v>
      </c>
      <c r="D71" s="5">
        <f ca="1">IFERROR(__xludf.DUMMYFUNCTION("IMPORTRANGE(""https://docs.google.com/spreadsheets/d/1rOGZhKHVnDGFqGTO7UNOJSkSJyQwVuEb2-yhWQit7lw/edit?gid=872795839#gid=872795839"", address(row($D69),column($D69),,,""DM&amp;GT-M""))"),33)</f>
        <v>33</v>
      </c>
      <c r="E71" s="8">
        <f t="shared" ca="1" si="2"/>
        <v>91.666666666666657</v>
      </c>
      <c r="F71" s="5">
        <f ca="1">IFERROR(__xludf.DUMMYFUNCTION("IMPORTRANGE(""https://docs.google.com/spreadsheets/d/1rOGZhKHVnDGFqGTO7UNOJSkSJyQwVuEb2-yhWQit7lw/edit?gid=659871210#gid=659871210"", address(row($D69),column($D69),,,""UHV-M""))"),28)</f>
        <v>28</v>
      </c>
      <c r="G71" s="8">
        <f t="shared" ca="1" si="3"/>
        <v>87.5</v>
      </c>
      <c r="H71" s="5">
        <f ca="1">IFERROR(__xludf.DUMMYFUNCTION("IMPORTRANGE(""https://docs.google.com/spreadsheets/d/1rOGZhKHVnDGFqGTO7UNOJSkSJyQwVuEb2-yhWQit7lw/edit?gid=1831678671#gid=1831678671"", address(row($D69),column($D69),,,""DL&amp;CO-M""))"),34)</f>
        <v>34</v>
      </c>
      <c r="I71" s="8">
        <f t="shared" ca="1" si="4"/>
        <v>85</v>
      </c>
      <c r="J71" s="5">
        <f ca="1">IFERROR(__xludf.DUMMYFUNCTION("IMPORTRANGE(""https://docs.google.com/spreadsheets/d/1rOGZhKHVnDGFqGTO7UNOJSkSJyQwVuEb2-yhWQit7lw/edit?gid=1967609937#gid=1967609937"", address(row($D69),column($D69),,,""ADSA-M""))"),55)</f>
        <v>55</v>
      </c>
      <c r="K71" s="8">
        <f t="shared" ca="1" si="5"/>
        <v>83.333333333333343</v>
      </c>
      <c r="L71" s="5">
        <f ca="1">IFERROR(__xludf.DUMMYFUNCTION("IMPORTRANGE(""https://docs.google.com/spreadsheets/d/1rOGZhKHVnDGFqGTO7UNOJSkSJyQwVuEb2-yhWQit7lw/edit?gid=413111112#gid=413111112"", address(row($D69),column($D69),,,""JAVA-M""))"),55)</f>
        <v>55</v>
      </c>
      <c r="M71" s="8">
        <f t="shared" ca="1" si="6"/>
        <v>83.333333333333343</v>
      </c>
      <c r="N71" s="5">
        <f ca="1">IFERROR(__xludf.DUMMYFUNCTION("IMPORTRANGE(""https://docs.google.com/spreadsheets/d/1rOGZhKHVnDGFqGTO7UNOJSkSJyQwVuEb2-yhWQit7lw/edit?gid=48564407#gid=48564407"", address(row($D69),column($D69),,,""FOSS LAB-M""))"),29)</f>
        <v>29</v>
      </c>
      <c r="O71" s="8">
        <f t="shared" ca="1" si="7"/>
        <v>96.666666666666671</v>
      </c>
      <c r="P71" s="5">
        <f ca="1">IFERROR(__xludf.DUMMYFUNCTION("IMPORTRANGE(""https://docs.google.com/spreadsheets/d/1rOGZhKHVnDGFqGTO7UNOJSkSJyQwVuEb2-yhWQit7lw/edit?gid=1253773396#gid=1253773396"", address(row($D69),column($D69),,,""PP-M""))"),22)</f>
        <v>22</v>
      </c>
      <c r="Q71" s="8">
        <f t="shared" ca="1" si="8"/>
        <v>91.666666666666657</v>
      </c>
      <c r="R71" s="5">
        <f ca="1">IFERROR(__xludf.DUMMYFUNCTION("IMPORTRANGE(""https://docs.google.com/spreadsheets/d/1rOGZhKHVnDGFqGTO7UNOJSkSJyQwVuEb2-yhWQit7lw/edit?gid=1188725859#gid=1188725859"", address(row($D69),column($D69),,,""NPTEL-M""))"),34)</f>
        <v>34</v>
      </c>
      <c r="S71" s="5">
        <f t="shared" ca="1" si="9"/>
        <v>89.473684210526315</v>
      </c>
      <c r="T71" s="6">
        <f ca="1">IFERROR(__xludf.DUMMYFUNCTION("IMPORTRANGE(""https://docs.google.com/spreadsheets/d/1rOGZhKHVnDGFqGTO7UNOJSkSJyQwVuEb2-yhWQit7lw/edit?gid=832656518#gid=832656518"", address(row($D69),column($D69),,,""CRT-M""))"),84)</f>
        <v>84</v>
      </c>
      <c r="U71" s="8">
        <f t="shared" ca="1" si="10"/>
        <v>92.307692307692307</v>
      </c>
      <c r="V71" s="6">
        <f t="shared" ca="1" si="0"/>
        <v>374</v>
      </c>
      <c r="W71" s="4">
        <f t="shared" ca="1" si="11"/>
        <v>88</v>
      </c>
      <c r="X71" s="4">
        <v>7</v>
      </c>
      <c r="Y71" s="4">
        <v>0</v>
      </c>
      <c r="Z71" s="4">
        <f t="shared" ca="1" si="1"/>
        <v>381</v>
      </c>
      <c r="AA71" s="10">
        <f t="shared" ca="1" si="12"/>
        <v>90</v>
      </c>
    </row>
    <row r="72" spans="1:27" ht="15.85" customHeight="1" x14ac:dyDescent="0.3">
      <c r="A72" s="8">
        <v>67</v>
      </c>
      <c r="B72" s="11" t="s">
        <v>155</v>
      </c>
      <c r="C72" s="11" t="s">
        <v>156</v>
      </c>
      <c r="D72" s="5">
        <f ca="1">IFERROR(__xludf.DUMMYFUNCTION("IMPORTRANGE(""https://docs.google.com/spreadsheets/d/1rOGZhKHVnDGFqGTO7UNOJSkSJyQwVuEb2-yhWQit7lw/edit?gid=872795839#gid=872795839"", address(row($D70),column($D70),,,""DM&amp;GT-M""))"),16)</f>
        <v>16</v>
      </c>
      <c r="E72" s="8">
        <f t="shared" ca="1" si="2"/>
        <v>44.444444444444443</v>
      </c>
      <c r="F72" s="5">
        <f ca="1">IFERROR(__xludf.DUMMYFUNCTION("IMPORTRANGE(""https://docs.google.com/spreadsheets/d/1rOGZhKHVnDGFqGTO7UNOJSkSJyQwVuEb2-yhWQit7lw/edit?gid=659871210#gid=659871210"", address(row($D70),column($D70),,,""UHV-M""))"),18)</f>
        <v>18</v>
      </c>
      <c r="G72" s="8">
        <f t="shared" ca="1" si="3"/>
        <v>56.25</v>
      </c>
      <c r="H72" s="5">
        <f ca="1">IFERROR(__xludf.DUMMYFUNCTION("IMPORTRANGE(""https://docs.google.com/spreadsheets/d/1rOGZhKHVnDGFqGTO7UNOJSkSJyQwVuEb2-yhWQit7lw/edit?gid=1831678671#gid=1831678671"", address(row($D70),column($D70),,,""DL&amp;CO-M""))"),16)</f>
        <v>16</v>
      </c>
      <c r="I72" s="8">
        <f t="shared" ca="1" si="4"/>
        <v>40</v>
      </c>
      <c r="J72" s="5">
        <f ca="1">IFERROR(__xludf.DUMMYFUNCTION("IMPORTRANGE(""https://docs.google.com/spreadsheets/d/1rOGZhKHVnDGFqGTO7UNOJSkSJyQwVuEb2-yhWQit7lw/edit?gid=1967609937#gid=1967609937"", address(row($D70),column($D70),,,""ADSA-M""))"),36)</f>
        <v>36</v>
      </c>
      <c r="K72" s="8">
        <f t="shared" ca="1" si="5"/>
        <v>54.54545454545454</v>
      </c>
      <c r="L72" s="5">
        <f ca="1">IFERROR(__xludf.DUMMYFUNCTION("IMPORTRANGE(""https://docs.google.com/spreadsheets/d/1rOGZhKHVnDGFqGTO7UNOJSkSJyQwVuEb2-yhWQit7lw/edit?gid=413111112#gid=413111112"", address(row($D70),column($D70),,,""JAVA-M""))"),35)</f>
        <v>35</v>
      </c>
      <c r="M72" s="8">
        <f t="shared" ca="1" si="6"/>
        <v>53.030303030303031</v>
      </c>
      <c r="N72" s="5">
        <f ca="1">IFERROR(__xludf.DUMMYFUNCTION("IMPORTRANGE(""https://docs.google.com/spreadsheets/d/1rOGZhKHVnDGFqGTO7UNOJSkSJyQwVuEb2-yhWQit7lw/edit?gid=48564407#gid=48564407"", address(row($D70),column($D70),,,""FOSS LAB-M""))"),10)</f>
        <v>10</v>
      </c>
      <c r="O72" s="8">
        <f t="shared" ca="1" si="7"/>
        <v>33.333333333333329</v>
      </c>
      <c r="P72" s="5">
        <f ca="1">IFERROR(__xludf.DUMMYFUNCTION("IMPORTRANGE(""https://docs.google.com/spreadsheets/d/1rOGZhKHVnDGFqGTO7UNOJSkSJyQwVuEb2-yhWQit7lw/edit?gid=1253773396#gid=1253773396"", address(row($D70),column($D70),,,""PP-M""))"),16)</f>
        <v>16</v>
      </c>
      <c r="Q72" s="8">
        <f t="shared" ca="1" si="8"/>
        <v>66.666666666666657</v>
      </c>
      <c r="R72" s="5">
        <f ca="1">IFERROR(__xludf.DUMMYFUNCTION("IMPORTRANGE(""https://docs.google.com/spreadsheets/d/1rOGZhKHVnDGFqGTO7UNOJSkSJyQwVuEb2-yhWQit7lw/edit?gid=1188725859#gid=1188725859"", address(row($D70),column($D70),,,""NPTEL-M""))"),22)</f>
        <v>22</v>
      </c>
      <c r="S72" s="5">
        <f t="shared" ca="1" si="9"/>
        <v>57.894736842105267</v>
      </c>
      <c r="T72" s="6">
        <f ca="1">IFERROR(__xludf.DUMMYFUNCTION("IMPORTRANGE(""https://docs.google.com/spreadsheets/d/1rOGZhKHVnDGFqGTO7UNOJSkSJyQwVuEb2-yhWQit7lw/edit?gid=832656518#gid=832656518"", address(row($D70),column($D70),,,""CRT-M""))"),56)</f>
        <v>56</v>
      </c>
      <c r="U72" s="8">
        <f t="shared" ca="1" si="10"/>
        <v>61.53846153846154</v>
      </c>
      <c r="V72" s="6">
        <f t="shared" ca="1" si="0"/>
        <v>225</v>
      </c>
      <c r="W72" s="4">
        <f t="shared" ca="1" si="11"/>
        <v>53</v>
      </c>
      <c r="X72" s="4">
        <v>0</v>
      </c>
      <c r="Y72" s="4">
        <v>0</v>
      </c>
      <c r="Z72" s="4">
        <f t="shared" ca="1" si="1"/>
        <v>225</v>
      </c>
      <c r="AA72" s="10">
        <f t="shared" ca="1" si="12"/>
        <v>53</v>
      </c>
    </row>
    <row r="73" spans="1:27" ht="15.85" customHeight="1" x14ac:dyDescent="0.3">
      <c r="A73" s="8">
        <v>68</v>
      </c>
      <c r="B73" s="11" t="s">
        <v>157</v>
      </c>
      <c r="C73" s="11" t="s">
        <v>158</v>
      </c>
      <c r="D73" s="5">
        <f ca="1">IFERROR(__xludf.DUMMYFUNCTION("IMPORTRANGE(""https://docs.google.com/spreadsheets/d/1rOGZhKHVnDGFqGTO7UNOJSkSJyQwVuEb2-yhWQit7lw/edit?gid=872795839#gid=872795839"", address(row($D71),column($D71),,,""DM&amp;GT-M""))"),20)</f>
        <v>20</v>
      </c>
      <c r="E73" s="8">
        <f t="shared" ca="1" si="2"/>
        <v>55.555555555555557</v>
      </c>
      <c r="F73" s="5">
        <f ca="1">IFERROR(__xludf.DUMMYFUNCTION("IMPORTRANGE(""https://docs.google.com/spreadsheets/d/1rOGZhKHVnDGFqGTO7UNOJSkSJyQwVuEb2-yhWQit7lw/edit?gid=659871210#gid=659871210"", address(row($D71),column($D71),,,""UHV-M""))"),17)</f>
        <v>17</v>
      </c>
      <c r="G73" s="8">
        <f t="shared" ca="1" si="3"/>
        <v>53.125</v>
      </c>
      <c r="H73" s="5">
        <f ca="1">IFERROR(__xludf.DUMMYFUNCTION("IMPORTRANGE(""https://docs.google.com/spreadsheets/d/1rOGZhKHVnDGFqGTO7UNOJSkSJyQwVuEb2-yhWQit7lw/edit?gid=1831678671#gid=1831678671"", address(row($D71),column($D71),,,""DL&amp;CO-M""))"),22)</f>
        <v>22</v>
      </c>
      <c r="I73" s="8">
        <f t="shared" ca="1" si="4"/>
        <v>55.000000000000007</v>
      </c>
      <c r="J73" s="5">
        <f ca="1">IFERROR(__xludf.DUMMYFUNCTION("IMPORTRANGE(""https://docs.google.com/spreadsheets/d/1rOGZhKHVnDGFqGTO7UNOJSkSJyQwVuEb2-yhWQit7lw/edit?gid=1967609937#gid=1967609937"", address(row($D71),column($D71),,,""ADSA-M""))"),43)</f>
        <v>43</v>
      </c>
      <c r="K73" s="8">
        <f t="shared" ca="1" si="5"/>
        <v>65.151515151515156</v>
      </c>
      <c r="L73" s="5">
        <f ca="1">IFERROR(__xludf.DUMMYFUNCTION("IMPORTRANGE(""https://docs.google.com/spreadsheets/d/1rOGZhKHVnDGFqGTO7UNOJSkSJyQwVuEb2-yhWQit7lw/edit?gid=413111112#gid=413111112"", address(row($D71),column($D71),,,""JAVA-M""))"),28)</f>
        <v>28</v>
      </c>
      <c r="M73" s="8">
        <f t="shared" ca="1" si="6"/>
        <v>42.424242424242422</v>
      </c>
      <c r="N73" s="5">
        <f ca="1">IFERROR(__xludf.DUMMYFUNCTION("IMPORTRANGE(""https://docs.google.com/spreadsheets/d/1rOGZhKHVnDGFqGTO7UNOJSkSJyQwVuEb2-yhWQit7lw/edit?gid=48564407#gid=48564407"", address(row($D71),column($D71),,,""FOSS LAB-M""))"),21)</f>
        <v>21</v>
      </c>
      <c r="O73" s="8">
        <f t="shared" ca="1" si="7"/>
        <v>70</v>
      </c>
      <c r="P73" s="5">
        <f ca="1">IFERROR(__xludf.DUMMYFUNCTION("IMPORTRANGE(""https://docs.google.com/spreadsheets/d/1rOGZhKHVnDGFqGTO7UNOJSkSJyQwVuEb2-yhWQit7lw/edit?gid=1253773396#gid=1253773396"", address(row($D71),column($D71),,,""PP-M""))"),12)</f>
        <v>12</v>
      </c>
      <c r="Q73" s="8">
        <f t="shared" ca="1" si="8"/>
        <v>50</v>
      </c>
      <c r="R73" s="5">
        <f ca="1">IFERROR(__xludf.DUMMYFUNCTION("IMPORTRANGE(""https://docs.google.com/spreadsheets/d/1rOGZhKHVnDGFqGTO7UNOJSkSJyQwVuEb2-yhWQit7lw/edit?gid=1188725859#gid=1188725859"", address(row($D71),column($D71),,,""NPTEL-M""))"),24)</f>
        <v>24</v>
      </c>
      <c r="S73" s="5">
        <f t="shared" ca="1" si="9"/>
        <v>63.157894736842103</v>
      </c>
      <c r="T73" s="6">
        <f ca="1">IFERROR(__xludf.DUMMYFUNCTION("IMPORTRANGE(""https://docs.google.com/spreadsheets/d/1rOGZhKHVnDGFqGTO7UNOJSkSJyQwVuEb2-yhWQit7lw/edit?gid=832656518#gid=832656518"", address(row($D71),column($D71),,,""CRT-M""))"),77)</f>
        <v>77</v>
      </c>
      <c r="U73" s="8">
        <f t="shared" ca="1" si="10"/>
        <v>84.615384615384613</v>
      </c>
      <c r="V73" s="6">
        <f t="shared" ca="1" si="0"/>
        <v>264</v>
      </c>
      <c r="W73" s="4">
        <f t="shared" ca="1" si="11"/>
        <v>62</v>
      </c>
      <c r="X73" s="4">
        <v>0</v>
      </c>
      <c r="Y73" s="4">
        <v>0</v>
      </c>
      <c r="Z73" s="4">
        <f t="shared" ca="1" si="1"/>
        <v>264</v>
      </c>
      <c r="AA73" s="10">
        <f t="shared" ca="1" si="12"/>
        <v>62</v>
      </c>
    </row>
    <row r="74" spans="1:27" ht="15.85" customHeight="1" x14ac:dyDescent="0.3">
      <c r="A74" s="8">
        <v>69</v>
      </c>
      <c r="B74" s="11" t="s">
        <v>159</v>
      </c>
      <c r="C74" s="11" t="s">
        <v>160</v>
      </c>
      <c r="D74" s="5">
        <f ca="1">IFERROR(__xludf.DUMMYFUNCTION("IMPORTRANGE(""https://docs.google.com/spreadsheets/d/1rOGZhKHVnDGFqGTO7UNOJSkSJyQwVuEb2-yhWQit7lw/edit?gid=872795839#gid=872795839"", address(row($D72),column($D72),,,""DM&amp;GT-M""))"),24)</f>
        <v>24</v>
      </c>
      <c r="E74" s="8">
        <f t="shared" ca="1" si="2"/>
        <v>66.666666666666657</v>
      </c>
      <c r="F74" s="5">
        <f ca="1">IFERROR(__xludf.DUMMYFUNCTION("IMPORTRANGE(""https://docs.google.com/spreadsheets/d/1rOGZhKHVnDGFqGTO7UNOJSkSJyQwVuEb2-yhWQit7lw/edit?gid=659871210#gid=659871210"", address(row($D72),column($D72),,,""UHV-M""))"),18)</f>
        <v>18</v>
      </c>
      <c r="G74" s="8">
        <f t="shared" ca="1" si="3"/>
        <v>56.25</v>
      </c>
      <c r="H74" s="5">
        <f ca="1">IFERROR(__xludf.DUMMYFUNCTION("IMPORTRANGE(""https://docs.google.com/spreadsheets/d/1rOGZhKHVnDGFqGTO7UNOJSkSJyQwVuEb2-yhWQit7lw/edit?gid=1831678671#gid=1831678671"", address(row($D72),column($D72),,,""DL&amp;CO-M""))"),26)</f>
        <v>26</v>
      </c>
      <c r="I74" s="8">
        <f t="shared" ca="1" si="4"/>
        <v>65</v>
      </c>
      <c r="J74" s="5">
        <f ca="1">IFERROR(__xludf.DUMMYFUNCTION("IMPORTRANGE(""https://docs.google.com/spreadsheets/d/1rOGZhKHVnDGFqGTO7UNOJSkSJyQwVuEb2-yhWQit7lw/edit?gid=1967609937#gid=1967609937"", address(row($D72),column($D72),,,""ADSA-M""))"),41)</f>
        <v>41</v>
      </c>
      <c r="K74" s="8">
        <f t="shared" ca="1" si="5"/>
        <v>62.121212121212125</v>
      </c>
      <c r="L74" s="5">
        <f ca="1">IFERROR(__xludf.DUMMYFUNCTION("IMPORTRANGE(""https://docs.google.com/spreadsheets/d/1rOGZhKHVnDGFqGTO7UNOJSkSJyQwVuEb2-yhWQit7lw/edit?gid=413111112#gid=413111112"", address(row($D72),column($D72),,,""JAVA-M""))"),34)</f>
        <v>34</v>
      </c>
      <c r="M74" s="8">
        <f t="shared" ca="1" si="6"/>
        <v>51.515151515151516</v>
      </c>
      <c r="N74" s="5">
        <f ca="1">IFERROR(__xludf.DUMMYFUNCTION("IMPORTRANGE(""https://docs.google.com/spreadsheets/d/1rOGZhKHVnDGFqGTO7UNOJSkSJyQwVuEb2-yhWQit7lw/edit?gid=48564407#gid=48564407"", address(row($D72),column($D72),,,""FOSS LAB-M""))"),14)</f>
        <v>14</v>
      </c>
      <c r="O74" s="8">
        <f t="shared" ca="1" si="7"/>
        <v>46.666666666666664</v>
      </c>
      <c r="P74" s="5">
        <f ca="1">IFERROR(__xludf.DUMMYFUNCTION("IMPORTRANGE(""https://docs.google.com/spreadsheets/d/1rOGZhKHVnDGFqGTO7UNOJSkSJyQwVuEb2-yhWQit7lw/edit?gid=1253773396#gid=1253773396"", address(row($D72),column($D72),,,""PP-M""))"),16)</f>
        <v>16</v>
      </c>
      <c r="Q74" s="8">
        <f t="shared" ca="1" si="8"/>
        <v>66.666666666666657</v>
      </c>
      <c r="R74" s="5">
        <f ca="1">IFERROR(__xludf.DUMMYFUNCTION("IMPORTRANGE(""https://docs.google.com/spreadsheets/d/1rOGZhKHVnDGFqGTO7UNOJSkSJyQwVuEb2-yhWQit7lw/edit?gid=1188725859#gid=1188725859"", address(row($D72),column($D72),,,""NPTEL-M""))"),24)</f>
        <v>24</v>
      </c>
      <c r="S74" s="5">
        <f t="shared" ca="1" si="9"/>
        <v>63.157894736842103</v>
      </c>
      <c r="T74" s="6">
        <f ca="1">IFERROR(__xludf.DUMMYFUNCTION("IMPORTRANGE(""https://docs.google.com/spreadsheets/d/1rOGZhKHVnDGFqGTO7UNOJSkSJyQwVuEb2-yhWQit7lw/edit?gid=832656518#gid=832656518"", address(row($D72),column($D72),,,""CRT-M""))"),70)</f>
        <v>70</v>
      </c>
      <c r="U74" s="8">
        <f t="shared" ca="1" si="10"/>
        <v>76.923076923076934</v>
      </c>
      <c r="V74" s="6">
        <f t="shared" ca="1" si="0"/>
        <v>267</v>
      </c>
      <c r="W74" s="4">
        <f t="shared" ca="1" si="11"/>
        <v>63</v>
      </c>
      <c r="X74" s="4">
        <v>4</v>
      </c>
      <c r="Y74" s="4">
        <v>0</v>
      </c>
      <c r="Z74" s="4">
        <f t="shared" ca="1" si="1"/>
        <v>271</v>
      </c>
      <c r="AA74" s="10">
        <f t="shared" ca="1" si="12"/>
        <v>64</v>
      </c>
    </row>
    <row r="75" spans="1:27" ht="15.85" customHeight="1" x14ac:dyDescent="0.3">
      <c r="A75" s="8">
        <v>70</v>
      </c>
      <c r="B75" s="11" t="s">
        <v>161</v>
      </c>
      <c r="C75" s="11" t="s">
        <v>162</v>
      </c>
      <c r="D75" s="5">
        <f ca="1">IFERROR(__xludf.DUMMYFUNCTION("IMPORTRANGE(""https://docs.google.com/spreadsheets/d/1rOGZhKHVnDGFqGTO7UNOJSkSJyQwVuEb2-yhWQit7lw/edit?gid=872795839#gid=872795839"", address(row($D73),column($D73),,,""DM&amp;GT-M""))"),9)</f>
        <v>9</v>
      </c>
      <c r="E75" s="8">
        <f t="shared" ca="1" si="2"/>
        <v>25</v>
      </c>
      <c r="F75" s="5">
        <f ca="1">IFERROR(__xludf.DUMMYFUNCTION("IMPORTRANGE(""https://docs.google.com/spreadsheets/d/1rOGZhKHVnDGFqGTO7UNOJSkSJyQwVuEb2-yhWQit7lw/edit?gid=659871210#gid=659871210"", address(row($D73),column($D73),,,""UHV-M""))"),9)</f>
        <v>9</v>
      </c>
      <c r="G75" s="8">
        <f t="shared" ca="1" si="3"/>
        <v>28.125</v>
      </c>
      <c r="H75" s="5">
        <f ca="1">IFERROR(__xludf.DUMMYFUNCTION("IMPORTRANGE(""https://docs.google.com/spreadsheets/d/1rOGZhKHVnDGFqGTO7UNOJSkSJyQwVuEb2-yhWQit7lw/edit?gid=1831678671#gid=1831678671"", address(row($D73),column($D73),,,""DL&amp;CO-M""))"),9)</f>
        <v>9</v>
      </c>
      <c r="I75" s="8">
        <f t="shared" ca="1" si="4"/>
        <v>22.5</v>
      </c>
      <c r="J75" s="5">
        <f ca="1">IFERROR(__xludf.DUMMYFUNCTION("IMPORTRANGE(""https://docs.google.com/spreadsheets/d/1rOGZhKHVnDGFqGTO7UNOJSkSJyQwVuEb2-yhWQit7lw/edit?gid=1967609937#gid=1967609937"", address(row($D73),column($D73),,,""ADSA-M""))"),22)</f>
        <v>22</v>
      </c>
      <c r="K75" s="8">
        <f t="shared" ca="1" si="5"/>
        <v>33.333333333333329</v>
      </c>
      <c r="L75" s="5">
        <f ca="1">IFERROR(__xludf.DUMMYFUNCTION("IMPORTRANGE(""https://docs.google.com/spreadsheets/d/1rOGZhKHVnDGFqGTO7UNOJSkSJyQwVuEb2-yhWQit7lw/edit?gid=413111112#gid=413111112"", address(row($D73),column($D73),,,""JAVA-M""))"),16)</f>
        <v>16</v>
      </c>
      <c r="M75" s="8">
        <f t="shared" ca="1" si="6"/>
        <v>24.242424242424242</v>
      </c>
      <c r="N75" s="5">
        <f ca="1">IFERROR(__xludf.DUMMYFUNCTION("IMPORTRANGE(""https://docs.google.com/spreadsheets/d/1rOGZhKHVnDGFqGTO7UNOJSkSJyQwVuEb2-yhWQit7lw/edit?gid=48564407#gid=48564407"", address(row($D73),column($D73),,,""FOSS LAB-M""))"),9)</f>
        <v>9</v>
      </c>
      <c r="O75" s="8">
        <f t="shared" ca="1" si="7"/>
        <v>30</v>
      </c>
      <c r="P75" s="5">
        <f ca="1">IFERROR(__xludf.DUMMYFUNCTION("IMPORTRANGE(""https://docs.google.com/spreadsheets/d/1rOGZhKHVnDGFqGTO7UNOJSkSJyQwVuEb2-yhWQit7lw/edit?gid=1253773396#gid=1253773396"", address(row($D73),column($D73),,,""PP-M""))"),8)</f>
        <v>8</v>
      </c>
      <c r="Q75" s="8">
        <f t="shared" ca="1" si="8"/>
        <v>33.333333333333329</v>
      </c>
      <c r="R75" s="5">
        <f ca="1">IFERROR(__xludf.DUMMYFUNCTION("IMPORTRANGE(""https://docs.google.com/spreadsheets/d/1rOGZhKHVnDGFqGTO7UNOJSkSJyQwVuEb2-yhWQit7lw/edit?gid=1188725859#gid=1188725859"", address(row($D73),column($D73),,,""NPTEL-M""))"),10)</f>
        <v>10</v>
      </c>
      <c r="S75" s="5">
        <f t="shared" ca="1" si="9"/>
        <v>26.315789473684209</v>
      </c>
      <c r="T75" s="6">
        <f ca="1">IFERROR(__xludf.DUMMYFUNCTION("IMPORTRANGE(""https://docs.google.com/spreadsheets/d/1rOGZhKHVnDGFqGTO7UNOJSkSJyQwVuEb2-yhWQit7lw/edit?gid=832656518#gid=832656518"", address(row($D73),column($D73),,,""CRT-M""))"),42)</f>
        <v>42</v>
      </c>
      <c r="U75" s="8">
        <f t="shared" ca="1" si="10"/>
        <v>46.153846153846153</v>
      </c>
      <c r="V75" s="6">
        <f t="shared" ca="1" si="0"/>
        <v>134</v>
      </c>
      <c r="W75" s="4">
        <f t="shared" ca="1" si="11"/>
        <v>32</v>
      </c>
      <c r="X75" s="4">
        <v>0</v>
      </c>
      <c r="Y75" s="4">
        <v>0</v>
      </c>
      <c r="Z75" s="4">
        <f t="shared" ca="1" si="1"/>
        <v>134</v>
      </c>
      <c r="AA75" s="10">
        <f t="shared" ca="1" si="12"/>
        <v>32</v>
      </c>
    </row>
    <row r="76" spans="1:27" ht="15.85" customHeight="1" x14ac:dyDescent="0.3">
      <c r="A76" s="8">
        <v>71</v>
      </c>
      <c r="B76" s="11" t="s">
        <v>163</v>
      </c>
      <c r="C76" s="11" t="s">
        <v>164</v>
      </c>
      <c r="D76" s="5">
        <f ca="1">IFERROR(__xludf.DUMMYFUNCTION("IMPORTRANGE(""https://docs.google.com/spreadsheets/d/1rOGZhKHVnDGFqGTO7UNOJSkSJyQwVuEb2-yhWQit7lw/edit?gid=872795839#gid=872795839"", address(row($D74),column($D74),,,""DM&amp;GT-M""))"),17)</f>
        <v>17</v>
      </c>
      <c r="E76" s="8">
        <f t="shared" ca="1" si="2"/>
        <v>47.222222222222221</v>
      </c>
      <c r="F76" s="5">
        <f ca="1">IFERROR(__xludf.DUMMYFUNCTION("IMPORTRANGE(""https://docs.google.com/spreadsheets/d/1rOGZhKHVnDGFqGTO7UNOJSkSJyQwVuEb2-yhWQit7lw/edit?gid=659871210#gid=659871210"", address(row($D74),column($D74),,,""UHV-M""))"),18)</f>
        <v>18</v>
      </c>
      <c r="G76" s="8">
        <f t="shared" ca="1" si="3"/>
        <v>56.25</v>
      </c>
      <c r="H76" s="5">
        <f ca="1">IFERROR(__xludf.DUMMYFUNCTION("IMPORTRANGE(""https://docs.google.com/spreadsheets/d/1rOGZhKHVnDGFqGTO7UNOJSkSJyQwVuEb2-yhWQit7lw/edit?gid=1831678671#gid=1831678671"", address(row($D74),column($D74),,,""DL&amp;CO-M""))"),18)</f>
        <v>18</v>
      </c>
      <c r="I76" s="8">
        <f t="shared" ca="1" si="4"/>
        <v>45</v>
      </c>
      <c r="J76" s="5">
        <f ca="1">IFERROR(__xludf.DUMMYFUNCTION("IMPORTRANGE(""https://docs.google.com/spreadsheets/d/1rOGZhKHVnDGFqGTO7UNOJSkSJyQwVuEb2-yhWQit7lw/edit?gid=1967609937#gid=1967609937"", address(row($D74),column($D74),,,""ADSA-M""))"),46)</f>
        <v>46</v>
      </c>
      <c r="K76" s="8">
        <f t="shared" ca="1" si="5"/>
        <v>69.696969696969703</v>
      </c>
      <c r="L76" s="5">
        <f ca="1">IFERROR(__xludf.DUMMYFUNCTION("IMPORTRANGE(""https://docs.google.com/spreadsheets/d/1rOGZhKHVnDGFqGTO7UNOJSkSJyQwVuEb2-yhWQit7lw/edit?gid=413111112#gid=413111112"", address(row($D74),column($D74),,,""JAVA-M""))"),33)</f>
        <v>33</v>
      </c>
      <c r="M76" s="8">
        <f t="shared" ca="1" si="6"/>
        <v>50</v>
      </c>
      <c r="N76" s="5">
        <f ca="1">IFERROR(__xludf.DUMMYFUNCTION("IMPORTRANGE(""https://docs.google.com/spreadsheets/d/1rOGZhKHVnDGFqGTO7UNOJSkSJyQwVuEb2-yhWQit7lw/edit?gid=48564407#gid=48564407"", address(row($D74),column($D74),,,""FOSS LAB-M""))"),12)</f>
        <v>12</v>
      </c>
      <c r="O76" s="8">
        <f t="shared" ca="1" si="7"/>
        <v>40</v>
      </c>
      <c r="P76" s="5">
        <f ca="1">IFERROR(__xludf.DUMMYFUNCTION("IMPORTRANGE(""https://docs.google.com/spreadsheets/d/1rOGZhKHVnDGFqGTO7UNOJSkSJyQwVuEb2-yhWQit7lw/edit?gid=1253773396#gid=1253773396"", address(row($D74),column($D74),,,""PP-M""))"),18)</f>
        <v>18</v>
      </c>
      <c r="Q76" s="8">
        <f t="shared" ca="1" si="8"/>
        <v>75</v>
      </c>
      <c r="R76" s="5">
        <f ca="1">IFERROR(__xludf.DUMMYFUNCTION("IMPORTRANGE(""https://docs.google.com/spreadsheets/d/1rOGZhKHVnDGFqGTO7UNOJSkSJyQwVuEb2-yhWQit7lw/edit?gid=1188725859#gid=1188725859"", address(row($D74),column($D74),,,""NPTEL-M""))"),26)</f>
        <v>26</v>
      </c>
      <c r="S76" s="5">
        <f t="shared" ca="1" si="9"/>
        <v>68.421052631578945</v>
      </c>
      <c r="T76" s="6">
        <f ca="1">IFERROR(__xludf.DUMMYFUNCTION("IMPORTRANGE(""https://docs.google.com/spreadsheets/d/1rOGZhKHVnDGFqGTO7UNOJSkSJyQwVuEb2-yhWQit7lw/edit?gid=832656518#gid=832656518"", address(row($D74),column($D74),,,""CRT-M""))"),63)</f>
        <v>63</v>
      </c>
      <c r="U76" s="8">
        <f t="shared" ca="1" si="10"/>
        <v>69.230769230769226</v>
      </c>
      <c r="V76" s="6">
        <f t="shared" ca="1" si="0"/>
        <v>251</v>
      </c>
      <c r="W76" s="4">
        <f t="shared" ca="1" si="11"/>
        <v>59</v>
      </c>
      <c r="X76" s="4">
        <v>0</v>
      </c>
      <c r="Y76" s="4">
        <v>0</v>
      </c>
      <c r="Z76" s="4">
        <f t="shared" ca="1" si="1"/>
        <v>251</v>
      </c>
      <c r="AA76" s="10">
        <f t="shared" ca="1" si="12"/>
        <v>59</v>
      </c>
    </row>
    <row r="77" spans="1:27" ht="15.85" customHeight="1" x14ac:dyDescent="0.3">
      <c r="A77" s="8">
        <v>72</v>
      </c>
      <c r="B77" s="11" t="s">
        <v>165</v>
      </c>
      <c r="C77" s="11" t="s">
        <v>166</v>
      </c>
      <c r="D77" s="5">
        <f ca="1">IFERROR(__xludf.DUMMYFUNCTION("IMPORTRANGE(""https://docs.google.com/spreadsheets/d/1rOGZhKHVnDGFqGTO7UNOJSkSJyQwVuEb2-yhWQit7lw/edit?gid=872795839#gid=872795839"", address(row($D75),column($D75),,,""DM&amp;GT-M""))"),30)</f>
        <v>30</v>
      </c>
      <c r="E77" s="8">
        <f t="shared" ca="1" si="2"/>
        <v>83.333333333333343</v>
      </c>
      <c r="F77" s="5">
        <f ca="1">IFERROR(__xludf.DUMMYFUNCTION("IMPORTRANGE(""https://docs.google.com/spreadsheets/d/1rOGZhKHVnDGFqGTO7UNOJSkSJyQwVuEb2-yhWQit7lw/edit?gid=659871210#gid=659871210"", address(row($D75),column($D75),,,""UHV-M""))"),27)</f>
        <v>27</v>
      </c>
      <c r="G77" s="8">
        <f t="shared" ca="1" si="3"/>
        <v>84.375</v>
      </c>
      <c r="H77" s="5">
        <f ca="1">IFERROR(__xludf.DUMMYFUNCTION("IMPORTRANGE(""https://docs.google.com/spreadsheets/d/1rOGZhKHVnDGFqGTO7UNOJSkSJyQwVuEb2-yhWQit7lw/edit?gid=1831678671#gid=1831678671"", address(row($D75),column($D75),,,""DL&amp;CO-M""))"),32)</f>
        <v>32</v>
      </c>
      <c r="I77" s="8">
        <f t="shared" ca="1" si="4"/>
        <v>80</v>
      </c>
      <c r="J77" s="5">
        <f ca="1">IFERROR(__xludf.DUMMYFUNCTION("IMPORTRANGE(""https://docs.google.com/spreadsheets/d/1rOGZhKHVnDGFqGTO7UNOJSkSJyQwVuEb2-yhWQit7lw/edit?gid=1967609937#gid=1967609937"", address(row($D75),column($D75),,,""ADSA-M""))"),52)</f>
        <v>52</v>
      </c>
      <c r="K77" s="8">
        <f t="shared" ca="1" si="5"/>
        <v>78.787878787878782</v>
      </c>
      <c r="L77" s="5">
        <f ca="1">IFERROR(__xludf.DUMMYFUNCTION("IMPORTRANGE(""https://docs.google.com/spreadsheets/d/1rOGZhKHVnDGFqGTO7UNOJSkSJyQwVuEb2-yhWQit7lw/edit?gid=413111112#gid=413111112"", address(row($D75),column($D75),,,""JAVA-M""))"),45)</f>
        <v>45</v>
      </c>
      <c r="M77" s="8">
        <f t="shared" ca="1" si="6"/>
        <v>68.181818181818173</v>
      </c>
      <c r="N77" s="5">
        <f ca="1">IFERROR(__xludf.DUMMYFUNCTION("IMPORTRANGE(""https://docs.google.com/spreadsheets/d/1rOGZhKHVnDGFqGTO7UNOJSkSJyQwVuEb2-yhWQit7lw/edit?gid=48564407#gid=48564407"", address(row($D75),column($D75),,,""FOSS LAB-M""))"),25)</f>
        <v>25</v>
      </c>
      <c r="O77" s="8">
        <f t="shared" ca="1" si="7"/>
        <v>83.333333333333343</v>
      </c>
      <c r="P77" s="5">
        <f ca="1">IFERROR(__xludf.DUMMYFUNCTION("IMPORTRANGE(""https://docs.google.com/spreadsheets/d/1rOGZhKHVnDGFqGTO7UNOJSkSJyQwVuEb2-yhWQit7lw/edit?gid=1253773396#gid=1253773396"", address(row($D75),column($D75),,,""PP-M""))"),16)</f>
        <v>16</v>
      </c>
      <c r="Q77" s="8">
        <f t="shared" ca="1" si="8"/>
        <v>66.666666666666657</v>
      </c>
      <c r="R77" s="5">
        <f ca="1">IFERROR(__xludf.DUMMYFUNCTION("IMPORTRANGE(""https://docs.google.com/spreadsheets/d/1rOGZhKHVnDGFqGTO7UNOJSkSJyQwVuEb2-yhWQit7lw/edit?gid=1188725859#gid=1188725859"", address(row($D75),column($D75),,,""NPTEL-M""))"),32)</f>
        <v>32</v>
      </c>
      <c r="S77" s="5">
        <f t="shared" ca="1" si="9"/>
        <v>84.210526315789465</v>
      </c>
      <c r="T77" s="6">
        <f ca="1">IFERROR(__xludf.DUMMYFUNCTION("IMPORTRANGE(""https://docs.google.com/spreadsheets/d/1rOGZhKHVnDGFqGTO7UNOJSkSJyQwVuEb2-yhWQit7lw/edit?gid=832656518#gid=832656518"", address(row($D75),column($D75),,,""CRT-M""))"),84)</f>
        <v>84</v>
      </c>
      <c r="U77" s="8">
        <f t="shared" ca="1" si="10"/>
        <v>92.307692307692307</v>
      </c>
      <c r="V77" s="6">
        <f t="shared" ca="1" si="0"/>
        <v>343</v>
      </c>
      <c r="W77" s="4">
        <f t="shared" ca="1" si="11"/>
        <v>81</v>
      </c>
      <c r="X77" s="4">
        <v>0</v>
      </c>
      <c r="Y77" s="4">
        <v>0</v>
      </c>
      <c r="Z77" s="4">
        <f t="shared" ca="1" si="1"/>
        <v>343</v>
      </c>
      <c r="AA77" s="10">
        <f t="shared" ca="1" si="12"/>
        <v>81</v>
      </c>
    </row>
    <row r="78" spans="1:27" ht="15.85" customHeight="1" x14ac:dyDescent="0.3">
      <c r="A78" s="8">
        <v>73</v>
      </c>
      <c r="B78" s="11" t="s">
        <v>167</v>
      </c>
      <c r="C78" s="11" t="s">
        <v>168</v>
      </c>
      <c r="D78" s="5">
        <f ca="1">IFERROR(__xludf.DUMMYFUNCTION("IMPORTRANGE(""https://docs.google.com/spreadsheets/d/1rOGZhKHVnDGFqGTO7UNOJSkSJyQwVuEb2-yhWQit7lw/edit?gid=872795839#gid=872795839"", address(row($D76),column($D76),,,""DM&amp;GT-M""))"),22)</f>
        <v>22</v>
      </c>
      <c r="E78" s="8">
        <f t="shared" ca="1" si="2"/>
        <v>61.111111111111114</v>
      </c>
      <c r="F78" s="5">
        <f ca="1">IFERROR(__xludf.DUMMYFUNCTION("IMPORTRANGE(""https://docs.google.com/spreadsheets/d/1rOGZhKHVnDGFqGTO7UNOJSkSJyQwVuEb2-yhWQit7lw/edit?gid=659871210#gid=659871210"", address(row($D76),column($D76),,,""UHV-M""))"),23)</f>
        <v>23</v>
      </c>
      <c r="G78" s="8">
        <f t="shared" ca="1" si="3"/>
        <v>71.875</v>
      </c>
      <c r="H78" s="5">
        <f ca="1">IFERROR(__xludf.DUMMYFUNCTION("IMPORTRANGE(""https://docs.google.com/spreadsheets/d/1rOGZhKHVnDGFqGTO7UNOJSkSJyQwVuEb2-yhWQit7lw/edit?gid=1831678671#gid=1831678671"", address(row($D76),column($D76),,,""DL&amp;CO-M""))"),24)</f>
        <v>24</v>
      </c>
      <c r="I78" s="8">
        <f t="shared" ca="1" si="4"/>
        <v>60</v>
      </c>
      <c r="J78" s="5">
        <f ca="1">IFERROR(__xludf.DUMMYFUNCTION("IMPORTRANGE(""https://docs.google.com/spreadsheets/d/1rOGZhKHVnDGFqGTO7UNOJSkSJyQwVuEb2-yhWQit7lw/edit?gid=1967609937#gid=1967609937"", address(row($D76),column($D76),,,""ADSA-M""))"),51)</f>
        <v>51</v>
      </c>
      <c r="K78" s="8">
        <f t="shared" ca="1" si="5"/>
        <v>77.272727272727266</v>
      </c>
      <c r="L78" s="5">
        <f ca="1">IFERROR(__xludf.DUMMYFUNCTION("IMPORTRANGE(""https://docs.google.com/spreadsheets/d/1rOGZhKHVnDGFqGTO7UNOJSkSJyQwVuEb2-yhWQit7lw/edit?gid=413111112#gid=413111112"", address(row($D76),column($D76),,,""JAVA-M""))"),38)</f>
        <v>38</v>
      </c>
      <c r="M78" s="8">
        <f t="shared" ca="1" si="6"/>
        <v>57.575757575757578</v>
      </c>
      <c r="N78" s="5">
        <f ca="1">IFERROR(__xludf.DUMMYFUNCTION("IMPORTRANGE(""https://docs.google.com/spreadsheets/d/1rOGZhKHVnDGFqGTO7UNOJSkSJyQwVuEb2-yhWQit7lw/edit?gid=48564407#gid=48564407"", address(row($D76),column($D76),,,""FOSS LAB-M""))"),20)</f>
        <v>20</v>
      </c>
      <c r="O78" s="8">
        <f t="shared" ca="1" si="7"/>
        <v>66.666666666666657</v>
      </c>
      <c r="P78" s="5">
        <f ca="1">IFERROR(__xludf.DUMMYFUNCTION("IMPORTRANGE(""https://docs.google.com/spreadsheets/d/1rOGZhKHVnDGFqGTO7UNOJSkSJyQwVuEb2-yhWQit7lw/edit?gid=1253773396#gid=1253773396"", address(row($D76),column($D76),,,""PP-M""))"),18)</f>
        <v>18</v>
      </c>
      <c r="Q78" s="8">
        <f t="shared" ca="1" si="8"/>
        <v>75</v>
      </c>
      <c r="R78" s="5">
        <f ca="1">IFERROR(__xludf.DUMMYFUNCTION("IMPORTRANGE(""https://docs.google.com/spreadsheets/d/1rOGZhKHVnDGFqGTO7UNOJSkSJyQwVuEb2-yhWQit7lw/edit?gid=1188725859#gid=1188725859"", address(row($D76),column($D76),,,""NPTEL-M""))"),28)</f>
        <v>28</v>
      </c>
      <c r="S78" s="5">
        <f t="shared" ca="1" si="9"/>
        <v>73.68421052631578</v>
      </c>
      <c r="T78" s="6">
        <f ca="1">IFERROR(__xludf.DUMMYFUNCTION("IMPORTRANGE(""https://docs.google.com/spreadsheets/d/1rOGZhKHVnDGFqGTO7UNOJSkSJyQwVuEb2-yhWQit7lw/edit?gid=832656518#gid=832656518"", address(row($D76),column($D76),,,""CRT-M""))"),84)</f>
        <v>84</v>
      </c>
      <c r="U78" s="8">
        <f t="shared" ca="1" si="10"/>
        <v>92.307692307692307</v>
      </c>
      <c r="V78" s="6">
        <f t="shared" ca="1" si="0"/>
        <v>308</v>
      </c>
      <c r="W78" s="4">
        <f t="shared" ca="1" si="11"/>
        <v>73</v>
      </c>
      <c r="X78" s="4">
        <v>0</v>
      </c>
      <c r="Y78" s="4">
        <v>0</v>
      </c>
      <c r="Z78" s="4">
        <f t="shared" ca="1" si="1"/>
        <v>308</v>
      </c>
      <c r="AA78" s="10">
        <f t="shared" ca="1" si="12"/>
        <v>73</v>
      </c>
    </row>
    <row r="79" spans="1:27" ht="15.85" customHeight="1" x14ac:dyDescent="0.3">
      <c r="Y79" s="12"/>
      <c r="Z79" s="12"/>
      <c r="AA79" s="12"/>
    </row>
    <row r="80" spans="1:27" ht="15.85" customHeight="1" x14ac:dyDescent="0.3">
      <c r="B80" s="26" t="s">
        <v>169</v>
      </c>
      <c r="C80" s="24"/>
      <c r="Y80" s="12"/>
      <c r="Z80" s="12"/>
      <c r="AA80" s="12"/>
    </row>
    <row r="81" spans="2:27" ht="15.85" customHeight="1" x14ac:dyDescent="0.3">
      <c r="B81" s="13" t="s">
        <v>170</v>
      </c>
      <c r="C81" s="14">
        <f ca="1">COUNTIF(AA6:AA78,"&gt;=75")</f>
        <v>29</v>
      </c>
      <c r="Y81" s="12"/>
      <c r="Z81" s="12"/>
      <c r="AA81" s="12"/>
    </row>
    <row r="82" spans="2:27" ht="15.85" customHeight="1" x14ac:dyDescent="0.3">
      <c r="B82" s="13" t="s">
        <v>171</v>
      </c>
      <c r="C82" s="14">
        <f ca="1">COUNTIFS(AA6:AA78,"&gt;=65",AA6:AA78,"&lt;75")</f>
        <v>21</v>
      </c>
      <c r="Y82" s="12"/>
      <c r="Z82" s="12"/>
      <c r="AA82" s="12"/>
    </row>
    <row r="83" spans="2:27" ht="15.85" customHeight="1" x14ac:dyDescent="0.3">
      <c r="B83" s="13" t="s">
        <v>172</v>
      </c>
      <c r="C83" s="14">
        <f ca="1">COUNTIFS(AA6:AA78,"&gt;=50",AA6:AA78,"&lt;65")</f>
        <v>21</v>
      </c>
      <c r="Y83" s="12"/>
      <c r="Z83" s="12"/>
      <c r="AA83" s="12"/>
    </row>
    <row r="84" spans="2:27" ht="15.85" customHeight="1" x14ac:dyDescent="0.3">
      <c r="B84" s="13" t="s">
        <v>173</v>
      </c>
      <c r="C84" s="14">
        <f ca="1">COUNTIFS(AA6:AA78,"&gt;=25",AA6:AA78,"&lt;50")</f>
        <v>2</v>
      </c>
      <c r="Y84" s="12"/>
      <c r="Z84" s="12"/>
      <c r="AA84" s="12"/>
    </row>
    <row r="85" spans="2:27" ht="15.85" customHeight="1" x14ac:dyDescent="0.3">
      <c r="B85" s="13" t="s">
        <v>174</v>
      </c>
      <c r="C85" s="14">
        <f ca="1">COUNTIFS(AA6:AA78,"&gt;=1",AA6:AA78,"&lt;25")</f>
        <v>0</v>
      </c>
      <c r="Y85" s="12"/>
      <c r="Z85" s="12"/>
      <c r="AA85" s="12"/>
    </row>
    <row r="86" spans="2:27" ht="15.85" customHeight="1" x14ac:dyDescent="0.3">
      <c r="B86" s="13">
        <f>0</f>
        <v>0</v>
      </c>
      <c r="C86" s="15">
        <f ca="1">COUNTIFS(AA6:AA78,"=0")</f>
        <v>0</v>
      </c>
      <c r="Y86" s="12"/>
      <c r="Z86" s="12"/>
      <c r="AA86" s="12"/>
    </row>
    <row r="87" spans="2:27" ht="15.85" customHeight="1" x14ac:dyDescent="0.3">
      <c r="B87" s="16"/>
      <c r="C87" s="16">
        <f ca="1">SUM(C81:C86)</f>
        <v>73</v>
      </c>
      <c r="Y87" s="12"/>
      <c r="Z87" s="12"/>
      <c r="AA87" s="12"/>
    </row>
    <row r="88" spans="2:27" ht="15.85" customHeight="1" x14ac:dyDescent="0.3">
      <c r="Y88" s="12"/>
      <c r="Z88" s="12"/>
      <c r="AA88" s="12"/>
    </row>
    <row r="89" spans="2:27" ht="15.85" customHeight="1" x14ac:dyDescent="0.3">
      <c r="Y89" s="12"/>
      <c r="Z89" s="12"/>
      <c r="AA89" s="12"/>
    </row>
    <row r="90" spans="2:27" ht="15.85" customHeight="1" x14ac:dyDescent="0.3">
      <c r="Y90" s="12"/>
      <c r="Z90" s="12"/>
      <c r="AA90" s="12"/>
    </row>
    <row r="91" spans="2:27" ht="15.85" customHeight="1" x14ac:dyDescent="0.3">
      <c r="Y91" s="12"/>
      <c r="Z91" s="12"/>
      <c r="AA91" s="12"/>
    </row>
    <row r="92" spans="2:27" ht="15.85" customHeight="1" x14ac:dyDescent="0.3">
      <c r="Y92" s="12"/>
      <c r="Z92" s="12"/>
      <c r="AA92" s="12"/>
    </row>
    <row r="93" spans="2:27" ht="15.85" customHeight="1" x14ac:dyDescent="0.3">
      <c r="Y93" s="12"/>
      <c r="Z93" s="12"/>
      <c r="AA93" s="12"/>
    </row>
    <row r="94" spans="2:27" ht="15.85" customHeight="1" x14ac:dyDescent="0.3">
      <c r="Y94" s="12"/>
      <c r="Z94" s="12"/>
      <c r="AA94" s="12"/>
    </row>
    <row r="95" spans="2:27" ht="15.85" customHeight="1" x14ac:dyDescent="0.3">
      <c r="Y95" s="12"/>
      <c r="Z95" s="12"/>
      <c r="AA95" s="12"/>
    </row>
    <row r="96" spans="2:27" ht="15.85" customHeight="1" x14ac:dyDescent="0.3">
      <c r="Y96" s="12"/>
      <c r="Z96" s="12"/>
      <c r="AA96" s="12"/>
    </row>
    <row r="97" spans="25:27" ht="15.85" customHeight="1" x14ac:dyDescent="0.3">
      <c r="Y97" s="12"/>
      <c r="Z97" s="12"/>
      <c r="AA97" s="12"/>
    </row>
    <row r="98" spans="25:27" ht="15.85" customHeight="1" x14ac:dyDescent="0.3">
      <c r="Y98" s="12"/>
      <c r="Z98" s="12"/>
      <c r="AA98" s="12"/>
    </row>
    <row r="99" spans="25:27" ht="15.85" customHeight="1" x14ac:dyDescent="0.3">
      <c r="Y99" s="12"/>
      <c r="Z99" s="12"/>
      <c r="AA99" s="12"/>
    </row>
    <row r="100" spans="25:27" ht="15.85" customHeight="1" x14ac:dyDescent="0.3">
      <c r="Y100" s="12"/>
      <c r="Z100" s="12"/>
      <c r="AA100" s="12"/>
    </row>
    <row r="101" spans="25:27" ht="15.85" customHeight="1" x14ac:dyDescent="0.3">
      <c r="Y101" s="12"/>
      <c r="Z101" s="12"/>
      <c r="AA101" s="12"/>
    </row>
    <row r="102" spans="25:27" ht="15.85" customHeight="1" x14ac:dyDescent="0.3">
      <c r="Y102" s="12"/>
      <c r="Z102" s="12"/>
      <c r="AA102" s="12"/>
    </row>
    <row r="103" spans="25:27" ht="15.85" customHeight="1" x14ac:dyDescent="0.3">
      <c r="Y103" s="12"/>
      <c r="Z103" s="12"/>
      <c r="AA103" s="12"/>
    </row>
    <row r="104" spans="25:27" ht="15.85" customHeight="1" x14ac:dyDescent="0.3">
      <c r="Y104" s="12"/>
      <c r="Z104" s="12"/>
      <c r="AA104" s="12"/>
    </row>
    <row r="105" spans="25:27" ht="15.85" customHeight="1" x14ac:dyDescent="0.3">
      <c r="Y105" s="12"/>
      <c r="Z105" s="12"/>
      <c r="AA105" s="12"/>
    </row>
    <row r="106" spans="25:27" ht="15.85" customHeight="1" x14ac:dyDescent="0.3">
      <c r="Y106" s="12"/>
      <c r="Z106" s="12"/>
      <c r="AA106" s="12"/>
    </row>
    <row r="107" spans="25:27" ht="15.85" customHeight="1" x14ac:dyDescent="0.3">
      <c r="Y107" s="12"/>
      <c r="Z107" s="12"/>
      <c r="AA107" s="12"/>
    </row>
    <row r="108" spans="25:27" ht="15.85" customHeight="1" x14ac:dyDescent="0.3">
      <c r="Y108" s="12"/>
      <c r="Z108" s="12"/>
      <c r="AA108" s="12"/>
    </row>
    <row r="109" spans="25:27" ht="15.85" customHeight="1" x14ac:dyDescent="0.3">
      <c r="Y109" s="12"/>
      <c r="Z109" s="12"/>
      <c r="AA109" s="12"/>
    </row>
    <row r="110" spans="25:27" ht="15.85" customHeight="1" x14ac:dyDescent="0.3">
      <c r="Y110" s="12"/>
      <c r="Z110" s="12"/>
      <c r="AA110" s="12"/>
    </row>
    <row r="111" spans="25:27" ht="15.85" customHeight="1" x14ac:dyDescent="0.3">
      <c r="Y111" s="12"/>
      <c r="Z111" s="12"/>
      <c r="AA111" s="12"/>
    </row>
    <row r="112" spans="25:27" ht="15.85" customHeight="1" x14ac:dyDescent="0.3">
      <c r="Y112" s="12"/>
      <c r="Z112" s="12"/>
      <c r="AA112" s="12"/>
    </row>
    <row r="113" spans="25:27" ht="15.85" customHeight="1" x14ac:dyDescent="0.3">
      <c r="Y113" s="12"/>
      <c r="Z113" s="12"/>
      <c r="AA113" s="12"/>
    </row>
    <row r="114" spans="25:27" ht="15.85" customHeight="1" x14ac:dyDescent="0.3">
      <c r="Y114" s="12"/>
      <c r="Z114" s="12"/>
      <c r="AA114" s="12"/>
    </row>
    <row r="115" spans="25:27" ht="15.85" customHeight="1" x14ac:dyDescent="0.3">
      <c r="Y115" s="12"/>
      <c r="Z115" s="12"/>
      <c r="AA115" s="12"/>
    </row>
    <row r="116" spans="25:27" ht="15.85" customHeight="1" x14ac:dyDescent="0.3">
      <c r="Y116" s="12"/>
      <c r="Z116" s="12"/>
      <c r="AA116" s="12"/>
    </row>
    <row r="117" spans="25:27" ht="15.85" customHeight="1" x14ac:dyDescent="0.3">
      <c r="Y117" s="12"/>
      <c r="Z117" s="12"/>
      <c r="AA117" s="12"/>
    </row>
    <row r="118" spans="25:27" ht="15.85" customHeight="1" x14ac:dyDescent="0.3">
      <c r="Y118" s="12"/>
      <c r="Z118" s="12"/>
      <c r="AA118" s="12"/>
    </row>
    <row r="119" spans="25:27" ht="15.85" customHeight="1" x14ac:dyDescent="0.3">
      <c r="Y119" s="12"/>
      <c r="Z119" s="12"/>
      <c r="AA119" s="12"/>
    </row>
    <row r="120" spans="25:27" ht="15.85" customHeight="1" x14ac:dyDescent="0.3">
      <c r="Y120" s="12"/>
      <c r="Z120" s="12"/>
      <c r="AA120" s="12"/>
    </row>
    <row r="121" spans="25:27" ht="15.85" customHeight="1" x14ac:dyDescent="0.3">
      <c r="Y121" s="12"/>
      <c r="Z121" s="12"/>
      <c r="AA121" s="12"/>
    </row>
    <row r="122" spans="25:27" ht="15.85" customHeight="1" x14ac:dyDescent="0.3">
      <c r="Y122" s="12"/>
      <c r="Z122" s="12"/>
      <c r="AA122" s="12"/>
    </row>
    <row r="123" spans="25:27" ht="15.85" customHeight="1" x14ac:dyDescent="0.3">
      <c r="Y123" s="12"/>
      <c r="Z123" s="12"/>
      <c r="AA123" s="12"/>
    </row>
    <row r="124" spans="25:27" ht="15.85" customHeight="1" x14ac:dyDescent="0.3">
      <c r="Y124" s="12"/>
      <c r="Z124" s="12"/>
      <c r="AA124" s="12"/>
    </row>
    <row r="125" spans="25:27" ht="15.85" customHeight="1" x14ac:dyDescent="0.3">
      <c r="Y125" s="12"/>
      <c r="Z125" s="12"/>
      <c r="AA125" s="12"/>
    </row>
    <row r="126" spans="25:27" ht="15.85" customHeight="1" x14ac:dyDescent="0.3">
      <c r="Y126" s="12"/>
      <c r="Z126" s="12"/>
      <c r="AA126" s="12"/>
    </row>
    <row r="127" spans="25:27" ht="15.85" customHeight="1" x14ac:dyDescent="0.3">
      <c r="Y127" s="12"/>
      <c r="Z127" s="12"/>
      <c r="AA127" s="12"/>
    </row>
    <row r="128" spans="25:27" ht="15.85" customHeight="1" x14ac:dyDescent="0.3">
      <c r="Y128" s="12"/>
      <c r="Z128" s="12"/>
      <c r="AA128" s="12"/>
    </row>
    <row r="129" spans="25:27" ht="15.85" customHeight="1" x14ac:dyDescent="0.3">
      <c r="Y129" s="12"/>
      <c r="Z129" s="12"/>
      <c r="AA129" s="12"/>
    </row>
    <row r="130" spans="25:27" ht="15.85" customHeight="1" x14ac:dyDescent="0.3">
      <c r="Y130" s="12"/>
      <c r="Z130" s="12"/>
      <c r="AA130" s="12"/>
    </row>
    <row r="131" spans="25:27" ht="15.85" customHeight="1" x14ac:dyDescent="0.3">
      <c r="Y131" s="12"/>
      <c r="Z131" s="12"/>
      <c r="AA131" s="12"/>
    </row>
    <row r="132" spans="25:27" ht="15.85" customHeight="1" x14ac:dyDescent="0.3">
      <c r="Y132" s="12"/>
      <c r="Z132" s="12"/>
      <c r="AA132" s="12"/>
    </row>
    <row r="133" spans="25:27" ht="15.85" customHeight="1" x14ac:dyDescent="0.3">
      <c r="Y133" s="12"/>
      <c r="Z133" s="12"/>
      <c r="AA133" s="12"/>
    </row>
    <row r="134" spans="25:27" ht="15.85" customHeight="1" x14ac:dyDescent="0.3">
      <c r="Y134" s="12"/>
      <c r="Z134" s="12"/>
      <c r="AA134" s="12"/>
    </row>
    <row r="135" spans="25:27" ht="15.85" customHeight="1" x14ac:dyDescent="0.3">
      <c r="Y135" s="12"/>
      <c r="Z135" s="12"/>
      <c r="AA135" s="12"/>
    </row>
    <row r="136" spans="25:27" ht="15.85" customHeight="1" x14ac:dyDescent="0.3">
      <c r="Y136" s="12"/>
      <c r="Z136" s="12"/>
      <c r="AA136" s="12"/>
    </row>
    <row r="137" spans="25:27" ht="15.85" customHeight="1" x14ac:dyDescent="0.3">
      <c r="Y137" s="12"/>
      <c r="Z137" s="12"/>
      <c r="AA137" s="12"/>
    </row>
    <row r="138" spans="25:27" ht="15.85" customHeight="1" x14ac:dyDescent="0.3">
      <c r="Y138" s="12"/>
      <c r="Z138" s="12"/>
      <c r="AA138" s="12"/>
    </row>
    <row r="139" spans="25:27" ht="15.85" customHeight="1" x14ac:dyDescent="0.3">
      <c r="Y139" s="12"/>
      <c r="Z139" s="12"/>
      <c r="AA139" s="12"/>
    </row>
    <row r="140" spans="25:27" ht="15.85" customHeight="1" x14ac:dyDescent="0.3">
      <c r="Y140" s="12"/>
      <c r="Z140" s="12"/>
      <c r="AA140" s="12"/>
    </row>
    <row r="141" spans="25:27" ht="15.85" customHeight="1" x14ac:dyDescent="0.3">
      <c r="Y141" s="12"/>
      <c r="Z141" s="12"/>
      <c r="AA141" s="12"/>
    </row>
    <row r="142" spans="25:27" ht="15.85" customHeight="1" x14ac:dyDescent="0.3">
      <c r="Y142" s="12"/>
      <c r="Z142" s="12"/>
      <c r="AA142" s="12"/>
    </row>
    <row r="143" spans="25:27" ht="15.85" customHeight="1" x14ac:dyDescent="0.3">
      <c r="Y143" s="12"/>
      <c r="Z143" s="12"/>
      <c r="AA143" s="12"/>
    </row>
    <row r="144" spans="25:27" ht="15.85" customHeight="1" x14ac:dyDescent="0.3">
      <c r="Y144" s="12"/>
      <c r="Z144" s="12"/>
      <c r="AA144" s="12"/>
    </row>
    <row r="145" spans="25:27" ht="15.85" customHeight="1" x14ac:dyDescent="0.3">
      <c r="Y145" s="12"/>
      <c r="Z145" s="12"/>
      <c r="AA145" s="12"/>
    </row>
    <row r="146" spans="25:27" ht="15.85" customHeight="1" x14ac:dyDescent="0.3">
      <c r="Y146" s="12"/>
      <c r="Z146" s="12"/>
      <c r="AA146" s="12"/>
    </row>
    <row r="147" spans="25:27" ht="15.85" customHeight="1" x14ac:dyDescent="0.3">
      <c r="Y147" s="12"/>
      <c r="Z147" s="12"/>
      <c r="AA147" s="12"/>
    </row>
    <row r="148" spans="25:27" ht="15.85" customHeight="1" x14ac:dyDescent="0.3">
      <c r="Y148" s="12"/>
      <c r="Z148" s="12"/>
      <c r="AA148" s="12"/>
    </row>
    <row r="149" spans="25:27" ht="15.85" customHeight="1" x14ac:dyDescent="0.3">
      <c r="Y149" s="12"/>
      <c r="Z149" s="12"/>
      <c r="AA149" s="12"/>
    </row>
    <row r="150" spans="25:27" ht="15.85" customHeight="1" x14ac:dyDescent="0.3">
      <c r="Y150" s="12"/>
      <c r="Z150" s="12"/>
      <c r="AA150" s="12"/>
    </row>
    <row r="151" spans="25:27" ht="15.85" customHeight="1" x14ac:dyDescent="0.3">
      <c r="Y151" s="12"/>
      <c r="Z151" s="12"/>
      <c r="AA151" s="12"/>
    </row>
    <row r="152" spans="25:27" ht="15.85" customHeight="1" x14ac:dyDescent="0.3">
      <c r="Y152" s="12"/>
      <c r="Z152" s="12"/>
      <c r="AA152" s="12"/>
    </row>
    <row r="153" spans="25:27" ht="15.85" customHeight="1" x14ac:dyDescent="0.3">
      <c r="Y153" s="12"/>
      <c r="Z153" s="12"/>
      <c r="AA153" s="12"/>
    </row>
    <row r="154" spans="25:27" ht="15.85" customHeight="1" x14ac:dyDescent="0.3">
      <c r="Y154" s="12"/>
      <c r="Z154" s="12"/>
      <c r="AA154" s="12"/>
    </row>
    <row r="155" spans="25:27" ht="15.85" customHeight="1" x14ac:dyDescent="0.3">
      <c r="Y155" s="12"/>
      <c r="Z155" s="12"/>
      <c r="AA155" s="12"/>
    </row>
    <row r="156" spans="25:27" ht="15.85" customHeight="1" x14ac:dyDescent="0.3">
      <c r="Y156" s="12"/>
      <c r="Z156" s="12"/>
      <c r="AA156" s="12"/>
    </row>
    <row r="157" spans="25:27" ht="15.85" customHeight="1" x14ac:dyDescent="0.3">
      <c r="Y157" s="12"/>
      <c r="Z157" s="12"/>
      <c r="AA157" s="12"/>
    </row>
    <row r="158" spans="25:27" ht="15.85" customHeight="1" x14ac:dyDescent="0.3">
      <c r="Y158" s="12"/>
      <c r="Z158" s="12"/>
      <c r="AA158" s="12"/>
    </row>
    <row r="159" spans="25:27" ht="15.85" customHeight="1" x14ac:dyDescent="0.3">
      <c r="Y159" s="12"/>
      <c r="Z159" s="12"/>
      <c r="AA159" s="12"/>
    </row>
    <row r="160" spans="25:27" ht="15.85" customHeight="1" x14ac:dyDescent="0.3">
      <c r="Y160" s="12"/>
      <c r="Z160" s="12"/>
      <c r="AA160" s="12"/>
    </row>
    <row r="161" spans="25:27" ht="15.85" customHeight="1" x14ac:dyDescent="0.3">
      <c r="Y161" s="12"/>
      <c r="Z161" s="12"/>
      <c r="AA161" s="12"/>
    </row>
    <row r="162" spans="25:27" ht="15.85" customHeight="1" x14ac:dyDescent="0.3">
      <c r="Y162" s="12"/>
      <c r="Z162" s="12"/>
      <c r="AA162" s="12"/>
    </row>
    <row r="163" spans="25:27" ht="15.85" customHeight="1" x14ac:dyDescent="0.3">
      <c r="Y163" s="12"/>
      <c r="Z163" s="12"/>
      <c r="AA163" s="12"/>
    </row>
    <row r="164" spans="25:27" ht="15.85" customHeight="1" x14ac:dyDescent="0.3">
      <c r="Y164" s="12"/>
      <c r="Z164" s="12"/>
      <c r="AA164" s="12"/>
    </row>
    <row r="165" spans="25:27" ht="15.85" customHeight="1" x14ac:dyDescent="0.3">
      <c r="Y165" s="12"/>
      <c r="Z165" s="12"/>
      <c r="AA165" s="12"/>
    </row>
    <row r="166" spans="25:27" ht="15.85" customHeight="1" x14ac:dyDescent="0.3">
      <c r="Y166" s="12"/>
      <c r="Z166" s="12"/>
      <c r="AA166" s="12"/>
    </row>
    <row r="167" spans="25:27" ht="15.85" customHeight="1" x14ac:dyDescent="0.3">
      <c r="Y167" s="12"/>
      <c r="Z167" s="12"/>
      <c r="AA167" s="12"/>
    </row>
    <row r="168" spans="25:27" ht="15.85" customHeight="1" x14ac:dyDescent="0.3">
      <c r="Y168" s="12"/>
      <c r="Z168" s="12"/>
      <c r="AA168" s="12"/>
    </row>
    <row r="169" spans="25:27" ht="15.85" customHeight="1" x14ac:dyDescent="0.3">
      <c r="Y169" s="12"/>
      <c r="Z169" s="12"/>
      <c r="AA169" s="12"/>
    </row>
    <row r="170" spans="25:27" ht="15.85" customHeight="1" x14ac:dyDescent="0.3">
      <c r="Y170" s="12"/>
      <c r="Z170" s="12"/>
      <c r="AA170" s="12"/>
    </row>
    <row r="171" spans="25:27" ht="15.85" customHeight="1" x14ac:dyDescent="0.3">
      <c r="Y171" s="12"/>
      <c r="Z171" s="12"/>
      <c r="AA171" s="12"/>
    </row>
    <row r="172" spans="25:27" ht="15.85" customHeight="1" x14ac:dyDescent="0.3">
      <c r="Y172" s="12"/>
      <c r="Z172" s="12"/>
      <c r="AA172" s="12"/>
    </row>
    <row r="173" spans="25:27" ht="15.85" customHeight="1" x14ac:dyDescent="0.3">
      <c r="Y173" s="12"/>
      <c r="Z173" s="12"/>
      <c r="AA173" s="12"/>
    </row>
    <row r="174" spans="25:27" ht="15.85" customHeight="1" x14ac:dyDescent="0.3">
      <c r="Y174" s="12"/>
      <c r="Z174" s="12"/>
      <c r="AA174" s="12"/>
    </row>
    <row r="175" spans="25:27" ht="15.85" customHeight="1" x14ac:dyDescent="0.3">
      <c r="Y175" s="12"/>
      <c r="Z175" s="12"/>
      <c r="AA175" s="12"/>
    </row>
    <row r="176" spans="25:27" ht="15.85" customHeight="1" x14ac:dyDescent="0.3">
      <c r="Y176" s="12"/>
      <c r="Z176" s="12"/>
      <c r="AA176" s="12"/>
    </row>
    <row r="177" spans="25:27" ht="15.85" customHeight="1" x14ac:dyDescent="0.3">
      <c r="Y177" s="12"/>
      <c r="Z177" s="12"/>
      <c r="AA177" s="12"/>
    </row>
    <row r="178" spans="25:27" ht="15.85" customHeight="1" x14ac:dyDescent="0.3">
      <c r="Y178" s="12"/>
      <c r="Z178" s="12"/>
      <c r="AA178" s="12"/>
    </row>
    <row r="179" spans="25:27" ht="15.85" customHeight="1" x14ac:dyDescent="0.3">
      <c r="Y179" s="12"/>
      <c r="Z179" s="12"/>
      <c r="AA179" s="12"/>
    </row>
    <row r="180" spans="25:27" ht="15.85" customHeight="1" x14ac:dyDescent="0.3">
      <c r="Y180" s="12"/>
      <c r="Z180" s="12"/>
      <c r="AA180" s="12"/>
    </row>
    <row r="181" spans="25:27" ht="15.85" customHeight="1" x14ac:dyDescent="0.3">
      <c r="Y181" s="12"/>
      <c r="Z181" s="12"/>
      <c r="AA181" s="12"/>
    </row>
    <row r="182" spans="25:27" ht="15.85" customHeight="1" x14ac:dyDescent="0.3">
      <c r="Y182" s="12"/>
      <c r="Z182" s="12"/>
      <c r="AA182" s="12"/>
    </row>
    <row r="183" spans="25:27" ht="15.85" customHeight="1" x14ac:dyDescent="0.3">
      <c r="Y183" s="12"/>
      <c r="Z183" s="12"/>
      <c r="AA183" s="12"/>
    </row>
    <row r="184" spans="25:27" ht="15.85" customHeight="1" x14ac:dyDescent="0.3">
      <c r="Y184" s="12"/>
      <c r="Z184" s="12"/>
      <c r="AA184" s="12"/>
    </row>
    <row r="185" spans="25:27" ht="15.85" customHeight="1" x14ac:dyDescent="0.3">
      <c r="Y185" s="12"/>
      <c r="Z185" s="12"/>
      <c r="AA185" s="12"/>
    </row>
    <row r="186" spans="25:27" ht="15.85" customHeight="1" x14ac:dyDescent="0.3">
      <c r="Y186" s="12"/>
      <c r="Z186" s="12"/>
      <c r="AA186" s="12"/>
    </row>
    <row r="187" spans="25:27" ht="15.85" customHeight="1" x14ac:dyDescent="0.3">
      <c r="Y187" s="12"/>
      <c r="Z187" s="12"/>
      <c r="AA187" s="12"/>
    </row>
    <row r="188" spans="25:27" ht="15.85" customHeight="1" x14ac:dyDescent="0.3">
      <c r="Y188" s="12"/>
      <c r="Z188" s="12"/>
      <c r="AA188" s="12"/>
    </row>
    <row r="189" spans="25:27" ht="15.85" customHeight="1" x14ac:dyDescent="0.3">
      <c r="Y189" s="12"/>
      <c r="Z189" s="12"/>
      <c r="AA189" s="12"/>
    </row>
    <row r="190" spans="25:27" ht="15.85" customHeight="1" x14ac:dyDescent="0.3">
      <c r="Y190" s="12"/>
      <c r="Z190" s="12"/>
      <c r="AA190" s="12"/>
    </row>
    <row r="191" spans="25:27" ht="15.85" customHeight="1" x14ac:dyDescent="0.3">
      <c r="Y191" s="12"/>
      <c r="Z191" s="12"/>
      <c r="AA191" s="12"/>
    </row>
    <row r="192" spans="25:27" ht="15.85" customHeight="1" x14ac:dyDescent="0.3">
      <c r="Y192" s="12"/>
      <c r="Z192" s="12"/>
      <c r="AA192" s="12"/>
    </row>
    <row r="193" spans="25:27" ht="15.85" customHeight="1" x14ac:dyDescent="0.3">
      <c r="Y193" s="12"/>
      <c r="Z193" s="12"/>
      <c r="AA193" s="12"/>
    </row>
    <row r="194" spans="25:27" ht="15.85" customHeight="1" x14ac:dyDescent="0.3">
      <c r="Y194" s="12"/>
      <c r="Z194" s="12"/>
      <c r="AA194" s="12"/>
    </row>
    <row r="195" spans="25:27" ht="15.85" customHeight="1" x14ac:dyDescent="0.3">
      <c r="Y195" s="12"/>
      <c r="Z195" s="12"/>
      <c r="AA195" s="12"/>
    </row>
    <row r="196" spans="25:27" ht="15.85" customHeight="1" x14ac:dyDescent="0.3">
      <c r="Y196" s="12"/>
      <c r="Z196" s="12"/>
      <c r="AA196" s="12"/>
    </row>
    <row r="197" spans="25:27" ht="15.85" customHeight="1" x14ac:dyDescent="0.3">
      <c r="Y197" s="12"/>
      <c r="Z197" s="12"/>
      <c r="AA197" s="12"/>
    </row>
    <row r="198" spans="25:27" ht="15.85" customHeight="1" x14ac:dyDescent="0.3">
      <c r="Y198" s="12"/>
      <c r="Z198" s="12"/>
      <c r="AA198" s="12"/>
    </row>
    <row r="199" spans="25:27" ht="15.85" customHeight="1" x14ac:dyDescent="0.3">
      <c r="Y199" s="12"/>
      <c r="Z199" s="12"/>
      <c r="AA199" s="12"/>
    </row>
    <row r="200" spans="25:27" ht="15.85" customHeight="1" x14ac:dyDescent="0.3">
      <c r="Y200" s="12"/>
      <c r="Z200" s="12"/>
      <c r="AA200" s="12"/>
    </row>
    <row r="201" spans="25:27" ht="15.85" customHeight="1" x14ac:dyDescent="0.3">
      <c r="Y201" s="12"/>
      <c r="Z201" s="12"/>
      <c r="AA201" s="12"/>
    </row>
    <row r="202" spans="25:27" ht="15.85" customHeight="1" x14ac:dyDescent="0.3">
      <c r="Y202" s="12"/>
      <c r="Z202" s="12"/>
      <c r="AA202" s="12"/>
    </row>
    <row r="203" spans="25:27" ht="15.85" customHeight="1" x14ac:dyDescent="0.3">
      <c r="Y203" s="12"/>
      <c r="Z203" s="12"/>
      <c r="AA203" s="12"/>
    </row>
    <row r="204" spans="25:27" ht="15.85" customHeight="1" x14ac:dyDescent="0.3">
      <c r="Y204" s="12"/>
      <c r="Z204" s="12"/>
      <c r="AA204" s="12"/>
    </row>
    <row r="205" spans="25:27" ht="15.85" customHeight="1" x14ac:dyDescent="0.3">
      <c r="Y205" s="12"/>
      <c r="Z205" s="12"/>
      <c r="AA205" s="12"/>
    </row>
    <row r="206" spans="25:27" ht="15.85" customHeight="1" x14ac:dyDescent="0.3">
      <c r="Y206" s="12"/>
      <c r="Z206" s="12"/>
      <c r="AA206" s="12"/>
    </row>
    <row r="207" spans="25:27" ht="15.85" customHeight="1" x14ac:dyDescent="0.3">
      <c r="Y207" s="12"/>
      <c r="Z207" s="12"/>
      <c r="AA207" s="12"/>
    </row>
    <row r="208" spans="25:27" ht="15.85" customHeight="1" x14ac:dyDescent="0.3">
      <c r="Y208" s="12"/>
      <c r="Z208" s="12"/>
      <c r="AA208" s="12"/>
    </row>
    <row r="209" spans="25:27" ht="15.85" customHeight="1" x14ac:dyDescent="0.3">
      <c r="Y209" s="12"/>
      <c r="Z209" s="12"/>
      <c r="AA209" s="12"/>
    </row>
    <row r="210" spans="25:27" ht="15.85" customHeight="1" x14ac:dyDescent="0.3">
      <c r="Y210" s="12"/>
      <c r="Z210" s="12"/>
      <c r="AA210" s="12"/>
    </row>
    <row r="211" spans="25:27" ht="15.85" customHeight="1" x14ac:dyDescent="0.3">
      <c r="Y211" s="12"/>
      <c r="Z211" s="12"/>
      <c r="AA211" s="12"/>
    </row>
    <row r="212" spans="25:27" ht="15.85" customHeight="1" x14ac:dyDescent="0.3">
      <c r="Y212" s="12"/>
      <c r="Z212" s="12"/>
      <c r="AA212" s="12"/>
    </row>
    <row r="213" spans="25:27" ht="15.85" customHeight="1" x14ac:dyDescent="0.3">
      <c r="Y213" s="12"/>
      <c r="Z213" s="12"/>
      <c r="AA213" s="12"/>
    </row>
    <row r="214" spans="25:27" ht="15.85" customHeight="1" x14ac:dyDescent="0.3">
      <c r="Y214" s="12"/>
      <c r="Z214" s="12"/>
      <c r="AA214" s="12"/>
    </row>
    <row r="215" spans="25:27" ht="15.85" customHeight="1" x14ac:dyDescent="0.3">
      <c r="Y215" s="12"/>
      <c r="Z215" s="12"/>
      <c r="AA215" s="12"/>
    </row>
    <row r="216" spans="25:27" ht="15.85" customHeight="1" x14ac:dyDescent="0.3">
      <c r="Y216" s="12"/>
      <c r="Z216" s="12"/>
      <c r="AA216" s="12"/>
    </row>
    <row r="217" spans="25:27" ht="15.85" customHeight="1" x14ac:dyDescent="0.3">
      <c r="Y217" s="12"/>
      <c r="Z217" s="12"/>
      <c r="AA217" s="12"/>
    </row>
    <row r="218" spans="25:27" ht="15.85" customHeight="1" x14ac:dyDescent="0.3">
      <c r="Y218" s="12"/>
      <c r="Z218" s="12"/>
      <c r="AA218" s="12"/>
    </row>
    <row r="219" spans="25:27" ht="15.85" customHeight="1" x14ac:dyDescent="0.3">
      <c r="Y219" s="12"/>
      <c r="Z219" s="12"/>
      <c r="AA219" s="12"/>
    </row>
    <row r="220" spans="25:27" ht="15.85" customHeight="1" x14ac:dyDescent="0.3">
      <c r="Y220" s="12"/>
      <c r="Z220" s="12"/>
      <c r="AA220" s="12"/>
    </row>
    <row r="221" spans="25:27" ht="15.85" customHeight="1" x14ac:dyDescent="0.3">
      <c r="Y221" s="12"/>
      <c r="Z221" s="12"/>
      <c r="AA221" s="12"/>
    </row>
    <row r="222" spans="25:27" ht="15.85" customHeight="1" x14ac:dyDescent="0.3">
      <c r="Y222" s="12"/>
      <c r="Z222" s="12"/>
      <c r="AA222" s="12"/>
    </row>
    <row r="223" spans="25:27" ht="15.85" customHeight="1" x14ac:dyDescent="0.3">
      <c r="Y223" s="12"/>
      <c r="Z223" s="12"/>
      <c r="AA223" s="12"/>
    </row>
    <row r="224" spans="25:27" ht="15.85" customHeight="1" x14ac:dyDescent="0.3">
      <c r="Y224" s="12"/>
      <c r="Z224" s="12"/>
      <c r="AA224" s="12"/>
    </row>
    <row r="225" spans="25:27" ht="15.85" customHeight="1" x14ac:dyDescent="0.3">
      <c r="Y225" s="12"/>
      <c r="Z225" s="12"/>
      <c r="AA225" s="12"/>
    </row>
    <row r="226" spans="25:27" ht="15.85" customHeight="1" x14ac:dyDescent="0.3">
      <c r="Y226" s="12"/>
      <c r="Z226" s="12"/>
      <c r="AA226" s="12"/>
    </row>
    <row r="227" spans="25:27" ht="15.85" customHeight="1" x14ac:dyDescent="0.3">
      <c r="Y227" s="12"/>
      <c r="Z227" s="12"/>
      <c r="AA227" s="12"/>
    </row>
    <row r="228" spans="25:27" ht="15.85" customHeight="1" x14ac:dyDescent="0.3">
      <c r="Y228" s="12"/>
      <c r="Z228" s="12"/>
      <c r="AA228" s="12"/>
    </row>
    <row r="229" spans="25:27" ht="15.85" customHeight="1" x14ac:dyDescent="0.3">
      <c r="Y229" s="12"/>
      <c r="Z229" s="12"/>
      <c r="AA229" s="12"/>
    </row>
    <row r="230" spans="25:27" ht="15.85" customHeight="1" x14ac:dyDescent="0.3">
      <c r="Y230" s="12"/>
      <c r="Z230" s="12"/>
      <c r="AA230" s="12"/>
    </row>
    <row r="231" spans="25:27" ht="15.85" customHeight="1" x14ac:dyDescent="0.3">
      <c r="Y231" s="12"/>
      <c r="Z231" s="12"/>
      <c r="AA231" s="12"/>
    </row>
    <row r="232" spans="25:27" ht="15.85" customHeight="1" x14ac:dyDescent="0.3">
      <c r="Y232" s="12"/>
      <c r="Z232" s="12"/>
      <c r="AA232" s="12"/>
    </row>
    <row r="233" spans="25:27" ht="15.85" customHeight="1" x14ac:dyDescent="0.3">
      <c r="Y233" s="12"/>
      <c r="Z233" s="12"/>
      <c r="AA233" s="12"/>
    </row>
    <row r="234" spans="25:27" ht="15.85" customHeight="1" x14ac:dyDescent="0.3">
      <c r="Y234" s="12"/>
      <c r="Z234" s="12"/>
      <c r="AA234" s="12"/>
    </row>
    <row r="235" spans="25:27" ht="15.85" customHeight="1" x14ac:dyDescent="0.3">
      <c r="Y235" s="12"/>
      <c r="Z235" s="12"/>
      <c r="AA235" s="12"/>
    </row>
    <row r="236" spans="25:27" ht="15.85" customHeight="1" x14ac:dyDescent="0.3">
      <c r="Y236" s="12"/>
      <c r="Z236" s="12"/>
      <c r="AA236" s="12"/>
    </row>
    <row r="237" spans="25:27" ht="15.85" customHeight="1" x14ac:dyDescent="0.3">
      <c r="Y237" s="12"/>
      <c r="Z237" s="12"/>
      <c r="AA237" s="12"/>
    </row>
    <row r="238" spans="25:27" ht="15.85" customHeight="1" x14ac:dyDescent="0.3">
      <c r="Y238" s="12"/>
      <c r="Z238" s="12"/>
      <c r="AA238" s="12"/>
    </row>
    <row r="239" spans="25:27" ht="15.85" customHeight="1" x14ac:dyDescent="0.3">
      <c r="Y239" s="12"/>
      <c r="Z239" s="12"/>
      <c r="AA239" s="12"/>
    </row>
    <row r="240" spans="25:27" ht="15.85" customHeight="1" x14ac:dyDescent="0.3">
      <c r="Y240" s="12"/>
      <c r="Z240" s="12"/>
      <c r="AA240" s="12"/>
    </row>
    <row r="241" spans="25:27" ht="15.85" customHeight="1" x14ac:dyDescent="0.3">
      <c r="Y241" s="12"/>
      <c r="Z241" s="12"/>
      <c r="AA241" s="12"/>
    </row>
    <row r="242" spans="25:27" ht="15.85" customHeight="1" x14ac:dyDescent="0.3">
      <c r="Y242" s="12"/>
      <c r="Z242" s="12"/>
      <c r="AA242" s="12"/>
    </row>
    <row r="243" spans="25:27" ht="15.85" customHeight="1" x14ac:dyDescent="0.3">
      <c r="Y243" s="12"/>
      <c r="Z243" s="12"/>
      <c r="AA243" s="12"/>
    </row>
    <row r="244" spans="25:27" ht="15.85" customHeight="1" x14ac:dyDescent="0.3">
      <c r="Y244" s="12"/>
      <c r="Z244" s="12"/>
      <c r="AA244" s="12"/>
    </row>
    <row r="245" spans="25:27" ht="15.85" customHeight="1" x14ac:dyDescent="0.3">
      <c r="Y245" s="12"/>
      <c r="Z245" s="12"/>
      <c r="AA245" s="12"/>
    </row>
    <row r="246" spans="25:27" ht="15.85" customHeight="1" x14ac:dyDescent="0.3">
      <c r="Y246" s="12"/>
      <c r="Z246" s="12"/>
      <c r="AA246" s="12"/>
    </row>
    <row r="247" spans="25:27" ht="15.85" customHeight="1" x14ac:dyDescent="0.3">
      <c r="Y247" s="12"/>
      <c r="Z247" s="12"/>
      <c r="AA247" s="12"/>
    </row>
    <row r="248" spans="25:27" ht="15.85" customHeight="1" x14ac:dyDescent="0.3">
      <c r="Y248" s="12"/>
      <c r="Z248" s="12"/>
      <c r="AA248" s="12"/>
    </row>
    <row r="249" spans="25:27" ht="15.85" customHeight="1" x14ac:dyDescent="0.3">
      <c r="Y249" s="12"/>
      <c r="Z249" s="12"/>
      <c r="AA249" s="12"/>
    </row>
    <row r="250" spans="25:27" ht="15.85" customHeight="1" x14ac:dyDescent="0.3">
      <c r="Y250" s="12"/>
      <c r="Z250" s="12"/>
      <c r="AA250" s="12"/>
    </row>
    <row r="251" spans="25:27" ht="15.85" customHeight="1" x14ac:dyDescent="0.3">
      <c r="Y251" s="12"/>
      <c r="Z251" s="12"/>
      <c r="AA251" s="12"/>
    </row>
    <row r="252" spans="25:27" ht="15.85" customHeight="1" x14ac:dyDescent="0.3">
      <c r="Y252" s="12"/>
      <c r="Z252" s="12"/>
      <c r="AA252" s="12"/>
    </row>
    <row r="253" spans="25:27" ht="15.85" customHeight="1" x14ac:dyDescent="0.3">
      <c r="Y253" s="12"/>
      <c r="Z253" s="12"/>
      <c r="AA253" s="12"/>
    </row>
    <row r="254" spans="25:27" ht="15.85" customHeight="1" x14ac:dyDescent="0.3">
      <c r="Y254" s="12"/>
      <c r="Z254" s="12"/>
      <c r="AA254" s="12"/>
    </row>
    <row r="255" spans="25:27" ht="15.85" customHeight="1" x14ac:dyDescent="0.3">
      <c r="Y255" s="12"/>
      <c r="Z255" s="12"/>
      <c r="AA255" s="12"/>
    </row>
    <row r="256" spans="25:27" ht="15.85" customHeight="1" x14ac:dyDescent="0.3">
      <c r="Y256" s="12"/>
      <c r="Z256" s="12"/>
      <c r="AA256" s="12"/>
    </row>
    <row r="257" spans="25:27" ht="15.85" customHeight="1" x14ac:dyDescent="0.3">
      <c r="Y257" s="12"/>
      <c r="Z257" s="12"/>
      <c r="AA257" s="12"/>
    </row>
    <row r="258" spans="25:27" ht="15.85" customHeight="1" x14ac:dyDescent="0.3">
      <c r="Y258" s="12"/>
      <c r="Z258" s="12"/>
      <c r="AA258" s="12"/>
    </row>
    <row r="259" spans="25:27" ht="15.85" customHeight="1" x14ac:dyDescent="0.3">
      <c r="Y259" s="12"/>
      <c r="Z259" s="12"/>
      <c r="AA259" s="12"/>
    </row>
    <row r="260" spans="25:27" ht="15.85" customHeight="1" x14ac:dyDescent="0.3">
      <c r="Y260" s="12"/>
      <c r="Z260" s="12"/>
      <c r="AA260" s="12"/>
    </row>
    <row r="261" spans="25:27" ht="15.85" customHeight="1" x14ac:dyDescent="0.3">
      <c r="Y261" s="12"/>
      <c r="Z261" s="12"/>
      <c r="AA261" s="12"/>
    </row>
    <row r="262" spans="25:27" ht="15.85" customHeight="1" x14ac:dyDescent="0.3">
      <c r="Y262" s="12"/>
      <c r="Z262" s="12"/>
      <c r="AA262" s="12"/>
    </row>
    <row r="263" spans="25:27" ht="15.85" customHeight="1" x14ac:dyDescent="0.3">
      <c r="Y263" s="12"/>
      <c r="Z263" s="12"/>
      <c r="AA263" s="12"/>
    </row>
    <row r="264" spans="25:27" ht="15.85" customHeight="1" x14ac:dyDescent="0.3">
      <c r="Y264" s="12"/>
      <c r="Z264" s="12"/>
      <c r="AA264" s="12"/>
    </row>
    <row r="265" spans="25:27" ht="15.85" customHeight="1" x14ac:dyDescent="0.3">
      <c r="Y265" s="12"/>
      <c r="Z265" s="12"/>
      <c r="AA265" s="12"/>
    </row>
    <row r="266" spans="25:27" ht="15.85" customHeight="1" x14ac:dyDescent="0.3">
      <c r="Y266" s="12"/>
      <c r="Z266" s="12"/>
      <c r="AA266" s="12"/>
    </row>
    <row r="267" spans="25:27" ht="15.85" customHeight="1" x14ac:dyDescent="0.3">
      <c r="Y267" s="12"/>
      <c r="Z267" s="12"/>
      <c r="AA267" s="12"/>
    </row>
    <row r="268" spans="25:27" ht="15.85" customHeight="1" x14ac:dyDescent="0.3">
      <c r="Y268" s="12"/>
      <c r="Z268" s="12"/>
      <c r="AA268" s="12"/>
    </row>
    <row r="269" spans="25:27" ht="15.85" customHeight="1" x14ac:dyDescent="0.3">
      <c r="Y269" s="12"/>
      <c r="Z269" s="12"/>
      <c r="AA269" s="12"/>
    </row>
    <row r="270" spans="25:27" ht="15.85" customHeight="1" x14ac:dyDescent="0.3">
      <c r="Y270" s="12"/>
      <c r="Z270" s="12"/>
      <c r="AA270" s="12"/>
    </row>
    <row r="271" spans="25:27" ht="15.85" customHeight="1" x14ac:dyDescent="0.3">
      <c r="Y271" s="12"/>
      <c r="Z271" s="12"/>
      <c r="AA271" s="12"/>
    </row>
    <row r="272" spans="25:27" ht="15.85" customHeight="1" x14ac:dyDescent="0.3">
      <c r="Y272" s="12"/>
      <c r="Z272" s="12"/>
      <c r="AA272" s="12"/>
    </row>
    <row r="273" spans="25:27" ht="15.85" customHeight="1" x14ac:dyDescent="0.3">
      <c r="Y273" s="12"/>
      <c r="Z273" s="12"/>
      <c r="AA273" s="12"/>
    </row>
    <row r="274" spans="25:27" ht="15.85" customHeight="1" x14ac:dyDescent="0.3">
      <c r="Y274" s="12"/>
      <c r="Z274" s="12"/>
      <c r="AA274" s="12"/>
    </row>
    <row r="275" spans="25:27" ht="15.85" customHeight="1" x14ac:dyDescent="0.3">
      <c r="Y275" s="12"/>
      <c r="Z275" s="12"/>
      <c r="AA275" s="12"/>
    </row>
    <row r="276" spans="25:27" ht="15.85" customHeight="1" x14ac:dyDescent="0.3">
      <c r="Y276" s="12"/>
      <c r="Z276" s="12"/>
      <c r="AA276" s="12"/>
    </row>
    <row r="277" spans="25:27" ht="15.85" customHeight="1" x14ac:dyDescent="0.3">
      <c r="Y277" s="12"/>
      <c r="Z277" s="12"/>
      <c r="AA277" s="12"/>
    </row>
    <row r="278" spans="25:27" ht="15.85" customHeight="1" x14ac:dyDescent="0.3">
      <c r="Y278" s="12"/>
      <c r="Z278" s="12"/>
      <c r="AA278" s="12"/>
    </row>
    <row r="279" spans="25:27" ht="15.85" customHeight="1" x14ac:dyDescent="0.3"/>
    <row r="280" spans="25:27" ht="15.85" customHeight="1" x14ac:dyDescent="0.3"/>
    <row r="281" spans="25:27" ht="15.85" customHeight="1" x14ac:dyDescent="0.3"/>
    <row r="282" spans="25:27" ht="15.85" customHeight="1" x14ac:dyDescent="0.3"/>
    <row r="283" spans="25:27" ht="15.85" customHeight="1" x14ac:dyDescent="0.3"/>
    <row r="284" spans="25:27" ht="15.85" customHeight="1" x14ac:dyDescent="0.3"/>
    <row r="285" spans="25:27" ht="15.85" customHeight="1" x14ac:dyDescent="0.3"/>
    <row r="286" spans="25:27" ht="15.85" customHeight="1" x14ac:dyDescent="0.3"/>
    <row r="287" spans="25:27" ht="15.85" customHeight="1" x14ac:dyDescent="0.3"/>
    <row r="288" spans="25:27" ht="15.85" customHeight="1" x14ac:dyDescent="0.3"/>
    <row r="289" ht="15.85" customHeight="1" x14ac:dyDescent="0.3"/>
    <row r="290" ht="15.85" customHeight="1" x14ac:dyDescent="0.3"/>
    <row r="291" ht="15.85" customHeight="1" x14ac:dyDescent="0.3"/>
    <row r="292" ht="15.85" customHeight="1" x14ac:dyDescent="0.3"/>
    <row r="293" ht="15.85" customHeight="1" x14ac:dyDescent="0.3"/>
    <row r="294" ht="15.85" customHeight="1" x14ac:dyDescent="0.3"/>
    <row r="295" ht="15.85" customHeight="1" x14ac:dyDescent="0.3"/>
    <row r="296" ht="15.85" customHeight="1" x14ac:dyDescent="0.3"/>
    <row r="297" ht="15.85" customHeight="1" x14ac:dyDescent="0.3"/>
    <row r="298" ht="15.85" customHeight="1" x14ac:dyDescent="0.3"/>
    <row r="299" ht="15.85" customHeight="1" x14ac:dyDescent="0.3"/>
    <row r="300" ht="15.85" customHeight="1" x14ac:dyDescent="0.3"/>
    <row r="301" ht="15.85" customHeight="1" x14ac:dyDescent="0.3"/>
    <row r="302" ht="15.85" customHeight="1" x14ac:dyDescent="0.3"/>
    <row r="303" ht="15.85" customHeight="1" x14ac:dyDescent="0.3"/>
    <row r="304" ht="15.85" customHeight="1" x14ac:dyDescent="0.3"/>
    <row r="305" ht="15.85" customHeight="1" x14ac:dyDescent="0.3"/>
    <row r="306" ht="15.85" customHeight="1" x14ac:dyDescent="0.3"/>
    <row r="307" ht="15.85" customHeight="1" x14ac:dyDescent="0.3"/>
    <row r="308" ht="15.85" customHeight="1" x14ac:dyDescent="0.3"/>
    <row r="309" ht="15.85" customHeight="1" x14ac:dyDescent="0.3"/>
    <row r="310" ht="15.85" customHeight="1" x14ac:dyDescent="0.3"/>
    <row r="311" ht="15.85" customHeight="1" x14ac:dyDescent="0.3"/>
    <row r="312" ht="15.85" customHeight="1" x14ac:dyDescent="0.3"/>
    <row r="313" ht="15.85" customHeight="1" x14ac:dyDescent="0.3"/>
    <row r="314" ht="15.85" customHeight="1" x14ac:dyDescent="0.3"/>
    <row r="315" ht="15.85" customHeight="1" x14ac:dyDescent="0.3"/>
    <row r="316" ht="15.85" customHeight="1" x14ac:dyDescent="0.3"/>
    <row r="317" ht="15.85" customHeight="1" x14ac:dyDescent="0.3"/>
    <row r="318" ht="15.85" customHeight="1" x14ac:dyDescent="0.3"/>
    <row r="319" ht="15.85" customHeight="1" x14ac:dyDescent="0.3"/>
    <row r="320" ht="15.85" customHeight="1" x14ac:dyDescent="0.3"/>
    <row r="321" ht="15.85" customHeight="1" x14ac:dyDescent="0.3"/>
    <row r="322" ht="15.85" customHeight="1" x14ac:dyDescent="0.3"/>
    <row r="323" ht="15.85" customHeight="1" x14ac:dyDescent="0.3"/>
    <row r="324" ht="15.85" customHeight="1" x14ac:dyDescent="0.3"/>
    <row r="325" ht="15.85" customHeight="1" x14ac:dyDescent="0.3"/>
    <row r="326" ht="15.85" customHeight="1" x14ac:dyDescent="0.3"/>
    <row r="327" ht="15.85" customHeight="1" x14ac:dyDescent="0.3"/>
    <row r="328" ht="15.85" customHeight="1" x14ac:dyDescent="0.3"/>
    <row r="329" ht="15.85" customHeight="1" x14ac:dyDescent="0.3"/>
    <row r="330" ht="15.85" customHeight="1" x14ac:dyDescent="0.3"/>
    <row r="331" ht="15.85" customHeight="1" x14ac:dyDescent="0.3"/>
    <row r="332" ht="15.85" customHeight="1" x14ac:dyDescent="0.3"/>
    <row r="333" ht="15.85" customHeight="1" x14ac:dyDescent="0.3"/>
    <row r="334" ht="15.85" customHeight="1" x14ac:dyDescent="0.3"/>
    <row r="335" ht="15.85" customHeight="1" x14ac:dyDescent="0.3"/>
    <row r="336" ht="15.85" customHeight="1" x14ac:dyDescent="0.3"/>
    <row r="337" ht="15.85" customHeight="1" x14ac:dyDescent="0.3"/>
    <row r="338" ht="15.85" customHeight="1" x14ac:dyDescent="0.3"/>
    <row r="339" ht="15.85" customHeight="1" x14ac:dyDescent="0.3"/>
    <row r="340" ht="15.85" customHeight="1" x14ac:dyDescent="0.3"/>
    <row r="341" ht="15.85" customHeight="1" x14ac:dyDescent="0.3"/>
    <row r="342" ht="15.85" customHeight="1" x14ac:dyDescent="0.3"/>
    <row r="343" ht="15.85" customHeight="1" x14ac:dyDescent="0.3"/>
    <row r="344" ht="15.85" customHeight="1" x14ac:dyDescent="0.3"/>
    <row r="345" ht="15.85" customHeight="1" x14ac:dyDescent="0.3"/>
    <row r="346" ht="15.85" customHeight="1" x14ac:dyDescent="0.3"/>
    <row r="347" ht="15.85" customHeight="1" x14ac:dyDescent="0.3"/>
    <row r="348" ht="15.85" customHeight="1" x14ac:dyDescent="0.3"/>
    <row r="349" ht="15.85" customHeight="1" x14ac:dyDescent="0.3"/>
    <row r="350" ht="15.85" customHeight="1" x14ac:dyDescent="0.3"/>
    <row r="351" ht="15.85" customHeight="1" x14ac:dyDescent="0.3"/>
    <row r="352" ht="15.85" customHeight="1" x14ac:dyDescent="0.3"/>
    <row r="353" ht="15.85" customHeight="1" x14ac:dyDescent="0.3"/>
    <row r="354" ht="15.85" customHeight="1" x14ac:dyDescent="0.3"/>
    <row r="355" ht="15.85" customHeight="1" x14ac:dyDescent="0.3"/>
    <row r="356" ht="15.85" customHeight="1" x14ac:dyDescent="0.3"/>
    <row r="357" ht="15.85" customHeight="1" x14ac:dyDescent="0.3"/>
    <row r="358" ht="15.85" customHeight="1" x14ac:dyDescent="0.3"/>
    <row r="359" ht="15.85" customHeight="1" x14ac:dyDescent="0.3"/>
    <row r="360" ht="15.85" customHeight="1" x14ac:dyDescent="0.3"/>
    <row r="361" ht="15.85" customHeight="1" x14ac:dyDescent="0.3"/>
    <row r="362" ht="15.85" customHeight="1" x14ac:dyDescent="0.3"/>
    <row r="363" ht="15.85" customHeight="1" x14ac:dyDescent="0.3"/>
    <row r="364" ht="15.85" customHeight="1" x14ac:dyDescent="0.3"/>
    <row r="365" ht="15.85" customHeight="1" x14ac:dyDescent="0.3"/>
    <row r="366" ht="15.85" customHeight="1" x14ac:dyDescent="0.3"/>
    <row r="367" ht="15.85" customHeight="1" x14ac:dyDescent="0.3"/>
    <row r="368" ht="15.85" customHeight="1" x14ac:dyDescent="0.3"/>
    <row r="369" ht="15.85" customHeight="1" x14ac:dyDescent="0.3"/>
    <row r="370" ht="15.85" customHeight="1" x14ac:dyDescent="0.3"/>
    <row r="371" ht="15.85" customHeight="1" x14ac:dyDescent="0.3"/>
    <row r="372" ht="15.85" customHeight="1" x14ac:dyDescent="0.3"/>
    <row r="373" ht="15.85" customHeight="1" x14ac:dyDescent="0.3"/>
    <row r="374" ht="15.85" customHeight="1" x14ac:dyDescent="0.3"/>
    <row r="375" ht="15.85" customHeight="1" x14ac:dyDescent="0.3"/>
    <row r="376" ht="15.85" customHeight="1" x14ac:dyDescent="0.3"/>
    <row r="377" ht="15.85" customHeight="1" x14ac:dyDescent="0.3"/>
    <row r="378" ht="15.85" customHeight="1" x14ac:dyDescent="0.3"/>
    <row r="379" ht="15.85" customHeight="1" x14ac:dyDescent="0.3"/>
    <row r="380" ht="15.85" customHeight="1" x14ac:dyDescent="0.3"/>
    <row r="381" ht="15.85" customHeight="1" x14ac:dyDescent="0.3"/>
    <row r="382" ht="15.85" customHeight="1" x14ac:dyDescent="0.3"/>
    <row r="383" ht="15.85" customHeight="1" x14ac:dyDescent="0.3"/>
    <row r="384" ht="15.85" customHeight="1" x14ac:dyDescent="0.3"/>
    <row r="385" ht="15.85" customHeight="1" x14ac:dyDescent="0.3"/>
    <row r="386" ht="15.85" customHeight="1" x14ac:dyDescent="0.3"/>
    <row r="387" ht="15.85" customHeight="1" x14ac:dyDescent="0.3"/>
    <row r="388" ht="15.85" customHeight="1" x14ac:dyDescent="0.3"/>
    <row r="389" ht="15.85" customHeight="1" x14ac:dyDescent="0.3"/>
    <row r="390" ht="15.85" customHeight="1" x14ac:dyDescent="0.3"/>
    <row r="391" ht="15.85" customHeight="1" x14ac:dyDescent="0.3"/>
    <row r="392" ht="15.85" customHeight="1" x14ac:dyDescent="0.3"/>
    <row r="393" ht="15.85" customHeight="1" x14ac:dyDescent="0.3"/>
    <row r="394" ht="15.85" customHeight="1" x14ac:dyDescent="0.3"/>
    <row r="395" ht="15.85" customHeight="1" x14ac:dyDescent="0.3"/>
    <row r="396" ht="15.85" customHeight="1" x14ac:dyDescent="0.3"/>
    <row r="397" ht="15.85" customHeight="1" x14ac:dyDescent="0.3"/>
    <row r="398" ht="15.85" customHeight="1" x14ac:dyDescent="0.3"/>
    <row r="399" ht="15.85" customHeight="1" x14ac:dyDescent="0.3"/>
    <row r="400" ht="15.85" customHeight="1" x14ac:dyDescent="0.3"/>
    <row r="401" ht="15.85" customHeight="1" x14ac:dyDescent="0.3"/>
    <row r="402" ht="15.85" customHeight="1" x14ac:dyDescent="0.3"/>
    <row r="403" ht="15.85" customHeight="1" x14ac:dyDescent="0.3"/>
    <row r="404" ht="15.85" customHeight="1" x14ac:dyDescent="0.3"/>
    <row r="405" ht="15.85" customHeight="1" x14ac:dyDescent="0.3"/>
    <row r="406" ht="15.85" customHeight="1" x14ac:dyDescent="0.3"/>
    <row r="407" ht="15.85" customHeight="1" x14ac:dyDescent="0.3"/>
    <row r="408" ht="15.85" customHeight="1" x14ac:dyDescent="0.3"/>
    <row r="409" ht="15.85" customHeight="1" x14ac:dyDescent="0.3"/>
    <row r="410" ht="15.85" customHeight="1" x14ac:dyDescent="0.3"/>
    <row r="411" ht="15.85" customHeight="1" x14ac:dyDescent="0.3"/>
    <row r="412" ht="15.85" customHeight="1" x14ac:dyDescent="0.3"/>
    <row r="413" ht="15.85" customHeight="1" x14ac:dyDescent="0.3"/>
    <row r="414" ht="15.85" customHeight="1" x14ac:dyDescent="0.3"/>
    <row r="415" ht="15.85" customHeight="1" x14ac:dyDescent="0.3"/>
    <row r="416" ht="15.85" customHeight="1" x14ac:dyDescent="0.3"/>
    <row r="417" ht="15.85" customHeight="1" x14ac:dyDescent="0.3"/>
    <row r="418" ht="15.85" customHeight="1" x14ac:dyDescent="0.3"/>
    <row r="419" ht="15.85" customHeight="1" x14ac:dyDescent="0.3"/>
    <row r="420" ht="15.85" customHeight="1" x14ac:dyDescent="0.3"/>
    <row r="421" ht="15.85" customHeight="1" x14ac:dyDescent="0.3"/>
    <row r="422" ht="15.85" customHeight="1" x14ac:dyDescent="0.3"/>
    <row r="423" ht="15.85" customHeight="1" x14ac:dyDescent="0.3"/>
    <row r="424" ht="15.85" customHeight="1" x14ac:dyDescent="0.3"/>
    <row r="425" ht="15.85" customHeight="1" x14ac:dyDescent="0.3"/>
    <row r="426" ht="15.85" customHeight="1" x14ac:dyDescent="0.3"/>
    <row r="427" ht="15.85" customHeight="1" x14ac:dyDescent="0.3"/>
    <row r="428" ht="15.85" customHeight="1" x14ac:dyDescent="0.3"/>
    <row r="429" ht="15.85" customHeight="1" x14ac:dyDescent="0.3"/>
    <row r="430" ht="15.85" customHeight="1" x14ac:dyDescent="0.3"/>
    <row r="431" ht="15.85" customHeight="1" x14ac:dyDescent="0.3"/>
    <row r="432" ht="15.85" customHeight="1" x14ac:dyDescent="0.3"/>
    <row r="433" ht="15.85" customHeight="1" x14ac:dyDescent="0.3"/>
    <row r="434" ht="15.85" customHeight="1" x14ac:dyDescent="0.3"/>
    <row r="435" ht="15.85" customHeight="1" x14ac:dyDescent="0.3"/>
    <row r="436" ht="15.85" customHeight="1" x14ac:dyDescent="0.3"/>
    <row r="437" ht="15.85" customHeight="1" x14ac:dyDescent="0.3"/>
    <row r="438" ht="15.85" customHeight="1" x14ac:dyDescent="0.3"/>
    <row r="439" ht="15.85" customHeight="1" x14ac:dyDescent="0.3"/>
    <row r="440" ht="15.85" customHeight="1" x14ac:dyDescent="0.3"/>
    <row r="441" ht="15.85" customHeight="1" x14ac:dyDescent="0.3"/>
    <row r="442" ht="15.85" customHeight="1" x14ac:dyDescent="0.3"/>
    <row r="443" ht="15.85" customHeight="1" x14ac:dyDescent="0.3"/>
    <row r="444" ht="15.85" customHeight="1" x14ac:dyDescent="0.3"/>
    <row r="445" ht="15.85" customHeight="1" x14ac:dyDescent="0.3"/>
    <row r="446" ht="15.85" customHeight="1" x14ac:dyDescent="0.3"/>
    <row r="447" ht="15.85" customHeight="1" x14ac:dyDescent="0.3"/>
    <row r="448" ht="15.85" customHeight="1" x14ac:dyDescent="0.3"/>
    <row r="449" ht="15.85" customHeight="1" x14ac:dyDescent="0.3"/>
    <row r="450" ht="15.85" customHeight="1" x14ac:dyDescent="0.3"/>
    <row r="451" ht="15.85" customHeight="1" x14ac:dyDescent="0.3"/>
    <row r="452" ht="15.85" customHeight="1" x14ac:dyDescent="0.3"/>
    <row r="453" ht="15.85" customHeight="1" x14ac:dyDescent="0.3"/>
    <row r="454" ht="15.85" customHeight="1" x14ac:dyDescent="0.3"/>
    <row r="455" ht="15.85" customHeight="1" x14ac:dyDescent="0.3"/>
    <row r="456" ht="15.85" customHeight="1" x14ac:dyDescent="0.3"/>
    <row r="457" ht="15.85" customHeight="1" x14ac:dyDescent="0.3"/>
    <row r="458" ht="15.85" customHeight="1" x14ac:dyDescent="0.3"/>
    <row r="459" ht="15.85" customHeight="1" x14ac:dyDescent="0.3"/>
    <row r="460" ht="15.85" customHeight="1" x14ac:dyDescent="0.3"/>
    <row r="461" ht="15.85" customHeight="1" x14ac:dyDescent="0.3"/>
    <row r="462" ht="15.85" customHeight="1" x14ac:dyDescent="0.3"/>
    <row r="463" ht="15.85" customHeight="1" x14ac:dyDescent="0.3"/>
    <row r="464" ht="15.85" customHeight="1" x14ac:dyDescent="0.3"/>
    <row r="465" ht="15.85" customHeight="1" x14ac:dyDescent="0.3"/>
    <row r="466" ht="15.85" customHeight="1" x14ac:dyDescent="0.3"/>
    <row r="467" ht="15.85" customHeight="1" x14ac:dyDescent="0.3"/>
    <row r="468" ht="15.85" customHeight="1" x14ac:dyDescent="0.3"/>
    <row r="469" ht="15.85" customHeight="1" x14ac:dyDescent="0.3"/>
    <row r="470" ht="15.85" customHeight="1" x14ac:dyDescent="0.3"/>
    <row r="471" ht="15.85" customHeight="1" x14ac:dyDescent="0.3"/>
    <row r="472" ht="15.85" customHeight="1" x14ac:dyDescent="0.3"/>
    <row r="473" ht="15.85" customHeight="1" x14ac:dyDescent="0.3"/>
    <row r="474" ht="15.85" customHeight="1" x14ac:dyDescent="0.3"/>
    <row r="475" ht="15.85" customHeight="1" x14ac:dyDescent="0.3"/>
    <row r="476" ht="15.85" customHeight="1" x14ac:dyDescent="0.3"/>
    <row r="477" ht="15.85" customHeight="1" x14ac:dyDescent="0.3"/>
    <row r="478" ht="15.85" customHeight="1" x14ac:dyDescent="0.3"/>
    <row r="479" ht="15.85" customHeight="1" x14ac:dyDescent="0.3"/>
    <row r="480" ht="15.85" customHeight="1" x14ac:dyDescent="0.3"/>
    <row r="481" ht="15.85" customHeight="1" x14ac:dyDescent="0.3"/>
    <row r="482" ht="15.85" customHeight="1" x14ac:dyDescent="0.3"/>
    <row r="483" ht="15.85" customHeight="1" x14ac:dyDescent="0.3"/>
    <row r="484" ht="15.85" customHeight="1" x14ac:dyDescent="0.3"/>
    <row r="485" ht="15.85" customHeight="1" x14ac:dyDescent="0.3"/>
    <row r="486" ht="15.85" customHeight="1" x14ac:dyDescent="0.3"/>
    <row r="487" ht="15.85" customHeight="1" x14ac:dyDescent="0.3"/>
    <row r="488" ht="15.85" customHeight="1" x14ac:dyDescent="0.3"/>
    <row r="489" ht="15.85" customHeight="1" x14ac:dyDescent="0.3"/>
    <row r="490" ht="15.85" customHeight="1" x14ac:dyDescent="0.3"/>
    <row r="491" ht="15.85" customHeight="1" x14ac:dyDescent="0.3"/>
    <row r="492" ht="15.85" customHeight="1" x14ac:dyDescent="0.3"/>
    <row r="493" ht="15.85" customHeight="1" x14ac:dyDescent="0.3"/>
    <row r="494" ht="15.85" customHeight="1" x14ac:dyDescent="0.3"/>
    <row r="495" ht="15.85" customHeight="1" x14ac:dyDescent="0.3"/>
    <row r="496" ht="15.85" customHeight="1" x14ac:dyDescent="0.3"/>
    <row r="497" ht="15.85" customHeight="1" x14ac:dyDescent="0.3"/>
    <row r="498" ht="15.85" customHeight="1" x14ac:dyDescent="0.3"/>
    <row r="499" ht="15.85" customHeight="1" x14ac:dyDescent="0.3"/>
    <row r="500" ht="15.85" customHeight="1" x14ac:dyDescent="0.3"/>
    <row r="501" ht="15.85" customHeight="1" x14ac:dyDescent="0.3"/>
    <row r="502" ht="15.85" customHeight="1" x14ac:dyDescent="0.3"/>
    <row r="503" ht="15.85" customHeight="1" x14ac:dyDescent="0.3"/>
    <row r="504" ht="15.85" customHeight="1" x14ac:dyDescent="0.3"/>
    <row r="505" ht="15.85" customHeight="1" x14ac:dyDescent="0.3"/>
    <row r="506" ht="15.85" customHeight="1" x14ac:dyDescent="0.3"/>
    <row r="507" ht="15.85" customHeight="1" x14ac:dyDescent="0.3"/>
    <row r="508" ht="15.85" customHeight="1" x14ac:dyDescent="0.3"/>
    <row r="509" ht="15.85" customHeight="1" x14ac:dyDescent="0.3"/>
    <row r="510" ht="15.85" customHeight="1" x14ac:dyDescent="0.3"/>
    <row r="511" ht="15.85" customHeight="1" x14ac:dyDescent="0.3"/>
    <row r="512" ht="15.85" customHeight="1" x14ac:dyDescent="0.3"/>
    <row r="513" ht="15.85" customHeight="1" x14ac:dyDescent="0.3"/>
    <row r="514" ht="15.85" customHeight="1" x14ac:dyDescent="0.3"/>
    <row r="515" ht="15.85" customHeight="1" x14ac:dyDescent="0.3"/>
    <row r="516" ht="15.85" customHeight="1" x14ac:dyDescent="0.3"/>
    <row r="517" ht="15.85" customHeight="1" x14ac:dyDescent="0.3"/>
    <row r="518" ht="15.85" customHeight="1" x14ac:dyDescent="0.3"/>
    <row r="519" ht="15.85" customHeight="1" x14ac:dyDescent="0.3"/>
    <row r="520" ht="15.85" customHeight="1" x14ac:dyDescent="0.3"/>
    <row r="521" ht="15.85" customHeight="1" x14ac:dyDescent="0.3"/>
    <row r="522" ht="15.85" customHeight="1" x14ac:dyDescent="0.3"/>
    <row r="523" ht="15.85" customHeight="1" x14ac:dyDescent="0.3"/>
    <row r="524" ht="15.85" customHeight="1" x14ac:dyDescent="0.3"/>
    <row r="525" ht="15.85" customHeight="1" x14ac:dyDescent="0.3"/>
    <row r="526" ht="15.85" customHeight="1" x14ac:dyDescent="0.3"/>
    <row r="527" ht="15.85" customHeight="1" x14ac:dyDescent="0.3"/>
    <row r="528" ht="15.85" customHeight="1" x14ac:dyDescent="0.3"/>
    <row r="529" ht="15.85" customHeight="1" x14ac:dyDescent="0.3"/>
    <row r="530" ht="15.85" customHeight="1" x14ac:dyDescent="0.3"/>
    <row r="531" ht="15.85" customHeight="1" x14ac:dyDescent="0.3"/>
    <row r="532" ht="15.85" customHeight="1" x14ac:dyDescent="0.3"/>
    <row r="533" ht="15.85" customHeight="1" x14ac:dyDescent="0.3"/>
    <row r="534" ht="15.85" customHeight="1" x14ac:dyDescent="0.3"/>
    <row r="535" ht="15.85" customHeight="1" x14ac:dyDescent="0.3"/>
    <row r="536" ht="15.85" customHeight="1" x14ac:dyDescent="0.3"/>
    <row r="537" ht="15.85" customHeight="1" x14ac:dyDescent="0.3"/>
    <row r="538" ht="15.85" customHeight="1" x14ac:dyDescent="0.3"/>
    <row r="539" ht="15.85" customHeight="1" x14ac:dyDescent="0.3"/>
    <row r="540" ht="15.85" customHeight="1" x14ac:dyDescent="0.3"/>
    <row r="541" ht="15.85" customHeight="1" x14ac:dyDescent="0.3"/>
    <row r="542" ht="15.85" customHeight="1" x14ac:dyDescent="0.3"/>
    <row r="543" ht="15.85" customHeight="1" x14ac:dyDescent="0.3"/>
    <row r="544" ht="15.85" customHeight="1" x14ac:dyDescent="0.3"/>
    <row r="545" ht="15.85" customHeight="1" x14ac:dyDescent="0.3"/>
    <row r="546" ht="15.85" customHeight="1" x14ac:dyDescent="0.3"/>
    <row r="547" ht="15.85" customHeight="1" x14ac:dyDescent="0.3"/>
    <row r="548" ht="15.85" customHeight="1" x14ac:dyDescent="0.3"/>
    <row r="549" ht="15.85" customHeight="1" x14ac:dyDescent="0.3"/>
    <row r="550" ht="15.85" customHeight="1" x14ac:dyDescent="0.3"/>
    <row r="551" ht="15.85" customHeight="1" x14ac:dyDescent="0.3"/>
    <row r="552" ht="15.85" customHeight="1" x14ac:dyDescent="0.3"/>
    <row r="553" ht="15.85" customHeight="1" x14ac:dyDescent="0.3"/>
    <row r="554" ht="15.85" customHeight="1" x14ac:dyDescent="0.3"/>
    <row r="555" ht="15.85" customHeight="1" x14ac:dyDescent="0.3"/>
    <row r="556" ht="15.85" customHeight="1" x14ac:dyDescent="0.3"/>
    <row r="557" ht="15.85" customHeight="1" x14ac:dyDescent="0.3"/>
    <row r="558" ht="15.85" customHeight="1" x14ac:dyDescent="0.3"/>
    <row r="559" ht="15.85" customHeight="1" x14ac:dyDescent="0.3"/>
    <row r="560" ht="15.85" customHeight="1" x14ac:dyDescent="0.3"/>
    <row r="561" ht="15.85" customHeight="1" x14ac:dyDescent="0.3"/>
    <row r="562" ht="15.85" customHeight="1" x14ac:dyDescent="0.3"/>
    <row r="563" ht="15.85" customHeight="1" x14ac:dyDescent="0.3"/>
    <row r="564" ht="15.85" customHeight="1" x14ac:dyDescent="0.3"/>
    <row r="565" ht="15.85" customHeight="1" x14ac:dyDescent="0.3"/>
    <row r="566" ht="15.85" customHeight="1" x14ac:dyDescent="0.3"/>
    <row r="567" ht="15.85" customHeight="1" x14ac:dyDescent="0.3"/>
    <row r="568" ht="15.85" customHeight="1" x14ac:dyDescent="0.3"/>
    <row r="569" ht="15.85" customHeight="1" x14ac:dyDescent="0.3"/>
    <row r="570" ht="15.85" customHeight="1" x14ac:dyDescent="0.3"/>
    <row r="571" ht="15.85" customHeight="1" x14ac:dyDescent="0.3"/>
    <row r="572" ht="15.85" customHeight="1" x14ac:dyDescent="0.3"/>
    <row r="573" ht="15.85" customHeight="1" x14ac:dyDescent="0.3"/>
    <row r="574" ht="15.85" customHeight="1" x14ac:dyDescent="0.3"/>
    <row r="575" ht="15.85" customHeight="1" x14ac:dyDescent="0.3"/>
    <row r="576" ht="15.85" customHeight="1" x14ac:dyDescent="0.3"/>
    <row r="577" ht="15.85" customHeight="1" x14ac:dyDescent="0.3"/>
    <row r="578" ht="15.85" customHeight="1" x14ac:dyDescent="0.3"/>
    <row r="579" ht="15.85" customHeight="1" x14ac:dyDescent="0.3"/>
    <row r="580" ht="15.85" customHeight="1" x14ac:dyDescent="0.3"/>
    <row r="581" ht="15.85" customHeight="1" x14ac:dyDescent="0.3"/>
    <row r="582" ht="15.85" customHeight="1" x14ac:dyDescent="0.3"/>
    <row r="583" ht="15.85" customHeight="1" x14ac:dyDescent="0.3"/>
    <row r="584" ht="15.85" customHeight="1" x14ac:dyDescent="0.3"/>
    <row r="585" ht="15.85" customHeight="1" x14ac:dyDescent="0.3"/>
    <row r="586" ht="15.85" customHeight="1" x14ac:dyDescent="0.3"/>
    <row r="587" ht="15.85" customHeight="1" x14ac:dyDescent="0.3"/>
    <row r="588" ht="15.85" customHeight="1" x14ac:dyDescent="0.3"/>
    <row r="589" ht="15.85" customHeight="1" x14ac:dyDescent="0.3"/>
    <row r="590" ht="15.85" customHeight="1" x14ac:dyDescent="0.3"/>
    <row r="591" ht="15.85" customHeight="1" x14ac:dyDescent="0.3"/>
    <row r="592" ht="15.85" customHeight="1" x14ac:dyDescent="0.3"/>
    <row r="593" ht="15.85" customHeight="1" x14ac:dyDescent="0.3"/>
    <row r="594" ht="15.85" customHeight="1" x14ac:dyDescent="0.3"/>
    <row r="595" ht="15.85" customHeight="1" x14ac:dyDescent="0.3"/>
    <row r="596" ht="15.85" customHeight="1" x14ac:dyDescent="0.3"/>
    <row r="597" ht="15.85" customHeight="1" x14ac:dyDescent="0.3"/>
    <row r="598" ht="15.85" customHeight="1" x14ac:dyDescent="0.3"/>
    <row r="599" ht="15.85" customHeight="1" x14ac:dyDescent="0.3"/>
    <row r="600" ht="15.85" customHeight="1" x14ac:dyDescent="0.3"/>
    <row r="601" ht="15.85" customHeight="1" x14ac:dyDescent="0.3"/>
    <row r="602" ht="15.85" customHeight="1" x14ac:dyDescent="0.3"/>
    <row r="603" ht="15.85" customHeight="1" x14ac:dyDescent="0.3"/>
    <row r="604" ht="15.85" customHeight="1" x14ac:dyDescent="0.3"/>
    <row r="605" ht="15.85" customHeight="1" x14ac:dyDescent="0.3"/>
    <row r="606" ht="15.85" customHeight="1" x14ac:dyDescent="0.3"/>
    <row r="607" ht="15.85" customHeight="1" x14ac:dyDescent="0.3"/>
    <row r="608" ht="15.85" customHeight="1" x14ac:dyDescent="0.3"/>
    <row r="609" ht="15.85" customHeight="1" x14ac:dyDescent="0.3"/>
    <row r="610" ht="15.85" customHeight="1" x14ac:dyDescent="0.3"/>
    <row r="611" ht="15.85" customHeight="1" x14ac:dyDescent="0.3"/>
    <row r="612" ht="15.85" customHeight="1" x14ac:dyDescent="0.3"/>
    <row r="613" ht="15.85" customHeight="1" x14ac:dyDescent="0.3"/>
    <row r="614" ht="15.85" customHeight="1" x14ac:dyDescent="0.3"/>
    <row r="615" ht="15.85" customHeight="1" x14ac:dyDescent="0.3"/>
    <row r="616" ht="15.85" customHeight="1" x14ac:dyDescent="0.3"/>
    <row r="617" ht="15.85" customHeight="1" x14ac:dyDescent="0.3"/>
    <row r="618" ht="15.85" customHeight="1" x14ac:dyDescent="0.3"/>
    <row r="619" ht="15.85" customHeight="1" x14ac:dyDescent="0.3"/>
    <row r="620" ht="15.85" customHeight="1" x14ac:dyDescent="0.3"/>
    <row r="621" ht="15.85" customHeight="1" x14ac:dyDescent="0.3"/>
    <row r="622" ht="15.85" customHeight="1" x14ac:dyDescent="0.3"/>
    <row r="623" ht="15.85" customHeight="1" x14ac:dyDescent="0.3"/>
    <row r="624" ht="15.85" customHeight="1" x14ac:dyDescent="0.3"/>
    <row r="625" ht="15.85" customHeight="1" x14ac:dyDescent="0.3"/>
    <row r="626" ht="15.85" customHeight="1" x14ac:dyDescent="0.3"/>
    <row r="627" ht="15.85" customHeight="1" x14ac:dyDescent="0.3"/>
    <row r="628" ht="15.85" customHeight="1" x14ac:dyDescent="0.3"/>
    <row r="629" ht="15.85" customHeight="1" x14ac:dyDescent="0.3"/>
    <row r="630" ht="15.85" customHeight="1" x14ac:dyDescent="0.3"/>
    <row r="631" ht="15.85" customHeight="1" x14ac:dyDescent="0.3"/>
    <row r="632" ht="15.85" customHeight="1" x14ac:dyDescent="0.3"/>
    <row r="633" ht="15.85" customHeight="1" x14ac:dyDescent="0.3"/>
    <row r="634" ht="15.85" customHeight="1" x14ac:dyDescent="0.3"/>
    <row r="635" ht="15.85" customHeight="1" x14ac:dyDescent="0.3"/>
    <row r="636" ht="15.85" customHeight="1" x14ac:dyDescent="0.3"/>
    <row r="637" ht="15.85" customHeight="1" x14ac:dyDescent="0.3"/>
    <row r="638" ht="15.85" customHeight="1" x14ac:dyDescent="0.3"/>
    <row r="639" ht="15.85" customHeight="1" x14ac:dyDescent="0.3"/>
    <row r="640" ht="15.85" customHeight="1" x14ac:dyDescent="0.3"/>
    <row r="641" ht="15.85" customHeight="1" x14ac:dyDescent="0.3"/>
    <row r="642" ht="15.85" customHeight="1" x14ac:dyDescent="0.3"/>
    <row r="643" ht="15.85" customHeight="1" x14ac:dyDescent="0.3"/>
    <row r="644" ht="15.85" customHeight="1" x14ac:dyDescent="0.3"/>
    <row r="645" ht="15.85" customHeight="1" x14ac:dyDescent="0.3"/>
    <row r="646" ht="15.85" customHeight="1" x14ac:dyDescent="0.3"/>
    <row r="647" ht="15.85" customHeight="1" x14ac:dyDescent="0.3"/>
    <row r="648" ht="15.85" customHeight="1" x14ac:dyDescent="0.3"/>
    <row r="649" ht="15.85" customHeight="1" x14ac:dyDescent="0.3"/>
    <row r="650" ht="15.85" customHeight="1" x14ac:dyDescent="0.3"/>
    <row r="651" ht="15.85" customHeight="1" x14ac:dyDescent="0.3"/>
    <row r="652" ht="15.85" customHeight="1" x14ac:dyDescent="0.3"/>
    <row r="653" ht="15.85" customHeight="1" x14ac:dyDescent="0.3"/>
    <row r="654" ht="15.85" customHeight="1" x14ac:dyDescent="0.3"/>
    <row r="655" ht="15.85" customHeight="1" x14ac:dyDescent="0.3"/>
    <row r="656" ht="15.85" customHeight="1" x14ac:dyDescent="0.3"/>
    <row r="657" ht="15.85" customHeight="1" x14ac:dyDescent="0.3"/>
    <row r="658" ht="15.85" customHeight="1" x14ac:dyDescent="0.3"/>
    <row r="659" ht="15.85" customHeight="1" x14ac:dyDescent="0.3"/>
    <row r="660" ht="15.85" customHeight="1" x14ac:dyDescent="0.3"/>
    <row r="661" ht="15.85" customHeight="1" x14ac:dyDescent="0.3"/>
    <row r="662" ht="15.85" customHeight="1" x14ac:dyDescent="0.3"/>
    <row r="663" ht="15.85" customHeight="1" x14ac:dyDescent="0.3"/>
    <row r="664" ht="15.85" customHeight="1" x14ac:dyDescent="0.3"/>
    <row r="665" ht="15.85" customHeight="1" x14ac:dyDescent="0.3"/>
    <row r="666" ht="15.85" customHeight="1" x14ac:dyDescent="0.3"/>
    <row r="667" ht="15.85" customHeight="1" x14ac:dyDescent="0.3"/>
    <row r="668" ht="15.85" customHeight="1" x14ac:dyDescent="0.3"/>
    <row r="669" ht="15.85" customHeight="1" x14ac:dyDescent="0.3"/>
    <row r="670" ht="15.85" customHeight="1" x14ac:dyDescent="0.3"/>
    <row r="671" ht="15.85" customHeight="1" x14ac:dyDescent="0.3"/>
    <row r="672" ht="15.85" customHeight="1" x14ac:dyDescent="0.3"/>
    <row r="673" ht="15.85" customHeight="1" x14ac:dyDescent="0.3"/>
    <row r="674" ht="15.85" customHeight="1" x14ac:dyDescent="0.3"/>
    <row r="675" ht="15.85" customHeight="1" x14ac:dyDescent="0.3"/>
    <row r="676" ht="15.85" customHeight="1" x14ac:dyDescent="0.3"/>
    <row r="677" ht="15.85" customHeight="1" x14ac:dyDescent="0.3"/>
    <row r="678" ht="15.85" customHeight="1" x14ac:dyDescent="0.3"/>
    <row r="679" ht="15.85" customHeight="1" x14ac:dyDescent="0.3"/>
    <row r="680" ht="15.85" customHeight="1" x14ac:dyDescent="0.3"/>
    <row r="681" ht="15.85" customHeight="1" x14ac:dyDescent="0.3"/>
    <row r="682" ht="15.85" customHeight="1" x14ac:dyDescent="0.3"/>
    <row r="683" ht="15.85" customHeight="1" x14ac:dyDescent="0.3"/>
    <row r="684" ht="15.85" customHeight="1" x14ac:dyDescent="0.3"/>
    <row r="685" ht="15.85" customHeight="1" x14ac:dyDescent="0.3"/>
    <row r="686" ht="15.85" customHeight="1" x14ac:dyDescent="0.3"/>
    <row r="687" ht="15.85" customHeight="1" x14ac:dyDescent="0.3"/>
    <row r="688" ht="15.85" customHeight="1" x14ac:dyDescent="0.3"/>
    <row r="689" ht="15.85" customHeight="1" x14ac:dyDescent="0.3"/>
    <row r="690" ht="15.85" customHeight="1" x14ac:dyDescent="0.3"/>
    <row r="691" ht="15.85" customHeight="1" x14ac:dyDescent="0.3"/>
    <row r="692" ht="15.85" customHeight="1" x14ac:dyDescent="0.3"/>
    <row r="693" ht="15.85" customHeight="1" x14ac:dyDescent="0.3"/>
    <row r="694" ht="15.85" customHeight="1" x14ac:dyDescent="0.3"/>
    <row r="695" ht="15.85" customHeight="1" x14ac:dyDescent="0.3"/>
    <row r="696" ht="15.85" customHeight="1" x14ac:dyDescent="0.3"/>
    <row r="697" ht="15.85" customHeight="1" x14ac:dyDescent="0.3"/>
    <row r="698" ht="15.85" customHeight="1" x14ac:dyDescent="0.3"/>
    <row r="699" ht="15.85" customHeight="1" x14ac:dyDescent="0.3"/>
    <row r="700" ht="15.85" customHeight="1" x14ac:dyDescent="0.3"/>
    <row r="701" ht="15.85" customHeight="1" x14ac:dyDescent="0.3"/>
    <row r="702" ht="15.85" customHeight="1" x14ac:dyDescent="0.3"/>
    <row r="703" ht="15.85" customHeight="1" x14ac:dyDescent="0.3"/>
    <row r="704" ht="15.85" customHeight="1" x14ac:dyDescent="0.3"/>
    <row r="705" ht="15.85" customHeight="1" x14ac:dyDescent="0.3"/>
    <row r="706" ht="15.85" customHeight="1" x14ac:dyDescent="0.3"/>
    <row r="707" ht="15.85" customHeight="1" x14ac:dyDescent="0.3"/>
    <row r="708" ht="15.85" customHeight="1" x14ac:dyDescent="0.3"/>
    <row r="709" ht="15.85" customHeight="1" x14ac:dyDescent="0.3"/>
    <row r="710" ht="15.85" customHeight="1" x14ac:dyDescent="0.3"/>
    <row r="711" ht="15.85" customHeight="1" x14ac:dyDescent="0.3"/>
    <row r="712" ht="15.85" customHeight="1" x14ac:dyDescent="0.3"/>
    <row r="713" ht="15.85" customHeight="1" x14ac:dyDescent="0.3"/>
    <row r="714" ht="15.85" customHeight="1" x14ac:dyDescent="0.3"/>
    <row r="715" ht="15.85" customHeight="1" x14ac:dyDescent="0.3"/>
    <row r="716" ht="15.85" customHeight="1" x14ac:dyDescent="0.3"/>
    <row r="717" ht="15.85" customHeight="1" x14ac:dyDescent="0.3"/>
    <row r="718" ht="15.85" customHeight="1" x14ac:dyDescent="0.3"/>
    <row r="719" ht="15.85" customHeight="1" x14ac:dyDescent="0.3"/>
    <row r="720" ht="15.85" customHeight="1" x14ac:dyDescent="0.3"/>
    <row r="721" ht="15.85" customHeight="1" x14ac:dyDescent="0.3"/>
    <row r="722" ht="15.85" customHeight="1" x14ac:dyDescent="0.3"/>
    <row r="723" ht="15.85" customHeight="1" x14ac:dyDescent="0.3"/>
    <row r="724" ht="15.85" customHeight="1" x14ac:dyDescent="0.3"/>
    <row r="725" ht="15.85" customHeight="1" x14ac:dyDescent="0.3"/>
    <row r="726" ht="15.85" customHeight="1" x14ac:dyDescent="0.3"/>
    <row r="727" ht="15.85" customHeight="1" x14ac:dyDescent="0.3"/>
    <row r="728" ht="15.85" customHeight="1" x14ac:dyDescent="0.3"/>
    <row r="729" ht="15.85" customHeight="1" x14ac:dyDescent="0.3"/>
    <row r="730" ht="15.85" customHeight="1" x14ac:dyDescent="0.3"/>
    <row r="731" ht="15.85" customHeight="1" x14ac:dyDescent="0.3"/>
    <row r="732" ht="15.85" customHeight="1" x14ac:dyDescent="0.3"/>
    <row r="733" ht="15.85" customHeight="1" x14ac:dyDescent="0.3"/>
    <row r="734" ht="15.85" customHeight="1" x14ac:dyDescent="0.3"/>
    <row r="735" ht="15.85" customHeight="1" x14ac:dyDescent="0.3"/>
    <row r="736" ht="15.85" customHeight="1" x14ac:dyDescent="0.3"/>
    <row r="737" ht="15.85" customHeight="1" x14ac:dyDescent="0.3"/>
    <row r="738" ht="15.85" customHeight="1" x14ac:dyDescent="0.3"/>
    <row r="739" ht="15.85" customHeight="1" x14ac:dyDescent="0.3"/>
    <row r="740" ht="15.85" customHeight="1" x14ac:dyDescent="0.3"/>
    <row r="741" ht="15.85" customHeight="1" x14ac:dyDescent="0.3"/>
    <row r="742" ht="15.85" customHeight="1" x14ac:dyDescent="0.3"/>
    <row r="743" ht="15.85" customHeight="1" x14ac:dyDescent="0.3"/>
    <row r="744" ht="15.85" customHeight="1" x14ac:dyDescent="0.3"/>
    <row r="745" ht="15.85" customHeight="1" x14ac:dyDescent="0.3"/>
    <row r="746" ht="15.85" customHeight="1" x14ac:dyDescent="0.3"/>
    <row r="747" ht="15.85" customHeight="1" x14ac:dyDescent="0.3"/>
    <row r="748" ht="15.85" customHeight="1" x14ac:dyDescent="0.3"/>
    <row r="749" ht="15.85" customHeight="1" x14ac:dyDescent="0.3"/>
    <row r="750" ht="15.85" customHeight="1" x14ac:dyDescent="0.3"/>
    <row r="751" ht="15.85" customHeight="1" x14ac:dyDescent="0.3"/>
    <row r="752" ht="15.85" customHeight="1" x14ac:dyDescent="0.3"/>
    <row r="753" ht="15.85" customHeight="1" x14ac:dyDescent="0.3"/>
    <row r="754" ht="15.85" customHeight="1" x14ac:dyDescent="0.3"/>
    <row r="755" ht="15.85" customHeight="1" x14ac:dyDescent="0.3"/>
    <row r="756" ht="15.85" customHeight="1" x14ac:dyDescent="0.3"/>
    <row r="757" ht="15.85" customHeight="1" x14ac:dyDescent="0.3"/>
    <row r="758" ht="15.85" customHeight="1" x14ac:dyDescent="0.3"/>
    <row r="759" ht="15.85" customHeight="1" x14ac:dyDescent="0.3"/>
    <row r="760" ht="15.85" customHeight="1" x14ac:dyDescent="0.3"/>
    <row r="761" ht="15.85" customHeight="1" x14ac:dyDescent="0.3"/>
    <row r="762" ht="15.85" customHeight="1" x14ac:dyDescent="0.3"/>
    <row r="763" ht="15.85" customHeight="1" x14ac:dyDescent="0.3"/>
    <row r="764" ht="15.85" customHeight="1" x14ac:dyDescent="0.3"/>
    <row r="765" ht="15.85" customHeight="1" x14ac:dyDescent="0.3"/>
    <row r="766" ht="15.85" customHeight="1" x14ac:dyDescent="0.3"/>
    <row r="767" ht="15.85" customHeight="1" x14ac:dyDescent="0.3"/>
    <row r="768" ht="15.85" customHeight="1" x14ac:dyDescent="0.3"/>
    <row r="769" ht="15.85" customHeight="1" x14ac:dyDescent="0.3"/>
    <row r="770" ht="15.85" customHeight="1" x14ac:dyDescent="0.3"/>
    <row r="771" ht="15.85" customHeight="1" x14ac:dyDescent="0.3"/>
    <row r="772" ht="15.85" customHeight="1" x14ac:dyDescent="0.3"/>
    <row r="773" ht="15.85" customHeight="1" x14ac:dyDescent="0.3"/>
    <row r="774" ht="15.85" customHeight="1" x14ac:dyDescent="0.3"/>
    <row r="775" ht="15.85" customHeight="1" x14ac:dyDescent="0.3"/>
    <row r="776" ht="15.85" customHeight="1" x14ac:dyDescent="0.3"/>
    <row r="777" ht="15.85" customHeight="1" x14ac:dyDescent="0.3"/>
    <row r="778" ht="15.85" customHeight="1" x14ac:dyDescent="0.3"/>
    <row r="779" ht="15.85" customHeight="1" x14ac:dyDescent="0.3"/>
    <row r="780" ht="15.85" customHeight="1" x14ac:dyDescent="0.3"/>
    <row r="781" ht="15.85" customHeight="1" x14ac:dyDescent="0.3"/>
    <row r="782" ht="15.85" customHeight="1" x14ac:dyDescent="0.3"/>
    <row r="783" ht="15.85" customHeight="1" x14ac:dyDescent="0.3"/>
    <row r="784" ht="15.85" customHeight="1" x14ac:dyDescent="0.3"/>
    <row r="785" ht="15.85" customHeight="1" x14ac:dyDescent="0.3"/>
    <row r="786" ht="15.85" customHeight="1" x14ac:dyDescent="0.3"/>
    <row r="787" ht="15.85" customHeight="1" x14ac:dyDescent="0.3"/>
    <row r="788" ht="15.85" customHeight="1" x14ac:dyDescent="0.3"/>
    <row r="789" ht="15.85" customHeight="1" x14ac:dyDescent="0.3"/>
    <row r="790" ht="15.85" customHeight="1" x14ac:dyDescent="0.3"/>
    <row r="791" ht="15.85" customHeight="1" x14ac:dyDescent="0.3"/>
    <row r="792" ht="15.85" customHeight="1" x14ac:dyDescent="0.3"/>
    <row r="793" ht="15.85" customHeight="1" x14ac:dyDescent="0.3"/>
    <row r="794" ht="15.85" customHeight="1" x14ac:dyDescent="0.3"/>
    <row r="795" ht="15.85" customHeight="1" x14ac:dyDescent="0.3"/>
    <row r="796" ht="15.85" customHeight="1" x14ac:dyDescent="0.3"/>
    <row r="797" ht="15.85" customHeight="1" x14ac:dyDescent="0.3"/>
    <row r="798" ht="15.85" customHeight="1" x14ac:dyDescent="0.3"/>
    <row r="799" ht="15.85" customHeight="1" x14ac:dyDescent="0.3"/>
    <row r="800" ht="15.85" customHeight="1" x14ac:dyDescent="0.3"/>
    <row r="801" ht="15.85" customHeight="1" x14ac:dyDescent="0.3"/>
    <row r="802" ht="15.85" customHeight="1" x14ac:dyDescent="0.3"/>
    <row r="803" ht="15.85" customHeight="1" x14ac:dyDescent="0.3"/>
    <row r="804" ht="15.85" customHeight="1" x14ac:dyDescent="0.3"/>
    <row r="805" ht="15.85" customHeight="1" x14ac:dyDescent="0.3"/>
    <row r="806" ht="15.85" customHeight="1" x14ac:dyDescent="0.3"/>
    <row r="807" ht="15.85" customHeight="1" x14ac:dyDescent="0.3"/>
    <row r="808" ht="15.85" customHeight="1" x14ac:dyDescent="0.3"/>
    <row r="809" ht="15.85" customHeight="1" x14ac:dyDescent="0.3"/>
    <row r="810" ht="15.85" customHeight="1" x14ac:dyDescent="0.3"/>
    <row r="811" ht="15.85" customHeight="1" x14ac:dyDescent="0.3"/>
    <row r="812" ht="15.85" customHeight="1" x14ac:dyDescent="0.3"/>
    <row r="813" ht="15.85" customHeight="1" x14ac:dyDescent="0.3"/>
    <row r="814" ht="15.85" customHeight="1" x14ac:dyDescent="0.3"/>
    <row r="815" ht="15.85" customHeight="1" x14ac:dyDescent="0.3"/>
    <row r="816" ht="15.85" customHeight="1" x14ac:dyDescent="0.3"/>
    <row r="817" ht="15.85" customHeight="1" x14ac:dyDescent="0.3"/>
    <row r="818" ht="15.85" customHeight="1" x14ac:dyDescent="0.3"/>
    <row r="819" ht="15.85" customHeight="1" x14ac:dyDescent="0.3"/>
    <row r="820" ht="15.85" customHeight="1" x14ac:dyDescent="0.3"/>
    <row r="821" ht="15.85" customHeight="1" x14ac:dyDescent="0.3"/>
    <row r="822" ht="15.85" customHeight="1" x14ac:dyDescent="0.3"/>
    <row r="823" ht="15.85" customHeight="1" x14ac:dyDescent="0.3"/>
    <row r="824" ht="15.85" customHeight="1" x14ac:dyDescent="0.3"/>
    <row r="825" ht="15.85" customHeight="1" x14ac:dyDescent="0.3"/>
    <row r="826" ht="15.85" customHeight="1" x14ac:dyDescent="0.3"/>
    <row r="827" ht="15.85" customHeight="1" x14ac:dyDescent="0.3"/>
    <row r="828" ht="15.85" customHeight="1" x14ac:dyDescent="0.3"/>
    <row r="829" ht="15.85" customHeight="1" x14ac:dyDescent="0.3"/>
    <row r="830" ht="15.85" customHeight="1" x14ac:dyDescent="0.3"/>
    <row r="831" ht="15.85" customHeight="1" x14ac:dyDescent="0.3"/>
    <row r="832" ht="15.85" customHeight="1" x14ac:dyDescent="0.3"/>
    <row r="833" ht="15.85" customHeight="1" x14ac:dyDescent="0.3"/>
    <row r="834" ht="15.85" customHeight="1" x14ac:dyDescent="0.3"/>
    <row r="835" ht="15.85" customHeight="1" x14ac:dyDescent="0.3"/>
    <row r="836" ht="15.85" customHeight="1" x14ac:dyDescent="0.3"/>
    <row r="837" ht="15.85" customHeight="1" x14ac:dyDescent="0.3"/>
    <row r="838" ht="15.85" customHeight="1" x14ac:dyDescent="0.3"/>
    <row r="839" ht="15.85" customHeight="1" x14ac:dyDescent="0.3"/>
    <row r="840" ht="15.85" customHeight="1" x14ac:dyDescent="0.3"/>
    <row r="841" ht="15.85" customHeight="1" x14ac:dyDescent="0.3"/>
    <row r="842" ht="15.85" customHeight="1" x14ac:dyDescent="0.3"/>
    <row r="843" ht="15.85" customHeight="1" x14ac:dyDescent="0.3"/>
    <row r="844" ht="15.85" customHeight="1" x14ac:dyDescent="0.3"/>
    <row r="845" ht="15.85" customHeight="1" x14ac:dyDescent="0.3"/>
    <row r="846" ht="15.85" customHeight="1" x14ac:dyDescent="0.3"/>
    <row r="847" ht="15.85" customHeight="1" x14ac:dyDescent="0.3"/>
    <row r="848" ht="15.85" customHeight="1" x14ac:dyDescent="0.3"/>
    <row r="849" ht="15.85" customHeight="1" x14ac:dyDescent="0.3"/>
    <row r="850" ht="15.85" customHeight="1" x14ac:dyDescent="0.3"/>
    <row r="851" ht="15.85" customHeight="1" x14ac:dyDescent="0.3"/>
    <row r="852" ht="15.85" customHeight="1" x14ac:dyDescent="0.3"/>
    <row r="853" ht="15.85" customHeight="1" x14ac:dyDescent="0.3"/>
    <row r="854" ht="15.85" customHeight="1" x14ac:dyDescent="0.3"/>
    <row r="855" ht="15.85" customHeight="1" x14ac:dyDescent="0.3"/>
    <row r="856" ht="15.85" customHeight="1" x14ac:dyDescent="0.3"/>
    <row r="857" ht="15.85" customHeight="1" x14ac:dyDescent="0.3"/>
    <row r="858" ht="15.85" customHeight="1" x14ac:dyDescent="0.3"/>
    <row r="859" ht="15.85" customHeight="1" x14ac:dyDescent="0.3"/>
    <row r="860" ht="15.85" customHeight="1" x14ac:dyDescent="0.3"/>
    <row r="861" ht="15.85" customHeight="1" x14ac:dyDescent="0.3"/>
    <row r="862" ht="15.85" customHeight="1" x14ac:dyDescent="0.3"/>
    <row r="863" ht="15.85" customHeight="1" x14ac:dyDescent="0.3"/>
    <row r="864" ht="15.85" customHeight="1" x14ac:dyDescent="0.3"/>
    <row r="865" ht="15.85" customHeight="1" x14ac:dyDescent="0.3"/>
    <row r="866" ht="15.85" customHeight="1" x14ac:dyDescent="0.3"/>
    <row r="867" ht="15.85" customHeight="1" x14ac:dyDescent="0.3"/>
    <row r="868" ht="15.85" customHeight="1" x14ac:dyDescent="0.3"/>
    <row r="869" ht="15.85" customHeight="1" x14ac:dyDescent="0.3"/>
    <row r="870" ht="15.85" customHeight="1" x14ac:dyDescent="0.3"/>
    <row r="871" ht="15.85" customHeight="1" x14ac:dyDescent="0.3"/>
    <row r="872" ht="15.85" customHeight="1" x14ac:dyDescent="0.3"/>
    <row r="873" ht="15.85" customHeight="1" x14ac:dyDescent="0.3"/>
    <row r="874" ht="15.85" customHeight="1" x14ac:dyDescent="0.3"/>
    <row r="875" ht="15.85" customHeight="1" x14ac:dyDescent="0.3"/>
    <row r="876" ht="15.85" customHeight="1" x14ac:dyDescent="0.3"/>
    <row r="877" ht="15.85" customHeight="1" x14ac:dyDescent="0.3"/>
    <row r="878" ht="15.85" customHeight="1" x14ac:dyDescent="0.3"/>
    <row r="879" ht="15.85" customHeight="1" x14ac:dyDescent="0.3"/>
    <row r="880" ht="15.85" customHeight="1" x14ac:dyDescent="0.3"/>
    <row r="881" ht="15.85" customHeight="1" x14ac:dyDescent="0.3"/>
    <row r="882" ht="15.85" customHeight="1" x14ac:dyDescent="0.3"/>
    <row r="883" ht="15.85" customHeight="1" x14ac:dyDescent="0.3"/>
    <row r="884" ht="15.85" customHeight="1" x14ac:dyDescent="0.3"/>
    <row r="885" ht="15.85" customHeight="1" x14ac:dyDescent="0.3"/>
    <row r="886" ht="15.85" customHeight="1" x14ac:dyDescent="0.3"/>
    <row r="887" ht="15.85" customHeight="1" x14ac:dyDescent="0.3"/>
    <row r="888" ht="15.85" customHeight="1" x14ac:dyDescent="0.3"/>
    <row r="889" ht="15.85" customHeight="1" x14ac:dyDescent="0.3"/>
    <row r="890" ht="15.85" customHeight="1" x14ac:dyDescent="0.3"/>
    <row r="891" ht="15.85" customHeight="1" x14ac:dyDescent="0.3"/>
    <row r="892" ht="15.85" customHeight="1" x14ac:dyDescent="0.3"/>
    <row r="893" ht="15.85" customHeight="1" x14ac:dyDescent="0.3"/>
    <row r="894" ht="15.85" customHeight="1" x14ac:dyDescent="0.3"/>
    <row r="895" ht="15.85" customHeight="1" x14ac:dyDescent="0.3"/>
    <row r="896" ht="15.85" customHeight="1" x14ac:dyDescent="0.3"/>
    <row r="897" ht="15.85" customHeight="1" x14ac:dyDescent="0.3"/>
    <row r="898" ht="15.85" customHeight="1" x14ac:dyDescent="0.3"/>
    <row r="899" ht="15.85" customHeight="1" x14ac:dyDescent="0.3"/>
    <row r="900" ht="15.85" customHeight="1" x14ac:dyDescent="0.3"/>
    <row r="901" ht="15.85" customHeight="1" x14ac:dyDescent="0.3"/>
    <row r="902" ht="15.85" customHeight="1" x14ac:dyDescent="0.3"/>
    <row r="903" ht="15.85" customHeight="1" x14ac:dyDescent="0.3"/>
    <row r="904" ht="15.85" customHeight="1" x14ac:dyDescent="0.3"/>
    <row r="905" ht="15.85" customHeight="1" x14ac:dyDescent="0.3"/>
    <row r="906" ht="15.85" customHeight="1" x14ac:dyDescent="0.3"/>
    <row r="907" ht="15.85" customHeight="1" x14ac:dyDescent="0.3"/>
    <row r="908" ht="15.85" customHeight="1" x14ac:dyDescent="0.3"/>
    <row r="909" ht="15.85" customHeight="1" x14ac:dyDescent="0.3"/>
    <row r="910" ht="15.85" customHeight="1" x14ac:dyDescent="0.3"/>
    <row r="911" ht="15.85" customHeight="1" x14ac:dyDescent="0.3"/>
    <row r="912" ht="15.85" customHeight="1" x14ac:dyDescent="0.3"/>
    <row r="913" ht="15.85" customHeight="1" x14ac:dyDescent="0.3"/>
    <row r="914" ht="15.85" customHeight="1" x14ac:dyDescent="0.3"/>
    <row r="915" ht="15.85" customHeight="1" x14ac:dyDescent="0.3"/>
    <row r="916" ht="15.85" customHeight="1" x14ac:dyDescent="0.3"/>
    <row r="917" ht="15.85" customHeight="1" x14ac:dyDescent="0.3"/>
    <row r="918" ht="15.85" customHeight="1" x14ac:dyDescent="0.3"/>
    <row r="919" ht="15.85" customHeight="1" x14ac:dyDescent="0.3"/>
    <row r="920" ht="15.85" customHeight="1" x14ac:dyDescent="0.3"/>
    <row r="921" ht="15.85" customHeight="1" x14ac:dyDescent="0.3"/>
    <row r="922" ht="15.85" customHeight="1" x14ac:dyDescent="0.3"/>
    <row r="923" ht="15.85" customHeight="1" x14ac:dyDescent="0.3"/>
    <row r="924" ht="15.85" customHeight="1" x14ac:dyDescent="0.3"/>
    <row r="925" ht="15.85" customHeight="1" x14ac:dyDescent="0.3"/>
    <row r="926" ht="15.85" customHeight="1" x14ac:dyDescent="0.3"/>
    <row r="927" ht="15.85" customHeight="1" x14ac:dyDescent="0.3"/>
    <row r="928" ht="15.85" customHeight="1" x14ac:dyDescent="0.3"/>
    <row r="929" ht="15.85" customHeight="1" x14ac:dyDescent="0.3"/>
    <row r="930" ht="15.85" customHeight="1" x14ac:dyDescent="0.3"/>
    <row r="931" ht="15.85" customHeight="1" x14ac:dyDescent="0.3"/>
    <row r="932" ht="15.85" customHeight="1" x14ac:dyDescent="0.3"/>
    <row r="933" ht="15.85" customHeight="1" x14ac:dyDescent="0.3"/>
    <row r="934" ht="15.85" customHeight="1" x14ac:dyDescent="0.3"/>
    <row r="935" ht="15.85" customHeight="1" x14ac:dyDescent="0.3"/>
    <row r="936" ht="15.85" customHeight="1" x14ac:dyDescent="0.3"/>
    <row r="937" ht="15.85" customHeight="1" x14ac:dyDescent="0.3"/>
    <row r="938" ht="15.85" customHeight="1" x14ac:dyDescent="0.3"/>
    <row r="939" ht="15.85" customHeight="1" x14ac:dyDescent="0.3"/>
    <row r="940" ht="15.85" customHeight="1" x14ac:dyDescent="0.3"/>
    <row r="941" ht="15.85" customHeight="1" x14ac:dyDescent="0.3"/>
    <row r="942" ht="15.85" customHeight="1" x14ac:dyDescent="0.3"/>
    <row r="943" ht="15.85" customHeight="1" x14ac:dyDescent="0.3"/>
    <row r="944" ht="15.85" customHeight="1" x14ac:dyDescent="0.3"/>
    <row r="945" ht="15.85" customHeight="1" x14ac:dyDescent="0.3"/>
    <row r="946" ht="15.85" customHeight="1" x14ac:dyDescent="0.3"/>
    <row r="947" ht="15.85" customHeight="1" x14ac:dyDescent="0.3"/>
    <row r="948" ht="15.85" customHeight="1" x14ac:dyDescent="0.3"/>
    <row r="949" ht="15.85" customHeight="1" x14ac:dyDescent="0.3"/>
    <row r="950" ht="15.85" customHeight="1" x14ac:dyDescent="0.3"/>
    <row r="951" ht="15.85" customHeight="1" x14ac:dyDescent="0.3"/>
    <row r="952" ht="15.85" customHeight="1" x14ac:dyDescent="0.3"/>
    <row r="953" ht="15.85" customHeight="1" x14ac:dyDescent="0.3"/>
    <row r="954" ht="15.85" customHeight="1" x14ac:dyDescent="0.3"/>
    <row r="955" ht="15.85" customHeight="1" x14ac:dyDescent="0.3"/>
    <row r="956" ht="15.85" customHeight="1" x14ac:dyDescent="0.3"/>
    <row r="957" ht="15.85" customHeight="1" x14ac:dyDescent="0.3"/>
    <row r="958" ht="15.85" customHeight="1" x14ac:dyDescent="0.3"/>
    <row r="959" ht="15.85" customHeight="1" x14ac:dyDescent="0.3"/>
    <row r="960" ht="15.85" customHeight="1" x14ac:dyDescent="0.3"/>
    <row r="961" ht="15.85" customHeight="1" x14ac:dyDescent="0.3"/>
    <row r="962" ht="15.85" customHeight="1" x14ac:dyDescent="0.3"/>
    <row r="963" ht="15.85" customHeight="1" x14ac:dyDescent="0.3"/>
    <row r="964" ht="15.85" customHeight="1" x14ac:dyDescent="0.3"/>
    <row r="965" ht="15.85" customHeight="1" x14ac:dyDescent="0.3"/>
    <row r="966" ht="15.85" customHeight="1" x14ac:dyDescent="0.3"/>
    <row r="967" ht="15.85" customHeight="1" x14ac:dyDescent="0.3"/>
    <row r="968" ht="15.85" customHeight="1" x14ac:dyDescent="0.3"/>
    <row r="969" ht="15.85" customHeight="1" x14ac:dyDescent="0.3"/>
    <row r="970" ht="15.85" customHeight="1" x14ac:dyDescent="0.3"/>
    <row r="971" ht="15.85" customHeight="1" x14ac:dyDescent="0.3"/>
    <row r="972" ht="15.85" customHeight="1" x14ac:dyDescent="0.3"/>
    <row r="973" ht="15.85" customHeight="1" x14ac:dyDescent="0.3"/>
    <row r="974" ht="15.85" customHeight="1" x14ac:dyDescent="0.3"/>
    <row r="975" ht="15.85" customHeight="1" x14ac:dyDescent="0.3"/>
    <row r="976" ht="15.85" customHeight="1" x14ac:dyDescent="0.3"/>
    <row r="977" ht="15.85" customHeight="1" x14ac:dyDescent="0.3"/>
    <row r="978" ht="15.85" customHeight="1" x14ac:dyDescent="0.3"/>
    <row r="979" ht="15.85" customHeight="1" x14ac:dyDescent="0.3"/>
    <row r="980" ht="15.85" customHeight="1" x14ac:dyDescent="0.3"/>
    <row r="981" ht="15.85" customHeight="1" x14ac:dyDescent="0.3"/>
    <row r="982" ht="15.85" customHeight="1" x14ac:dyDescent="0.3"/>
    <row r="983" ht="15.85" customHeight="1" x14ac:dyDescent="0.3"/>
    <row r="984" ht="15.85" customHeight="1" x14ac:dyDescent="0.3"/>
    <row r="985" ht="15.85" customHeight="1" x14ac:dyDescent="0.3"/>
    <row r="986" ht="15.85" customHeight="1" x14ac:dyDescent="0.3"/>
    <row r="987" ht="15.85" customHeight="1" x14ac:dyDescent="0.3"/>
    <row r="988" ht="15.85" customHeight="1" x14ac:dyDescent="0.3"/>
    <row r="989" ht="15.85" customHeight="1" x14ac:dyDescent="0.3"/>
    <row r="990" ht="15.85" customHeight="1" x14ac:dyDescent="0.3"/>
    <row r="991" ht="15.85" customHeight="1" x14ac:dyDescent="0.3"/>
    <row r="992" ht="15.85" customHeight="1" x14ac:dyDescent="0.3"/>
    <row r="993" ht="15.85" customHeight="1" x14ac:dyDescent="0.3"/>
    <row r="994" ht="15.85" customHeight="1" x14ac:dyDescent="0.3"/>
    <row r="995" ht="15.85" customHeight="1" x14ac:dyDescent="0.3"/>
    <row r="996" ht="15.85" customHeight="1" x14ac:dyDescent="0.3"/>
    <row r="997" ht="15.85" customHeight="1" x14ac:dyDescent="0.3"/>
    <row r="998" ht="15.85" customHeight="1" x14ac:dyDescent="0.3"/>
    <row r="999" ht="15.85" customHeight="1" x14ac:dyDescent="0.3"/>
    <row r="1000" ht="15.85" customHeight="1" x14ac:dyDescent="0.3"/>
    <row r="1001" ht="15.85" customHeight="1" x14ac:dyDescent="0.3"/>
    <row r="1002" ht="15.85" customHeight="1" x14ac:dyDescent="0.3"/>
  </sheetData>
  <mergeCells count="14">
    <mergeCell ref="R4:S4"/>
    <mergeCell ref="A1:AA1"/>
    <mergeCell ref="A2:AA2"/>
    <mergeCell ref="A3:AA3"/>
    <mergeCell ref="D4:E4"/>
    <mergeCell ref="F4:G4"/>
    <mergeCell ref="H4:I4"/>
    <mergeCell ref="J4:K4"/>
    <mergeCell ref="T4:U4"/>
    <mergeCell ref="L4:M4"/>
    <mergeCell ref="N4:O4"/>
    <mergeCell ref="A5:C5"/>
    <mergeCell ref="B80:C80"/>
    <mergeCell ref="P4:Q4"/>
  </mergeCells>
  <conditionalFormatting sqref="W6:W78">
    <cfRule type="cellIs" dxfId="9" priority="1" operator="lessThan">
      <formula>75</formula>
    </cfRule>
  </conditionalFormatting>
  <conditionalFormatting sqref="AA6:AA78">
    <cfRule type="cellIs" dxfId="8" priority="2" operator="lessThan">
      <formula>75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1"/>
  <sheetViews>
    <sheetView workbookViewId="0"/>
  </sheetViews>
  <sheetFormatPr defaultColWidth="14.44140625" defaultRowHeight="15.05" customHeight="1" x14ac:dyDescent="0.3"/>
  <cols>
    <col min="1" max="1" width="5.109375" customWidth="1"/>
    <col min="2" max="2" width="14.109375" customWidth="1"/>
    <col min="3" max="3" width="46.109375" customWidth="1"/>
    <col min="4" max="4" width="8.6640625" customWidth="1"/>
    <col min="5" max="5" width="12.6640625" customWidth="1"/>
    <col min="6" max="6" width="5.44140625" customWidth="1"/>
    <col min="7" max="7" width="12.6640625" customWidth="1"/>
    <col min="8" max="8" width="7.6640625" customWidth="1"/>
    <col min="9" max="9" width="12.6640625" customWidth="1"/>
    <col min="10" max="10" width="3" customWidth="1"/>
    <col min="12" max="12" width="3" customWidth="1"/>
    <col min="14" max="14" width="3" customWidth="1"/>
    <col min="16" max="16" width="3" customWidth="1"/>
    <col min="18" max="18" width="3" customWidth="1"/>
    <col min="20" max="20" width="3" customWidth="1"/>
    <col min="21" max="21" width="12.6640625" customWidth="1"/>
    <col min="22" max="22" width="5.6640625" customWidth="1"/>
    <col min="24" max="24" width="6.5546875" customWidth="1"/>
    <col min="25" max="25" width="18.33203125" customWidth="1"/>
    <col min="26" max="26" width="13.33203125" customWidth="1"/>
    <col min="27" max="27" width="19.44140625" customWidth="1"/>
  </cols>
  <sheetData>
    <row r="1" spans="1:27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</row>
    <row r="2" spans="1:27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9"/>
    </row>
    <row r="3" spans="1:27" x14ac:dyDescent="0.3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2"/>
    </row>
    <row r="4" spans="1:27" ht="15.65" x14ac:dyDescent="0.3">
      <c r="A4" s="1" t="s">
        <v>3</v>
      </c>
      <c r="B4" s="1" t="s">
        <v>4</v>
      </c>
      <c r="C4" s="2" t="s">
        <v>5</v>
      </c>
      <c r="D4" s="23" t="s">
        <v>6</v>
      </c>
      <c r="E4" s="24"/>
      <c r="F4" s="23" t="s">
        <v>7</v>
      </c>
      <c r="G4" s="24"/>
      <c r="H4" s="23" t="s">
        <v>8</v>
      </c>
      <c r="I4" s="24"/>
      <c r="J4" s="23" t="s">
        <v>9</v>
      </c>
      <c r="K4" s="24"/>
      <c r="L4" s="23" t="s">
        <v>10</v>
      </c>
      <c r="M4" s="24"/>
      <c r="N4" s="23" t="s">
        <v>11</v>
      </c>
      <c r="O4" s="24"/>
      <c r="P4" s="23" t="s">
        <v>12</v>
      </c>
      <c r="Q4" s="24"/>
      <c r="R4" s="23" t="s">
        <v>13</v>
      </c>
      <c r="S4" s="24"/>
      <c r="T4" s="23" t="s">
        <v>14</v>
      </c>
      <c r="U4" s="24"/>
      <c r="V4" s="1" t="s">
        <v>15</v>
      </c>
      <c r="W4" s="1" t="s">
        <v>16</v>
      </c>
      <c r="X4" s="3" t="s">
        <v>17</v>
      </c>
      <c r="Y4" s="4" t="s">
        <v>18</v>
      </c>
      <c r="Z4" s="4" t="s">
        <v>19</v>
      </c>
      <c r="AA4" s="4" t="s">
        <v>20</v>
      </c>
    </row>
    <row r="5" spans="1:27" ht="22.55" customHeight="1" x14ac:dyDescent="0.3">
      <c r="A5" s="23" t="s">
        <v>21</v>
      </c>
      <c r="B5" s="25"/>
      <c r="C5" s="24"/>
      <c r="D5" s="5">
        <f ca="1">IFERROR(__xludf.DUMMYFUNCTION("IMPORTRANGE(""https://docs.google.com/spreadsheets/d/1rOGZhKHVnDGFqGTO7UNOJSkSJyQwVuEb2-yhWQit7lw/edit?gid=1117406455#gid=1117406455"", address(row($D3),column($D3),,,""DM&amp;GT-N""))"),39)</f>
        <v>39</v>
      </c>
      <c r="E5" s="5" t="s">
        <v>22</v>
      </c>
      <c r="F5" s="5">
        <f ca="1">IFERROR(__xludf.DUMMYFUNCTION("IMPORTRANGE(""https://docs.google.com/spreadsheets/d/1rOGZhKHVnDGFqGTO7UNOJSkSJyQwVuEb2-yhWQit7lw/edit?gid=1808040716#gid=1808040716"", address(row($D3),column($D3),,,""UHV-N""))"),35)</f>
        <v>35</v>
      </c>
      <c r="G5" s="5" t="s">
        <v>22</v>
      </c>
      <c r="H5" s="5">
        <f ca="1">IFERROR(__xludf.DUMMYFUNCTION("IMPORTRANGE(""https://docs.google.com/spreadsheets/d/1rOGZhKHVnDGFqGTO7UNOJSkSJyQwVuEb2-yhWQit7lw/edit?gid=1058014760#gid=1058014760"", address(row($D3),column($D3),,,""DL&amp;CO-N""))"),39)</f>
        <v>39</v>
      </c>
      <c r="I5" s="5" t="s">
        <v>22</v>
      </c>
      <c r="J5" s="5">
        <f ca="1">IFERROR(__xludf.DUMMYFUNCTION("IMPORTRANGE(""https://docs.google.com/spreadsheets/d/1rOGZhKHVnDGFqGTO7UNOJSkSJyQwVuEb2-yhWQit7lw/edit?gid=2007015697#gid=2007015697"", address(row($D3),column($D3),,,""ADSA-N""))"),66)</f>
        <v>66</v>
      </c>
      <c r="K5" s="5" t="s">
        <v>22</v>
      </c>
      <c r="L5" s="5">
        <f ca="1">IFERROR(__xludf.DUMMYFUNCTION("IMPORTRANGE(""https://docs.google.com/spreadsheets/d/1rOGZhKHVnDGFqGTO7UNOJSkSJyQwVuEb2-yhWQit7lw/edit?gid=1926669029#gid=1926669029"", address(row($D3),column($D3),,,""JAVA-N""))"),68)</f>
        <v>68</v>
      </c>
      <c r="M5" s="5" t="s">
        <v>22</v>
      </c>
      <c r="N5" s="5">
        <f ca="1">IFERROR(__xludf.DUMMYFUNCTION("IMPORTRANGE(""https://docs.google.com/spreadsheets/d/1rOGZhKHVnDGFqGTO7UNOJSkSJyQwVuEb2-yhWQit7lw/edit?gid=1656401641#gid=1656401641"", address(row($D3),column($D3),,,""FOSS LAB-N""))"),35)</f>
        <v>35</v>
      </c>
      <c r="O5" s="5" t="s">
        <v>22</v>
      </c>
      <c r="P5" s="5">
        <f ca="1">IFERROR(__xludf.DUMMYFUNCTION("IMPORTRANGE(""https://docs.google.com/spreadsheets/d/1rOGZhKHVnDGFqGTO7UNOJSkSJyQwVuEb2-yhWQit7lw/edit?gid=1022834346#gid=1022834346"", address(row($D3),column($D3),,,""PP-N""))"),33)</f>
        <v>33</v>
      </c>
      <c r="Q5" s="5" t="s">
        <v>22</v>
      </c>
      <c r="R5" s="5">
        <f ca="1">IFERROR(__xludf.DUMMYFUNCTION("IMPORTRANGE(""https://docs.google.com/spreadsheets/d/1rOGZhKHVnDGFqGTO7UNOJSkSJyQwVuEb2-yhWQit7lw/edit?gid=449441702#gid=449441702"", address(row($D3),column($D3),,,""NPTEL-N""))"),28)</f>
        <v>28</v>
      </c>
      <c r="S5" s="5" t="s">
        <v>22</v>
      </c>
      <c r="T5" s="6">
        <f ca="1">IFERROR(__xludf.DUMMYFUNCTION("IMPORTRANGE(""https://docs.google.com/spreadsheets/d/1rOGZhKHVnDGFqGTO7UNOJSkSJyQwVuEb2-yhWQit7lw/edit?gid=77662277#gid=77662277"", address(row($D3),column($D3),,,""CRT-N""))"),70)</f>
        <v>70</v>
      </c>
      <c r="U5" s="5" t="s">
        <v>22</v>
      </c>
      <c r="V5" s="6">
        <f t="shared" ref="V5:V77" ca="1" si="0">SUM(D5,F5,H5,J5,L5,N5,P5,R5,T5)</f>
        <v>413</v>
      </c>
      <c r="W5" s="7" t="s">
        <v>22</v>
      </c>
      <c r="X5" s="4">
        <v>0</v>
      </c>
      <c r="Y5" s="4">
        <v>0</v>
      </c>
      <c r="Z5" s="4">
        <f t="shared" ref="Z5:Z77" ca="1" si="1">V5+Y5+X5</f>
        <v>413</v>
      </c>
      <c r="AA5" s="4" t="s">
        <v>22</v>
      </c>
    </row>
    <row r="6" spans="1:27" ht="17.25" customHeight="1" x14ac:dyDescent="0.3">
      <c r="A6" s="8">
        <v>1</v>
      </c>
      <c r="B6" s="9" t="s">
        <v>175</v>
      </c>
      <c r="C6" s="9" t="s">
        <v>176</v>
      </c>
      <c r="D6" s="5">
        <f ca="1">IFERROR(__xludf.DUMMYFUNCTION("IMPORTRANGE(""https://docs.google.com/spreadsheets/d/1rOGZhKHVnDGFqGTO7UNOJSkSJyQwVuEb2-yhWQit7lw/edit?gid=1117406455#gid=1117406455"", address(row($D4),column($D4),,,""DM&amp;GT-N""))"),8)</f>
        <v>8</v>
      </c>
      <c r="E6" s="8">
        <f t="shared" ref="E6:E77" ca="1" si="2">D6/D$5*100</f>
        <v>20.512820512820511</v>
      </c>
      <c r="F6" s="5">
        <f ca="1">IFERROR(__xludf.DUMMYFUNCTION("IMPORTRANGE(""https://docs.google.com/spreadsheets/d/1rOGZhKHVnDGFqGTO7UNOJSkSJyQwVuEb2-yhWQit7lw/edit?gid=1808040716#gid=1808040716"", address(row($D4),column($D4),,,""UHV-N""))"),8)</f>
        <v>8</v>
      </c>
      <c r="G6" s="8">
        <f t="shared" ref="G6:G77" ca="1" si="3">F6/F$5*100</f>
        <v>22.857142857142858</v>
      </c>
      <c r="H6" s="5">
        <f ca="1">IFERROR(__xludf.DUMMYFUNCTION("IMPORTRANGE(""https://docs.google.com/spreadsheets/d/1rOGZhKHVnDGFqGTO7UNOJSkSJyQwVuEb2-yhWQit7lw/edit?gid=1058014760#gid=1058014760"", address(row($D4),column($D4),,,""DL&amp;CO-N""))"),7)</f>
        <v>7</v>
      </c>
      <c r="I6" s="8">
        <f t="shared" ref="I6:I77" ca="1" si="4">H6/H$5*100</f>
        <v>17.948717948717949</v>
      </c>
      <c r="J6" s="5">
        <f ca="1">IFERROR(__xludf.DUMMYFUNCTION("IMPORTRANGE(""https://docs.google.com/spreadsheets/d/1rOGZhKHVnDGFqGTO7UNOJSkSJyQwVuEb2-yhWQit7lw/edit?gid=2007015697#gid=2007015697"", address(row($D4),column($D4),,,""ADSA-N""))"),10)</f>
        <v>10</v>
      </c>
      <c r="K6" s="8">
        <f t="shared" ref="K6:K77" ca="1" si="5">J6/J$5*100</f>
        <v>15.151515151515152</v>
      </c>
      <c r="L6" s="5">
        <f ca="1">IFERROR(__xludf.DUMMYFUNCTION("IMPORTRANGE(""https://docs.google.com/spreadsheets/d/1rOGZhKHVnDGFqGTO7UNOJSkSJyQwVuEb2-yhWQit7lw/edit?gid=1926669029#gid=1926669029"", address(row($D4),column($D4),,,""JAVA-N""))"),11)</f>
        <v>11</v>
      </c>
      <c r="M6" s="8">
        <f t="shared" ref="M6:M77" ca="1" si="6">L6/L$5*100</f>
        <v>16.176470588235293</v>
      </c>
      <c r="N6" s="5">
        <f ca="1">IFERROR(__xludf.DUMMYFUNCTION("IMPORTRANGE(""https://docs.google.com/spreadsheets/d/1rOGZhKHVnDGFqGTO7UNOJSkSJyQwVuEb2-yhWQit7lw/edit?gid=1656401641#gid=1656401641"", address(row($D4),column($D4),,,""FOSS LAB-N""))"),6)</f>
        <v>6</v>
      </c>
      <c r="O6" s="8">
        <f t="shared" ref="O6:O77" ca="1" si="7">N6/N$5*100</f>
        <v>17.142857142857142</v>
      </c>
      <c r="P6" s="5">
        <f ca="1">IFERROR(__xludf.DUMMYFUNCTION("IMPORTRANGE(""https://docs.google.com/spreadsheets/d/1rOGZhKHVnDGFqGTO7UNOJSkSJyQwVuEb2-yhWQit7lw/edit?gid=1022834346#gid=1022834346"", address(row($D4),column($D4),,,""PP-N""))"),8)</f>
        <v>8</v>
      </c>
      <c r="Q6" s="8">
        <f t="shared" ref="Q6:Q77" ca="1" si="8">P6/P$5*100</f>
        <v>24.242424242424242</v>
      </c>
      <c r="R6" s="5">
        <f ca="1">IFERROR(__xludf.DUMMYFUNCTION("IMPORTRANGE(""https://docs.google.com/spreadsheets/d/1rOGZhKHVnDGFqGTO7UNOJSkSJyQwVuEb2-yhWQit7lw/edit?gid=449441702#gid=449441702"", address(row($D4),column($D4),,,""NPTEL-N""))"),10)</f>
        <v>10</v>
      </c>
      <c r="S6" s="8">
        <f t="shared" ref="S6:S77" ca="1" si="9">R6/R$5*100</f>
        <v>35.714285714285715</v>
      </c>
      <c r="T6" s="6">
        <f ca="1">IFERROR(__xludf.DUMMYFUNCTION("IMPORTRANGE(""https://docs.google.com/spreadsheets/d/1rOGZhKHVnDGFqGTO7UNOJSkSJyQwVuEb2-yhWQit7lw/edit?gid=77662277#gid=77662277"", address(row($D4),column($D4),,,""CRT-N""))"),14)</f>
        <v>14</v>
      </c>
      <c r="U6" s="8">
        <f t="shared" ref="U6:U77" ca="1" si="10">T6/T$5*100</f>
        <v>20</v>
      </c>
      <c r="V6" s="6">
        <f t="shared" ca="1" si="0"/>
        <v>82</v>
      </c>
      <c r="W6" s="4">
        <f t="shared" ref="W6:W77" ca="1" si="11">ROUND(V6/$V$5*100,0)</f>
        <v>20</v>
      </c>
      <c r="X6" s="4">
        <v>0</v>
      </c>
      <c r="Y6" s="4">
        <v>0</v>
      </c>
      <c r="Z6" s="4">
        <f t="shared" ca="1" si="1"/>
        <v>82</v>
      </c>
      <c r="AA6" s="10">
        <f t="shared" ref="AA6:AA77" ca="1" si="12">ROUND(Z6/$Z$5*100,0)</f>
        <v>20</v>
      </c>
    </row>
    <row r="7" spans="1:27" ht="17.25" customHeight="1" x14ac:dyDescent="0.3">
      <c r="A7" s="8">
        <v>2</v>
      </c>
      <c r="B7" s="11" t="s">
        <v>177</v>
      </c>
      <c r="C7" s="11" t="s">
        <v>178</v>
      </c>
      <c r="D7" s="5">
        <f ca="1">IFERROR(__xludf.DUMMYFUNCTION("IMPORTRANGE(""https://docs.google.com/spreadsheets/d/1rOGZhKHVnDGFqGTO7UNOJSkSJyQwVuEb2-yhWQit7lw/edit?gid=1117406455#gid=1117406455"", address(row($D5),column($D5),,,""DM&amp;GT-N""))"),35)</f>
        <v>35</v>
      </c>
      <c r="E7" s="8">
        <f t="shared" ca="1" si="2"/>
        <v>89.743589743589752</v>
      </c>
      <c r="F7" s="5">
        <f ca="1">IFERROR(__xludf.DUMMYFUNCTION("IMPORTRANGE(""https://docs.google.com/spreadsheets/d/1rOGZhKHVnDGFqGTO7UNOJSkSJyQwVuEb2-yhWQit7lw/edit?gid=1808040716#gid=1808040716"", address(row($D5),column($D5),,,""UHV-N""))"),35)</f>
        <v>35</v>
      </c>
      <c r="G7" s="8">
        <f t="shared" ca="1" si="3"/>
        <v>100</v>
      </c>
      <c r="H7" s="5">
        <f ca="1">IFERROR(__xludf.DUMMYFUNCTION("IMPORTRANGE(""https://docs.google.com/spreadsheets/d/1rOGZhKHVnDGFqGTO7UNOJSkSJyQwVuEb2-yhWQit7lw/edit?gid=1058014760#gid=1058014760"", address(row($D5),column($D5),,,""DL&amp;CO-N""))"),34)</f>
        <v>34</v>
      </c>
      <c r="I7" s="8">
        <f t="shared" ca="1" si="4"/>
        <v>87.179487179487182</v>
      </c>
      <c r="J7" s="5">
        <f ca="1">IFERROR(__xludf.DUMMYFUNCTION("IMPORTRANGE(""https://docs.google.com/spreadsheets/d/1rOGZhKHVnDGFqGTO7UNOJSkSJyQwVuEb2-yhWQit7lw/edit?gid=2007015697#gid=2007015697"", address(row($D5),column($D5),,,""ADSA-N""))"),57)</f>
        <v>57</v>
      </c>
      <c r="K7" s="8">
        <f t="shared" ca="1" si="5"/>
        <v>86.36363636363636</v>
      </c>
      <c r="L7" s="5">
        <f ca="1">IFERROR(__xludf.DUMMYFUNCTION("IMPORTRANGE(""https://docs.google.com/spreadsheets/d/1rOGZhKHVnDGFqGTO7UNOJSkSJyQwVuEb2-yhWQit7lw/edit?gid=1926669029#gid=1926669029"", address(row($D5),column($D5),,,""JAVA-N""))"),60)</f>
        <v>60</v>
      </c>
      <c r="M7" s="8">
        <f t="shared" ca="1" si="6"/>
        <v>88.235294117647058</v>
      </c>
      <c r="N7" s="5">
        <f ca="1">IFERROR(__xludf.DUMMYFUNCTION("IMPORTRANGE(""https://docs.google.com/spreadsheets/d/1rOGZhKHVnDGFqGTO7UNOJSkSJyQwVuEb2-yhWQit7lw/edit?gid=1656401641#gid=1656401641"", address(row($D5),column($D5),,,""FOSS LAB-N""))"),26)</f>
        <v>26</v>
      </c>
      <c r="O7" s="8">
        <f t="shared" ca="1" si="7"/>
        <v>74.285714285714292</v>
      </c>
      <c r="P7" s="5">
        <f ca="1">IFERROR(__xludf.DUMMYFUNCTION("IMPORTRANGE(""https://docs.google.com/spreadsheets/d/1rOGZhKHVnDGFqGTO7UNOJSkSJyQwVuEb2-yhWQit7lw/edit?gid=1022834346#gid=1022834346"", address(row($D5),column($D5),,,""PP-N""))"),27)</f>
        <v>27</v>
      </c>
      <c r="Q7" s="8">
        <f t="shared" ca="1" si="8"/>
        <v>81.818181818181827</v>
      </c>
      <c r="R7" s="5">
        <f ca="1">IFERROR(__xludf.DUMMYFUNCTION("IMPORTRANGE(""https://docs.google.com/spreadsheets/d/1rOGZhKHVnDGFqGTO7UNOJSkSJyQwVuEb2-yhWQit7lw/edit?gid=449441702#gid=449441702"", address(row($D5),column($D5),,,""NPTEL-N""))"),28)</f>
        <v>28</v>
      </c>
      <c r="S7" s="5">
        <f t="shared" ca="1" si="9"/>
        <v>100</v>
      </c>
      <c r="T7" s="6">
        <f ca="1">IFERROR(__xludf.DUMMYFUNCTION("IMPORTRANGE(""https://docs.google.com/spreadsheets/d/1rOGZhKHVnDGFqGTO7UNOJSkSJyQwVuEb2-yhWQit7lw/edit?gid=77662277#gid=77662277"", address(row($D5),column($D5),,,""CRT-N""))"),70)</f>
        <v>70</v>
      </c>
      <c r="U7" s="8">
        <f t="shared" ca="1" si="10"/>
        <v>100</v>
      </c>
      <c r="V7" s="6">
        <f t="shared" ca="1" si="0"/>
        <v>372</v>
      </c>
      <c r="W7" s="4">
        <f t="shared" ca="1" si="11"/>
        <v>90</v>
      </c>
      <c r="X7" s="4">
        <v>0</v>
      </c>
      <c r="Y7" s="4">
        <v>0</v>
      </c>
      <c r="Z7" s="4">
        <f t="shared" ca="1" si="1"/>
        <v>372</v>
      </c>
      <c r="AA7" s="10">
        <f t="shared" ca="1" si="12"/>
        <v>90</v>
      </c>
    </row>
    <row r="8" spans="1:27" ht="17.25" customHeight="1" x14ac:dyDescent="0.3">
      <c r="A8" s="8">
        <v>3</v>
      </c>
      <c r="B8" s="11" t="s">
        <v>179</v>
      </c>
      <c r="C8" s="11" t="s">
        <v>180</v>
      </c>
      <c r="D8" s="5">
        <f ca="1">IFERROR(__xludf.DUMMYFUNCTION("IMPORTRANGE(""https://docs.google.com/spreadsheets/d/1rOGZhKHVnDGFqGTO7UNOJSkSJyQwVuEb2-yhWQit7lw/edit?gid=1117406455#gid=1117406455"", address(row($D6),column($D6),,,""DM&amp;GT-N""))"),36)</f>
        <v>36</v>
      </c>
      <c r="E8" s="8">
        <f t="shared" ca="1" si="2"/>
        <v>92.307692307692307</v>
      </c>
      <c r="F8" s="5">
        <f ca="1">IFERROR(__xludf.DUMMYFUNCTION("IMPORTRANGE(""https://docs.google.com/spreadsheets/d/1rOGZhKHVnDGFqGTO7UNOJSkSJyQwVuEb2-yhWQit7lw/edit?gid=1808040716#gid=1808040716"", address(row($D6),column($D6),,,""UHV-N""))"),35)</f>
        <v>35</v>
      </c>
      <c r="G8" s="8">
        <f t="shared" ca="1" si="3"/>
        <v>100</v>
      </c>
      <c r="H8" s="5">
        <f ca="1">IFERROR(__xludf.DUMMYFUNCTION("IMPORTRANGE(""https://docs.google.com/spreadsheets/d/1rOGZhKHVnDGFqGTO7UNOJSkSJyQwVuEb2-yhWQit7lw/edit?gid=1058014760#gid=1058014760"", address(row($D6),column($D6),,,""DL&amp;CO-N""))"),36)</f>
        <v>36</v>
      </c>
      <c r="I8" s="8">
        <f t="shared" ca="1" si="4"/>
        <v>92.307692307692307</v>
      </c>
      <c r="J8" s="5">
        <f ca="1">IFERROR(__xludf.DUMMYFUNCTION("IMPORTRANGE(""https://docs.google.com/spreadsheets/d/1rOGZhKHVnDGFqGTO7UNOJSkSJyQwVuEb2-yhWQit7lw/edit?gid=2007015697#gid=2007015697"", address(row($D6),column($D6),,,""ADSA-N""))"),59)</f>
        <v>59</v>
      </c>
      <c r="K8" s="8">
        <f t="shared" ca="1" si="5"/>
        <v>89.393939393939391</v>
      </c>
      <c r="L8" s="5">
        <f ca="1">IFERROR(__xludf.DUMMYFUNCTION("IMPORTRANGE(""https://docs.google.com/spreadsheets/d/1rOGZhKHVnDGFqGTO7UNOJSkSJyQwVuEb2-yhWQit7lw/edit?gid=1926669029#gid=1926669029"", address(row($D6),column($D6),,,""JAVA-N""))"),60)</f>
        <v>60</v>
      </c>
      <c r="M8" s="8">
        <f t="shared" ca="1" si="6"/>
        <v>88.235294117647058</v>
      </c>
      <c r="N8" s="5">
        <f ca="1">IFERROR(__xludf.DUMMYFUNCTION("IMPORTRANGE(""https://docs.google.com/spreadsheets/d/1rOGZhKHVnDGFqGTO7UNOJSkSJyQwVuEb2-yhWQit7lw/edit?gid=1656401641#gid=1656401641"", address(row($D6),column($D6),,,""FOSS LAB-N""))"),35)</f>
        <v>35</v>
      </c>
      <c r="O8" s="8">
        <f t="shared" ca="1" si="7"/>
        <v>100</v>
      </c>
      <c r="P8" s="5">
        <f ca="1">IFERROR(__xludf.DUMMYFUNCTION("IMPORTRANGE(""https://docs.google.com/spreadsheets/d/1rOGZhKHVnDGFqGTO7UNOJSkSJyQwVuEb2-yhWQit7lw/edit?gid=1022834346#gid=1022834346"", address(row($D6),column($D6),,,""PP-N""))"),29)</f>
        <v>29</v>
      </c>
      <c r="Q8" s="8">
        <f t="shared" ca="1" si="8"/>
        <v>87.878787878787875</v>
      </c>
      <c r="R8" s="5">
        <f ca="1">IFERROR(__xludf.DUMMYFUNCTION("IMPORTRANGE(""https://docs.google.com/spreadsheets/d/1rOGZhKHVnDGFqGTO7UNOJSkSJyQwVuEb2-yhWQit7lw/edit?gid=449441702#gid=449441702"", address(row($D6),column($D6),,,""NPTEL-N""))"),26)</f>
        <v>26</v>
      </c>
      <c r="S8" s="5">
        <f t="shared" ca="1" si="9"/>
        <v>92.857142857142861</v>
      </c>
      <c r="T8" s="6">
        <f ca="1">IFERROR(__xludf.DUMMYFUNCTION("IMPORTRANGE(""https://docs.google.com/spreadsheets/d/1rOGZhKHVnDGFqGTO7UNOJSkSJyQwVuEb2-yhWQit7lw/edit?gid=77662277#gid=77662277"", address(row($D6),column($D6),,,""CRT-N""))"),67)</f>
        <v>67</v>
      </c>
      <c r="U8" s="8">
        <f t="shared" ca="1" si="10"/>
        <v>95.714285714285722</v>
      </c>
      <c r="V8" s="6">
        <f t="shared" ca="1" si="0"/>
        <v>383</v>
      </c>
      <c r="W8" s="4">
        <f t="shared" ca="1" si="11"/>
        <v>93</v>
      </c>
      <c r="X8" s="4">
        <v>0</v>
      </c>
      <c r="Y8" s="4">
        <v>0</v>
      </c>
      <c r="Z8" s="4">
        <f t="shared" ca="1" si="1"/>
        <v>383</v>
      </c>
      <c r="AA8" s="10">
        <f t="shared" ca="1" si="12"/>
        <v>93</v>
      </c>
    </row>
    <row r="9" spans="1:27" ht="17.25" customHeight="1" x14ac:dyDescent="0.3">
      <c r="A9" s="8">
        <v>4</v>
      </c>
      <c r="B9" s="11" t="s">
        <v>181</v>
      </c>
      <c r="C9" s="11" t="s">
        <v>182</v>
      </c>
      <c r="D9" s="5">
        <f ca="1">IFERROR(__xludf.DUMMYFUNCTION("IMPORTRANGE(""https://docs.google.com/spreadsheets/d/1rOGZhKHVnDGFqGTO7UNOJSkSJyQwVuEb2-yhWQit7lw/edit?gid=1117406455#gid=1117406455"", address(row($D7),column($D7),,,""DM&amp;GT-N""))"),21)</f>
        <v>21</v>
      </c>
      <c r="E9" s="8">
        <f t="shared" ca="1" si="2"/>
        <v>53.846153846153847</v>
      </c>
      <c r="F9" s="5">
        <f ca="1">IFERROR(__xludf.DUMMYFUNCTION("IMPORTRANGE(""https://docs.google.com/spreadsheets/d/1rOGZhKHVnDGFqGTO7UNOJSkSJyQwVuEb2-yhWQit7lw/edit?gid=1808040716#gid=1808040716"", address(row($D7),column($D7),,,""UHV-N""))"),27)</f>
        <v>27</v>
      </c>
      <c r="G9" s="8">
        <f t="shared" ca="1" si="3"/>
        <v>77.142857142857153</v>
      </c>
      <c r="H9" s="5">
        <f ca="1">IFERROR(__xludf.DUMMYFUNCTION("IMPORTRANGE(""https://docs.google.com/spreadsheets/d/1rOGZhKHVnDGFqGTO7UNOJSkSJyQwVuEb2-yhWQit7lw/edit?gid=1058014760#gid=1058014760"", address(row($D7),column($D7),,,""DL&amp;CO-N""))"),21)</f>
        <v>21</v>
      </c>
      <c r="I9" s="8">
        <f t="shared" ca="1" si="4"/>
        <v>53.846153846153847</v>
      </c>
      <c r="J9" s="5">
        <f ca="1">IFERROR(__xludf.DUMMYFUNCTION("IMPORTRANGE(""https://docs.google.com/spreadsheets/d/1rOGZhKHVnDGFqGTO7UNOJSkSJyQwVuEb2-yhWQit7lw/edit?gid=2007015697#gid=2007015697"", address(row($D7),column($D7),,,""ADSA-N""))"),34)</f>
        <v>34</v>
      </c>
      <c r="K9" s="8">
        <f t="shared" ca="1" si="5"/>
        <v>51.515151515151516</v>
      </c>
      <c r="L9" s="5">
        <f ca="1">IFERROR(__xludf.DUMMYFUNCTION("IMPORTRANGE(""https://docs.google.com/spreadsheets/d/1rOGZhKHVnDGFqGTO7UNOJSkSJyQwVuEb2-yhWQit7lw/edit?gid=1926669029#gid=1926669029"", address(row($D7),column($D7),,,""JAVA-N""))"),33)</f>
        <v>33</v>
      </c>
      <c r="M9" s="8">
        <f t="shared" ca="1" si="6"/>
        <v>48.529411764705884</v>
      </c>
      <c r="N9" s="5">
        <f ca="1">IFERROR(__xludf.DUMMYFUNCTION("IMPORTRANGE(""https://docs.google.com/spreadsheets/d/1rOGZhKHVnDGFqGTO7UNOJSkSJyQwVuEb2-yhWQit7lw/edit?gid=1656401641#gid=1656401641"", address(row($D7),column($D7),,,""FOSS LAB-N""))"),26)</f>
        <v>26</v>
      </c>
      <c r="O9" s="8">
        <f t="shared" ca="1" si="7"/>
        <v>74.285714285714292</v>
      </c>
      <c r="P9" s="5">
        <f ca="1">IFERROR(__xludf.DUMMYFUNCTION("IMPORTRANGE(""https://docs.google.com/spreadsheets/d/1rOGZhKHVnDGFqGTO7UNOJSkSJyQwVuEb2-yhWQit7lw/edit?gid=1022834346#gid=1022834346"", address(row($D7),column($D7),,,""PP-N""))"),27)</f>
        <v>27</v>
      </c>
      <c r="Q9" s="8">
        <f t="shared" ca="1" si="8"/>
        <v>81.818181818181827</v>
      </c>
      <c r="R9" s="5">
        <f ca="1">IFERROR(__xludf.DUMMYFUNCTION("IMPORTRANGE(""https://docs.google.com/spreadsheets/d/1rOGZhKHVnDGFqGTO7UNOJSkSJyQwVuEb2-yhWQit7lw/edit?gid=449441702#gid=449441702"", address(row($D7),column($D7),,,""NPTEL-N""))"),22)</f>
        <v>22</v>
      </c>
      <c r="S9" s="5">
        <f t="shared" ca="1" si="9"/>
        <v>78.571428571428569</v>
      </c>
      <c r="T9" s="6">
        <f ca="1">IFERROR(__xludf.DUMMYFUNCTION("IMPORTRANGE(""https://docs.google.com/spreadsheets/d/1rOGZhKHVnDGFqGTO7UNOJSkSJyQwVuEb2-yhWQit7lw/edit?gid=77662277#gid=77662277"", address(row($D7),column($D7),,,""CRT-N""))"),63)</f>
        <v>63</v>
      </c>
      <c r="U9" s="8">
        <f t="shared" ca="1" si="10"/>
        <v>90</v>
      </c>
      <c r="V9" s="6">
        <f t="shared" ca="1" si="0"/>
        <v>274</v>
      </c>
      <c r="W9" s="4">
        <f t="shared" ca="1" si="11"/>
        <v>66</v>
      </c>
      <c r="X9" s="4">
        <v>0</v>
      </c>
      <c r="Y9" s="4">
        <v>0</v>
      </c>
      <c r="Z9" s="4">
        <f t="shared" ca="1" si="1"/>
        <v>274</v>
      </c>
      <c r="AA9" s="10">
        <f t="shared" ca="1" si="12"/>
        <v>66</v>
      </c>
    </row>
    <row r="10" spans="1:27" ht="17.25" customHeight="1" x14ac:dyDescent="0.3">
      <c r="A10" s="8">
        <v>5</v>
      </c>
      <c r="B10" s="11" t="s">
        <v>183</v>
      </c>
      <c r="C10" s="11" t="s">
        <v>184</v>
      </c>
      <c r="D10" s="5">
        <f ca="1">IFERROR(__xludf.DUMMYFUNCTION("IMPORTRANGE(""https://docs.google.com/spreadsheets/d/1rOGZhKHVnDGFqGTO7UNOJSkSJyQwVuEb2-yhWQit7lw/edit?gid=1117406455#gid=1117406455"", address(row($D8),column($D8),,,""DM&amp;GT-N""))"),22)</f>
        <v>22</v>
      </c>
      <c r="E10" s="8">
        <f t="shared" ca="1" si="2"/>
        <v>56.410256410256409</v>
      </c>
      <c r="F10" s="5">
        <f ca="1">IFERROR(__xludf.DUMMYFUNCTION("IMPORTRANGE(""https://docs.google.com/spreadsheets/d/1rOGZhKHVnDGFqGTO7UNOJSkSJyQwVuEb2-yhWQit7lw/edit?gid=1808040716#gid=1808040716"", address(row($D8),column($D8),,,""UHV-N""))"),20)</f>
        <v>20</v>
      </c>
      <c r="G10" s="8">
        <f t="shared" ca="1" si="3"/>
        <v>57.142857142857139</v>
      </c>
      <c r="H10" s="5">
        <f ca="1">IFERROR(__xludf.DUMMYFUNCTION("IMPORTRANGE(""https://docs.google.com/spreadsheets/d/1rOGZhKHVnDGFqGTO7UNOJSkSJyQwVuEb2-yhWQit7lw/edit?gid=1058014760#gid=1058014760"", address(row($D8),column($D8),,,""DL&amp;CO-N""))"),21)</f>
        <v>21</v>
      </c>
      <c r="I10" s="8">
        <f t="shared" ca="1" si="4"/>
        <v>53.846153846153847</v>
      </c>
      <c r="J10" s="5">
        <f ca="1">IFERROR(__xludf.DUMMYFUNCTION("IMPORTRANGE(""https://docs.google.com/spreadsheets/d/1rOGZhKHVnDGFqGTO7UNOJSkSJyQwVuEb2-yhWQit7lw/edit?gid=2007015697#gid=2007015697"", address(row($D8),column($D8),,,""ADSA-N""))"),35)</f>
        <v>35</v>
      </c>
      <c r="K10" s="8">
        <f t="shared" ca="1" si="5"/>
        <v>53.030303030303031</v>
      </c>
      <c r="L10" s="5">
        <f ca="1">IFERROR(__xludf.DUMMYFUNCTION("IMPORTRANGE(""https://docs.google.com/spreadsheets/d/1rOGZhKHVnDGFqGTO7UNOJSkSJyQwVuEb2-yhWQit7lw/edit?gid=1926669029#gid=1926669029"", address(row($D8),column($D8),,,""JAVA-N""))"),37)</f>
        <v>37</v>
      </c>
      <c r="M10" s="8">
        <f t="shared" ca="1" si="6"/>
        <v>54.411764705882348</v>
      </c>
      <c r="N10" s="5">
        <f ca="1">IFERROR(__xludf.DUMMYFUNCTION("IMPORTRANGE(""https://docs.google.com/spreadsheets/d/1rOGZhKHVnDGFqGTO7UNOJSkSJyQwVuEb2-yhWQit7lw/edit?gid=1656401641#gid=1656401641"", address(row($D8),column($D8),,,""FOSS LAB-N""))"),23)</f>
        <v>23</v>
      </c>
      <c r="O10" s="8">
        <f t="shared" ca="1" si="7"/>
        <v>65.714285714285708</v>
      </c>
      <c r="P10" s="5">
        <f ca="1">IFERROR(__xludf.DUMMYFUNCTION("IMPORTRANGE(""https://docs.google.com/spreadsheets/d/1rOGZhKHVnDGFqGTO7UNOJSkSJyQwVuEb2-yhWQit7lw/edit?gid=1022834346#gid=1022834346"", address(row($D8),column($D8),,,""PP-N""))"),17)</f>
        <v>17</v>
      </c>
      <c r="Q10" s="8">
        <f t="shared" ca="1" si="8"/>
        <v>51.515151515151516</v>
      </c>
      <c r="R10" s="5">
        <f ca="1">IFERROR(__xludf.DUMMYFUNCTION("IMPORTRANGE(""https://docs.google.com/spreadsheets/d/1rOGZhKHVnDGFqGTO7UNOJSkSJyQwVuEb2-yhWQit7lw/edit?gid=449441702#gid=449441702"", address(row($D8),column($D8),,,""NPTEL-N""))"),16)</f>
        <v>16</v>
      </c>
      <c r="S10" s="5">
        <f t="shared" ca="1" si="9"/>
        <v>57.142857142857139</v>
      </c>
      <c r="T10" s="6">
        <f ca="1">IFERROR(__xludf.DUMMYFUNCTION("IMPORTRANGE(""https://docs.google.com/spreadsheets/d/1rOGZhKHVnDGFqGTO7UNOJSkSJyQwVuEb2-yhWQit7lw/edit?gid=77662277#gid=77662277"", address(row($D8),column($D8),,,""CRT-N""))"),18)</f>
        <v>18</v>
      </c>
      <c r="U10" s="8">
        <f t="shared" ca="1" si="10"/>
        <v>25.714285714285712</v>
      </c>
      <c r="V10" s="6">
        <f t="shared" ca="1" si="0"/>
        <v>209</v>
      </c>
      <c r="W10" s="4">
        <f t="shared" ca="1" si="11"/>
        <v>51</v>
      </c>
      <c r="X10" s="4">
        <v>0</v>
      </c>
      <c r="Y10" s="4">
        <v>0</v>
      </c>
      <c r="Z10" s="4">
        <f t="shared" ca="1" si="1"/>
        <v>209</v>
      </c>
      <c r="AA10" s="10">
        <f t="shared" ca="1" si="12"/>
        <v>51</v>
      </c>
    </row>
    <row r="11" spans="1:27" ht="17.25" customHeight="1" x14ac:dyDescent="0.3">
      <c r="A11" s="8">
        <v>6</v>
      </c>
      <c r="B11" s="11" t="s">
        <v>185</v>
      </c>
      <c r="C11" s="11" t="s">
        <v>186</v>
      </c>
      <c r="D11" s="5">
        <f ca="1">IFERROR(__xludf.DUMMYFUNCTION("IMPORTRANGE(""https://docs.google.com/spreadsheets/d/1rOGZhKHVnDGFqGTO7UNOJSkSJyQwVuEb2-yhWQit7lw/edit?gid=1117406455#gid=1117406455"", address(row($D9),column($D9),,,""DM&amp;GT-N""))"),27)</f>
        <v>27</v>
      </c>
      <c r="E11" s="8">
        <f t="shared" ca="1" si="2"/>
        <v>69.230769230769226</v>
      </c>
      <c r="F11" s="5">
        <f ca="1">IFERROR(__xludf.DUMMYFUNCTION("IMPORTRANGE(""https://docs.google.com/spreadsheets/d/1rOGZhKHVnDGFqGTO7UNOJSkSJyQwVuEb2-yhWQit7lw/edit?gid=1808040716#gid=1808040716"", address(row($D9),column($D9),,,""UHV-N""))"),24)</f>
        <v>24</v>
      </c>
      <c r="G11" s="8">
        <f t="shared" ca="1" si="3"/>
        <v>68.571428571428569</v>
      </c>
      <c r="H11" s="5">
        <f ca="1">IFERROR(__xludf.DUMMYFUNCTION("IMPORTRANGE(""https://docs.google.com/spreadsheets/d/1rOGZhKHVnDGFqGTO7UNOJSkSJyQwVuEb2-yhWQit7lw/edit?gid=1058014760#gid=1058014760"", address(row($D9),column($D9),,,""DL&amp;CO-N""))"),25)</f>
        <v>25</v>
      </c>
      <c r="I11" s="8">
        <f t="shared" ca="1" si="4"/>
        <v>64.102564102564102</v>
      </c>
      <c r="J11" s="5">
        <f ca="1">IFERROR(__xludf.DUMMYFUNCTION("IMPORTRANGE(""https://docs.google.com/spreadsheets/d/1rOGZhKHVnDGFqGTO7UNOJSkSJyQwVuEb2-yhWQit7lw/edit?gid=2007015697#gid=2007015697"", address(row($D9),column($D9),,,""ADSA-N""))"),40)</f>
        <v>40</v>
      </c>
      <c r="K11" s="8">
        <f t="shared" ca="1" si="5"/>
        <v>60.606060606060609</v>
      </c>
      <c r="L11" s="5">
        <f ca="1">IFERROR(__xludf.DUMMYFUNCTION("IMPORTRANGE(""https://docs.google.com/spreadsheets/d/1rOGZhKHVnDGFqGTO7UNOJSkSJyQwVuEb2-yhWQit7lw/edit?gid=1926669029#gid=1926669029"", address(row($D9),column($D9),,,""JAVA-N""))"),45)</f>
        <v>45</v>
      </c>
      <c r="M11" s="8">
        <f t="shared" ca="1" si="6"/>
        <v>66.17647058823529</v>
      </c>
      <c r="N11" s="5">
        <f ca="1">IFERROR(__xludf.DUMMYFUNCTION("IMPORTRANGE(""https://docs.google.com/spreadsheets/d/1rOGZhKHVnDGFqGTO7UNOJSkSJyQwVuEb2-yhWQit7lw/edit?gid=1656401641#gid=1656401641"", address(row($D9),column($D9),,,""FOSS LAB-N""))"),24)</f>
        <v>24</v>
      </c>
      <c r="O11" s="8">
        <f t="shared" ca="1" si="7"/>
        <v>68.571428571428569</v>
      </c>
      <c r="P11" s="5">
        <f ca="1">IFERROR(__xludf.DUMMYFUNCTION("IMPORTRANGE(""https://docs.google.com/spreadsheets/d/1rOGZhKHVnDGFqGTO7UNOJSkSJyQwVuEb2-yhWQit7lw/edit?gid=1022834346#gid=1022834346"", address(row($D9),column($D9),,,""PP-N""))"),26)</f>
        <v>26</v>
      </c>
      <c r="Q11" s="8">
        <f t="shared" ca="1" si="8"/>
        <v>78.787878787878782</v>
      </c>
      <c r="R11" s="5">
        <f ca="1">IFERROR(__xludf.DUMMYFUNCTION("IMPORTRANGE(""https://docs.google.com/spreadsheets/d/1rOGZhKHVnDGFqGTO7UNOJSkSJyQwVuEb2-yhWQit7lw/edit?gid=449441702#gid=449441702"", address(row($D9),column($D9),,,""NPTEL-N""))"),22)</f>
        <v>22</v>
      </c>
      <c r="S11" s="5">
        <f t="shared" ca="1" si="9"/>
        <v>78.571428571428569</v>
      </c>
      <c r="T11" s="6">
        <f ca="1">IFERROR(__xludf.DUMMYFUNCTION("IMPORTRANGE(""https://docs.google.com/spreadsheets/d/1rOGZhKHVnDGFqGTO7UNOJSkSJyQwVuEb2-yhWQit7lw/edit?gid=77662277#gid=77662277"", address(row($D9),column($D9),,,""CRT-N""))"),58)</f>
        <v>58</v>
      </c>
      <c r="U11" s="8">
        <f t="shared" ca="1" si="10"/>
        <v>82.857142857142861</v>
      </c>
      <c r="V11" s="6">
        <f t="shared" ca="1" si="0"/>
        <v>291</v>
      </c>
      <c r="W11" s="4">
        <f t="shared" ca="1" si="11"/>
        <v>70</v>
      </c>
      <c r="X11" s="4">
        <v>0</v>
      </c>
      <c r="Y11" s="4">
        <v>0</v>
      </c>
      <c r="Z11" s="4">
        <f t="shared" ca="1" si="1"/>
        <v>291</v>
      </c>
      <c r="AA11" s="10">
        <f t="shared" ca="1" si="12"/>
        <v>70</v>
      </c>
    </row>
    <row r="12" spans="1:27" ht="17.25" customHeight="1" x14ac:dyDescent="0.3">
      <c r="A12" s="8">
        <v>7</v>
      </c>
      <c r="B12" s="11" t="s">
        <v>187</v>
      </c>
      <c r="C12" s="11" t="s">
        <v>188</v>
      </c>
      <c r="D12" s="5">
        <f ca="1">IFERROR(__xludf.DUMMYFUNCTION("IMPORTRANGE(""https://docs.google.com/spreadsheets/d/1rOGZhKHVnDGFqGTO7UNOJSkSJyQwVuEb2-yhWQit7lw/edit?gid=1117406455#gid=1117406455"", address(row($D10),column($D10),,,""DM&amp;GT-N""))"),17)</f>
        <v>17</v>
      </c>
      <c r="E12" s="8">
        <f t="shared" ca="1" si="2"/>
        <v>43.589743589743591</v>
      </c>
      <c r="F12" s="5">
        <f ca="1">IFERROR(__xludf.DUMMYFUNCTION("IMPORTRANGE(""https://docs.google.com/spreadsheets/d/1rOGZhKHVnDGFqGTO7UNOJSkSJyQwVuEb2-yhWQit7lw/edit?gid=1808040716#gid=1808040716"", address(row($D10),column($D10),,,""UHV-N""))"),15)</f>
        <v>15</v>
      </c>
      <c r="G12" s="8">
        <f t="shared" ca="1" si="3"/>
        <v>42.857142857142854</v>
      </c>
      <c r="H12" s="5">
        <f ca="1">IFERROR(__xludf.DUMMYFUNCTION("IMPORTRANGE(""https://docs.google.com/spreadsheets/d/1rOGZhKHVnDGFqGTO7UNOJSkSJyQwVuEb2-yhWQit7lw/edit?gid=1058014760#gid=1058014760"", address(row($D10),column($D10),,,""DL&amp;CO-N""))"),14)</f>
        <v>14</v>
      </c>
      <c r="I12" s="8">
        <f t="shared" ca="1" si="4"/>
        <v>35.897435897435898</v>
      </c>
      <c r="J12" s="5">
        <f ca="1">IFERROR(__xludf.DUMMYFUNCTION("IMPORTRANGE(""https://docs.google.com/spreadsheets/d/1rOGZhKHVnDGFqGTO7UNOJSkSJyQwVuEb2-yhWQit7lw/edit?gid=2007015697#gid=2007015697"", address(row($D10),column($D10),,,""ADSA-N""))"),24)</f>
        <v>24</v>
      </c>
      <c r="K12" s="8">
        <f t="shared" ca="1" si="5"/>
        <v>36.363636363636367</v>
      </c>
      <c r="L12" s="5">
        <f ca="1">IFERROR(__xludf.DUMMYFUNCTION("IMPORTRANGE(""https://docs.google.com/spreadsheets/d/1rOGZhKHVnDGFqGTO7UNOJSkSJyQwVuEb2-yhWQit7lw/edit?gid=1926669029#gid=1926669029"", address(row($D10),column($D10),,,""JAVA-N""))"),23)</f>
        <v>23</v>
      </c>
      <c r="M12" s="8">
        <f t="shared" ca="1" si="6"/>
        <v>33.82352941176471</v>
      </c>
      <c r="N12" s="5">
        <f ca="1">IFERROR(__xludf.DUMMYFUNCTION("IMPORTRANGE(""https://docs.google.com/spreadsheets/d/1rOGZhKHVnDGFqGTO7UNOJSkSJyQwVuEb2-yhWQit7lw/edit?gid=1656401641#gid=1656401641"", address(row($D10),column($D10),,,""FOSS LAB-N""))"),15)</f>
        <v>15</v>
      </c>
      <c r="O12" s="8">
        <f t="shared" ca="1" si="7"/>
        <v>42.857142857142854</v>
      </c>
      <c r="P12" s="5">
        <f ca="1">IFERROR(__xludf.DUMMYFUNCTION("IMPORTRANGE(""https://docs.google.com/spreadsheets/d/1rOGZhKHVnDGFqGTO7UNOJSkSJyQwVuEb2-yhWQit7lw/edit?gid=1022834346#gid=1022834346"", address(row($D10),column($D10),,,""PP-N""))"),12)</f>
        <v>12</v>
      </c>
      <c r="Q12" s="8">
        <f t="shared" ca="1" si="8"/>
        <v>36.363636363636367</v>
      </c>
      <c r="R12" s="5">
        <f ca="1">IFERROR(__xludf.DUMMYFUNCTION("IMPORTRANGE(""https://docs.google.com/spreadsheets/d/1rOGZhKHVnDGFqGTO7UNOJSkSJyQwVuEb2-yhWQit7lw/edit?gid=449441702#gid=449441702"", address(row($D10),column($D10),,,""NPTEL-N""))"),14)</f>
        <v>14</v>
      </c>
      <c r="S12" s="5">
        <f t="shared" ca="1" si="9"/>
        <v>50</v>
      </c>
      <c r="T12" s="6">
        <f ca="1">IFERROR(__xludf.DUMMYFUNCTION("IMPORTRANGE(""https://docs.google.com/spreadsheets/d/1rOGZhKHVnDGFqGTO7UNOJSkSJyQwVuEb2-yhWQit7lw/edit?gid=77662277#gid=77662277"", address(row($D10),column($D10),,,""CRT-N""))"),63)</f>
        <v>63</v>
      </c>
      <c r="U12" s="8">
        <f t="shared" ca="1" si="10"/>
        <v>90</v>
      </c>
      <c r="V12" s="6">
        <f t="shared" ca="1" si="0"/>
        <v>197</v>
      </c>
      <c r="W12" s="4">
        <f t="shared" ca="1" si="11"/>
        <v>48</v>
      </c>
      <c r="X12" s="4">
        <v>0</v>
      </c>
      <c r="Y12" s="4">
        <v>0</v>
      </c>
      <c r="Z12" s="4">
        <f t="shared" ca="1" si="1"/>
        <v>197</v>
      </c>
      <c r="AA12" s="10">
        <f t="shared" ca="1" si="12"/>
        <v>48</v>
      </c>
    </row>
    <row r="13" spans="1:27" ht="17.25" customHeight="1" x14ac:dyDescent="0.3">
      <c r="A13" s="8">
        <v>8</v>
      </c>
      <c r="B13" s="11" t="s">
        <v>189</v>
      </c>
      <c r="C13" s="11" t="s">
        <v>190</v>
      </c>
      <c r="D13" s="5">
        <f ca="1">IFERROR(__xludf.DUMMYFUNCTION("IMPORTRANGE(""https://docs.google.com/spreadsheets/d/1rOGZhKHVnDGFqGTO7UNOJSkSJyQwVuEb2-yhWQit7lw/edit?gid=1117406455#gid=1117406455"", address(row($D11),column($D11),,,""DM&amp;GT-N""))"),17)</f>
        <v>17</v>
      </c>
      <c r="E13" s="8">
        <f t="shared" ca="1" si="2"/>
        <v>43.589743589743591</v>
      </c>
      <c r="F13" s="5">
        <f ca="1">IFERROR(__xludf.DUMMYFUNCTION("IMPORTRANGE(""https://docs.google.com/spreadsheets/d/1rOGZhKHVnDGFqGTO7UNOJSkSJyQwVuEb2-yhWQit7lw/edit?gid=1808040716#gid=1808040716"", address(row($D11),column($D11),,,""UHV-N""))"),16)</f>
        <v>16</v>
      </c>
      <c r="G13" s="8">
        <f t="shared" ca="1" si="3"/>
        <v>45.714285714285715</v>
      </c>
      <c r="H13" s="5">
        <f ca="1">IFERROR(__xludf.DUMMYFUNCTION("IMPORTRANGE(""https://docs.google.com/spreadsheets/d/1rOGZhKHVnDGFqGTO7UNOJSkSJyQwVuEb2-yhWQit7lw/edit?gid=1058014760#gid=1058014760"", address(row($D11),column($D11),,,""DL&amp;CO-N""))"),15)</f>
        <v>15</v>
      </c>
      <c r="I13" s="8">
        <f t="shared" ca="1" si="4"/>
        <v>38.461538461538467</v>
      </c>
      <c r="J13" s="5">
        <f ca="1">IFERROR(__xludf.DUMMYFUNCTION("IMPORTRANGE(""https://docs.google.com/spreadsheets/d/1rOGZhKHVnDGFqGTO7UNOJSkSJyQwVuEb2-yhWQit7lw/edit?gid=2007015697#gid=2007015697"", address(row($D11),column($D11),,,""ADSA-N""))"),36)</f>
        <v>36</v>
      </c>
      <c r="K13" s="8">
        <f t="shared" ca="1" si="5"/>
        <v>54.54545454545454</v>
      </c>
      <c r="L13" s="5">
        <f ca="1">IFERROR(__xludf.DUMMYFUNCTION("IMPORTRANGE(""https://docs.google.com/spreadsheets/d/1rOGZhKHVnDGFqGTO7UNOJSkSJyQwVuEb2-yhWQit7lw/edit?gid=1926669029#gid=1926669029"", address(row($D11),column($D11),,,""JAVA-N""))"),39)</f>
        <v>39</v>
      </c>
      <c r="M13" s="8">
        <f t="shared" ca="1" si="6"/>
        <v>57.352941176470587</v>
      </c>
      <c r="N13" s="5">
        <f ca="1">IFERROR(__xludf.DUMMYFUNCTION("IMPORTRANGE(""https://docs.google.com/spreadsheets/d/1rOGZhKHVnDGFqGTO7UNOJSkSJyQwVuEb2-yhWQit7lw/edit?gid=1656401641#gid=1656401641"", address(row($D11),column($D11),,,""FOSS LAB-N""))"),17)</f>
        <v>17</v>
      </c>
      <c r="O13" s="8">
        <f t="shared" ca="1" si="7"/>
        <v>48.571428571428569</v>
      </c>
      <c r="P13" s="5">
        <f ca="1">IFERROR(__xludf.DUMMYFUNCTION("IMPORTRANGE(""https://docs.google.com/spreadsheets/d/1rOGZhKHVnDGFqGTO7UNOJSkSJyQwVuEb2-yhWQit7lw/edit?gid=1022834346#gid=1022834346"", address(row($D11),column($D11),,,""PP-N""))"),23)</f>
        <v>23</v>
      </c>
      <c r="Q13" s="8">
        <f t="shared" ca="1" si="8"/>
        <v>69.696969696969703</v>
      </c>
      <c r="R13" s="5">
        <f ca="1">IFERROR(__xludf.DUMMYFUNCTION("IMPORTRANGE(""https://docs.google.com/spreadsheets/d/1rOGZhKHVnDGFqGTO7UNOJSkSJyQwVuEb2-yhWQit7lw/edit?gid=449441702#gid=449441702"", address(row($D11),column($D11),,,""NPTEL-N""))"),18)</f>
        <v>18</v>
      </c>
      <c r="S13" s="5">
        <f t="shared" ca="1" si="9"/>
        <v>64.285714285714292</v>
      </c>
      <c r="T13" s="6">
        <f ca="1">IFERROR(__xludf.DUMMYFUNCTION("IMPORTRANGE(""https://docs.google.com/spreadsheets/d/1rOGZhKHVnDGFqGTO7UNOJSkSJyQwVuEb2-yhWQit7lw/edit?gid=77662277#gid=77662277"", address(row($D11),column($D11),,,""CRT-N""))"),46)</f>
        <v>46</v>
      </c>
      <c r="U13" s="8">
        <f t="shared" ca="1" si="10"/>
        <v>65.714285714285708</v>
      </c>
      <c r="V13" s="6">
        <f t="shared" ca="1" si="0"/>
        <v>227</v>
      </c>
      <c r="W13" s="4">
        <f t="shared" ca="1" si="11"/>
        <v>55</v>
      </c>
      <c r="X13" s="4">
        <v>0</v>
      </c>
      <c r="Y13" s="4">
        <v>0</v>
      </c>
      <c r="Z13" s="4">
        <f t="shared" ca="1" si="1"/>
        <v>227</v>
      </c>
      <c r="AA13" s="10">
        <f t="shared" ca="1" si="12"/>
        <v>55</v>
      </c>
    </row>
    <row r="14" spans="1:27" ht="17.25" customHeight="1" x14ac:dyDescent="0.3">
      <c r="A14" s="8">
        <v>9</v>
      </c>
      <c r="B14" s="11" t="s">
        <v>191</v>
      </c>
      <c r="C14" s="11" t="s">
        <v>192</v>
      </c>
      <c r="D14" s="5">
        <f ca="1">IFERROR(__xludf.DUMMYFUNCTION("IMPORTRANGE(""https://docs.google.com/spreadsheets/d/1rOGZhKHVnDGFqGTO7UNOJSkSJyQwVuEb2-yhWQit7lw/edit?gid=1117406455#gid=1117406455"", address(row($D12),column($D12),,,""DM&amp;GT-N""))"),28)</f>
        <v>28</v>
      </c>
      <c r="E14" s="8">
        <f t="shared" ca="1" si="2"/>
        <v>71.794871794871796</v>
      </c>
      <c r="F14" s="5">
        <f ca="1">IFERROR(__xludf.DUMMYFUNCTION("IMPORTRANGE(""https://docs.google.com/spreadsheets/d/1rOGZhKHVnDGFqGTO7UNOJSkSJyQwVuEb2-yhWQit7lw/edit?gid=1808040716#gid=1808040716"", address(row($D12),column($D12),,,""UHV-N""))"),29)</f>
        <v>29</v>
      </c>
      <c r="G14" s="8">
        <f t="shared" ca="1" si="3"/>
        <v>82.857142857142861</v>
      </c>
      <c r="H14" s="5">
        <f ca="1">IFERROR(__xludf.DUMMYFUNCTION("IMPORTRANGE(""https://docs.google.com/spreadsheets/d/1rOGZhKHVnDGFqGTO7UNOJSkSJyQwVuEb2-yhWQit7lw/edit?gid=1058014760#gid=1058014760"", address(row($D12),column($D12),,,""DL&amp;CO-N""))"),28)</f>
        <v>28</v>
      </c>
      <c r="I14" s="8">
        <f t="shared" ca="1" si="4"/>
        <v>71.794871794871796</v>
      </c>
      <c r="J14" s="5">
        <f ca="1">IFERROR(__xludf.DUMMYFUNCTION("IMPORTRANGE(""https://docs.google.com/spreadsheets/d/1rOGZhKHVnDGFqGTO7UNOJSkSJyQwVuEb2-yhWQit7lw/edit?gid=2007015697#gid=2007015697"", address(row($D12),column($D12),,,""ADSA-N""))"),45)</f>
        <v>45</v>
      </c>
      <c r="K14" s="8">
        <f t="shared" ca="1" si="5"/>
        <v>68.181818181818173</v>
      </c>
      <c r="L14" s="5">
        <f ca="1">IFERROR(__xludf.DUMMYFUNCTION("IMPORTRANGE(""https://docs.google.com/spreadsheets/d/1rOGZhKHVnDGFqGTO7UNOJSkSJyQwVuEb2-yhWQit7lw/edit?gid=1926669029#gid=1926669029"", address(row($D12),column($D12),,,""JAVA-N""))"),50)</f>
        <v>50</v>
      </c>
      <c r="M14" s="8">
        <f t="shared" ca="1" si="6"/>
        <v>73.529411764705884</v>
      </c>
      <c r="N14" s="5">
        <f ca="1">IFERROR(__xludf.DUMMYFUNCTION("IMPORTRANGE(""https://docs.google.com/spreadsheets/d/1rOGZhKHVnDGFqGTO7UNOJSkSJyQwVuEb2-yhWQit7lw/edit?gid=1656401641#gid=1656401641"", address(row($D12),column($D12),,,""FOSS LAB-N""))"),26)</f>
        <v>26</v>
      </c>
      <c r="O14" s="8">
        <f t="shared" ca="1" si="7"/>
        <v>74.285714285714292</v>
      </c>
      <c r="P14" s="5">
        <f ca="1">IFERROR(__xludf.DUMMYFUNCTION("IMPORTRANGE(""https://docs.google.com/spreadsheets/d/1rOGZhKHVnDGFqGTO7UNOJSkSJyQwVuEb2-yhWQit7lw/edit?gid=1022834346#gid=1022834346"", address(row($D12),column($D12),,,""PP-N""))"),25)</f>
        <v>25</v>
      </c>
      <c r="Q14" s="8">
        <f t="shared" ca="1" si="8"/>
        <v>75.757575757575751</v>
      </c>
      <c r="R14" s="5">
        <f ca="1">IFERROR(__xludf.DUMMYFUNCTION("IMPORTRANGE(""https://docs.google.com/spreadsheets/d/1rOGZhKHVnDGFqGTO7UNOJSkSJyQwVuEb2-yhWQit7lw/edit?gid=449441702#gid=449441702"", address(row($D12),column($D12),,,""NPTEL-N""))"),26)</f>
        <v>26</v>
      </c>
      <c r="S14" s="5">
        <f t="shared" ca="1" si="9"/>
        <v>92.857142857142861</v>
      </c>
      <c r="T14" s="6">
        <f ca="1">IFERROR(__xludf.DUMMYFUNCTION("IMPORTRANGE(""https://docs.google.com/spreadsheets/d/1rOGZhKHVnDGFqGTO7UNOJSkSJyQwVuEb2-yhWQit7lw/edit?gid=77662277#gid=77662277"", address(row($D12),column($D12),,,""CRT-N""))"),70)</f>
        <v>70</v>
      </c>
      <c r="U14" s="8">
        <f t="shared" ca="1" si="10"/>
        <v>100</v>
      </c>
      <c r="V14" s="6">
        <f t="shared" ca="1" si="0"/>
        <v>327</v>
      </c>
      <c r="W14" s="4">
        <f t="shared" ca="1" si="11"/>
        <v>79</v>
      </c>
      <c r="X14" s="4">
        <v>0</v>
      </c>
      <c r="Y14" s="4">
        <v>0</v>
      </c>
      <c r="Z14" s="4">
        <f t="shared" ca="1" si="1"/>
        <v>327</v>
      </c>
      <c r="AA14" s="10">
        <f t="shared" ca="1" si="12"/>
        <v>79</v>
      </c>
    </row>
    <row r="15" spans="1:27" ht="17.25" customHeight="1" x14ac:dyDescent="0.3">
      <c r="A15" s="8">
        <v>10</v>
      </c>
      <c r="B15" s="11" t="s">
        <v>193</v>
      </c>
      <c r="C15" s="11" t="s">
        <v>194</v>
      </c>
      <c r="D15" s="5">
        <f ca="1">IFERROR(__xludf.DUMMYFUNCTION("IMPORTRANGE(""https://docs.google.com/spreadsheets/d/1rOGZhKHVnDGFqGTO7UNOJSkSJyQwVuEb2-yhWQit7lw/edit?gid=1117406455#gid=1117406455"", address(row($D13),column($D13),,,""DM&amp;GT-N""))"),22)</f>
        <v>22</v>
      </c>
      <c r="E15" s="8">
        <f t="shared" ca="1" si="2"/>
        <v>56.410256410256409</v>
      </c>
      <c r="F15" s="5">
        <f ca="1">IFERROR(__xludf.DUMMYFUNCTION("IMPORTRANGE(""https://docs.google.com/spreadsheets/d/1rOGZhKHVnDGFqGTO7UNOJSkSJyQwVuEb2-yhWQit7lw/edit?gid=1808040716#gid=1808040716"", address(row($D13),column($D13),,,""UHV-N""))"),21)</f>
        <v>21</v>
      </c>
      <c r="G15" s="8">
        <f t="shared" ca="1" si="3"/>
        <v>60</v>
      </c>
      <c r="H15" s="5">
        <f ca="1">IFERROR(__xludf.DUMMYFUNCTION("IMPORTRANGE(""https://docs.google.com/spreadsheets/d/1rOGZhKHVnDGFqGTO7UNOJSkSJyQwVuEb2-yhWQit7lw/edit?gid=1058014760#gid=1058014760"", address(row($D13),column($D13),,,""DL&amp;CO-N""))"),20)</f>
        <v>20</v>
      </c>
      <c r="I15" s="8">
        <f t="shared" ca="1" si="4"/>
        <v>51.282051282051277</v>
      </c>
      <c r="J15" s="5">
        <f ca="1">IFERROR(__xludf.DUMMYFUNCTION("IMPORTRANGE(""https://docs.google.com/spreadsheets/d/1rOGZhKHVnDGFqGTO7UNOJSkSJyQwVuEb2-yhWQit7lw/edit?gid=2007015697#gid=2007015697"", address(row($D13),column($D13),,,""ADSA-N""))"),31)</f>
        <v>31</v>
      </c>
      <c r="K15" s="8">
        <f t="shared" ca="1" si="5"/>
        <v>46.969696969696969</v>
      </c>
      <c r="L15" s="5">
        <f ca="1">IFERROR(__xludf.DUMMYFUNCTION("IMPORTRANGE(""https://docs.google.com/spreadsheets/d/1rOGZhKHVnDGFqGTO7UNOJSkSJyQwVuEb2-yhWQit7lw/edit?gid=1926669029#gid=1926669029"", address(row($D13),column($D13),,,""JAVA-N""))"),31)</f>
        <v>31</v>
      </c>
      <c r="M15" s="8">
        <f t="shared" ca="1" si="6"/>
        <v>45.588235294117645</v>
      </c>
      <c r="N15" s="5">
        <f ca="1">IFERROR(__xludf.DUMMYFUNCTION("IMPORTRANGE(""https://docs.google.com/spreadsheets/d/1rOGZhKHVnDGFqGTO7UNOJSkSJyQwVuEb2-yhWQit7lw/edit?gid=1656401641#gid=1656401641"", address(row($D13),column($D13),,,""FOSS LAB-N""))"),17)</f>
        <v>17</v>
      </c>
      <c r="O15" s="8">
        <f t="shared" ca="1" si="7"/>
        <v>48.571428571428569</v>
      </c>
      <c r="P15" s="5">
        <f ca="1">IFERROR(__xludf.DUMMYFUNCTION("IMPORTRANGE(""https://docs.google.com/spreadsheets/d/1rOGZhKHVnDGFqGTO7UNOJSkSJyQwVuEb2-yhWQit7lw/edit?gid=1022834346#gid=1022834346"", address(row($D13),column($D13),,,""PP-N""))"),21)</f>
        <v>21</v>
      </c>
      <c r="Q15" s="8">
        <f t="shared" ca="1" si="8"/>
        <v>63.636363636363633</v>
      </c>
      <c r="R15" s="5">
        <f ca="1">IFERROR(__xludf.DUMMYFUNCTION("IMPORTRANGE(""https://docs.google.com/spreadsheets/d/1rOGZhKHVnDGFqGTO7UNOJSkSJyQwVuEb2-yhWQit7lw/edit?gid=449441702#gid=449441702"", address(row($D13),column($D13),,,""NPTEL-N""))"),18)</f>
        <v>18</v>
      </c>
      <c r="S15" s="5">
        <f t="shared" ca="1" si="9"/>
        <v>64.285714285714292</v>
      </c>
      <c r="T15" s="6">
        <f ca="1">IFERROR(__xludf.DUMMYFUNCTION("IMPORTRANGE(""https://docs.google.com/spreadsheets/d/1rOGZhKHVnDGFqGTO7UNOJSkSJyQwVuEb2-yhWQit7lw/edit?gid=77662277#gid=77662277"", address(row($D13),column($D13),,,""CRT-N""))"),35)</f>
        <v>35</v>
      </c>
      <c r="U15" s="8">
        <f t="shared" ca="1" si="10"/>
        <v>50</v>
      </c>
      <c r="V15" s="6">
        <f t="shared" ca="1" si="0"/>
        <v>216</v>
      </c>
      <c r="W15" s="4">
        <f t="shared" ca="1" si="11"/>
        <v>52</v>
      </c>
      <c r="X15" s="4">
        <v>0</v>
      </c>
      <c r="Y15" s="4">
        <v>0</v>
      </c>
      <c r="Z15" s="4">
        <f t="shared" ca="1" si="1"/>
        <v>216</v>
      </c>
      <c r="AA15" s="10">
        <f t="shared" ca="1" si="12"/>
        <v>52</v>
      </c>
    </row>
    <row r="16" spans="1:27" ht="17.25" customHeight="1" x14ac:dyDescent="0.3">
      <c r="A16" s="8">
        <v>11</v>
      </c>
      <c r="B16" s="11" t="s">
        <v>195</v>
      </c>
      <c r="C16" s="11" t="s">
        <v>196</v>
      </c>
      <c r="D16" s="5">
        <f ca="1">IFERROR(__xludf.DUMMYFUNCTION("IMPORTRANGE(""https://docs.google.com/spreadsheets/d/1rOGZhKHVnDGFqGTO7UNOJSkSJyQwVuEb2-yhWQit7lw/edit?gid=1117406455#gid=1117406455"", address(row($D14),column($D14),,,""DM&amp;GT-N""))"),14)</f>
        <v>14</v>
      </c>
      <c r="E16" s="8">
        <f t="shared" ca="1" si="2"/>
        <v>35.897435897435898</v>
      </c>
      <c r="F16" s="5">
        <f ca="1">IFERROR(__xludf.DUMMYFUNCTION("IMPORTRANGE(""https://docs.google.com/spreadsheets/d/1rOGZhKHVnDGFqGTO7UNOJSkSJyQwVuEb2-yhWQit7lw/edit?gid=1808040716#gid=1808040716"", address(row($D14),column($D14),,,""UHV-N""))"),14)</f>
        <v>14</v>
      </c>
      <c r="G16" s="8">
        <f t="shared" ca="1" si="3"/>
        <v>40</v>
      </c>
      <c r="H16" s="5">
        <f ca="1">IFERROR(__xludf.DUMMYFUNCTION("IMPORTRANGE(""https://docs.google.com/spreadsheets/d/1rOGZhKHVnDGFqGTO7UNOJSkSJyQwVuEb2-yhWQit7lw/edit?gid=1058014760#gid=1058014760"", address(row($D14),column($D14),,,""DL&amp;CO-N""))"),14)</f>
        <v>14</v>
      </c>
      <c r="I16" s="8">
        <f t="shared" ca="1" si="4"/>
        <v>35.897435897435898</v>
      </c>
      <c r="J16" s="5">
        <f ca="1">IFERROR(__xludf.DUMMYFUNCTION("IMPORTRANGE(""https://docs.google.com/spreadsheets/d/1rOGZhKHVnDGFqGTO7UNOJSkSJyQwVuEb2-yhWQit7lw/edit?gid=2007015697#gid=2007015697"", address(row($D14),column($D14),,,""ADSA-N""))"),31)</f>
        <v>31</v>
      </c>
      <c r="K16" s="8">
        <f t="shared" ca="1" si="5"/>
        <v>46.969696969696969</v>
      </c>
      <c r="L16" s="5">
        <f ca="1">IFERROR(__xludf.DUMMYFUNCTION("IMPORTRANGE(""https://docs.google.com/spreadsheets/d/1rOGZhKHVnDGFqGTO7UNOJSkSJyQwVuEb2-yhWQit7lw/edit?gid=1926669029#gid=1926669029"", address(row($D14),column($D14),,,""JAVA-N""))"),30)</f>
        <v>30</v>
      </c>
      <c r="M16" s="8">
        <f t="shared" ca="1" si="6"/>
        <v>44.117647058823529</v>
      </c>
      <c r="N16" s="5">
        <f ca="1">IFERROR(__xludf.DUMMYFUNCTION("IMPORTRANGE(""https://docs.google.com/spreadsheets/d/1rOGZhKHVnDGFqGTO7UNOJSkSJyQwVuEb2-yhWQit7lw/edit?gid=1656401641#gid=1656401641"", address(row($D14),column($D14),,,""FOSS LAB-N""))"),26)</f>
        <v>26</v>
      </c>
      <c r="O16" s="8">
        <f t="shared" ca="1" si="7"/>
        <v>74.285714285714292</v>
      </c>
      <c r="P16" s="5">
        <f ca="1">IFERROR(__xludf.DUMMYFUNCTION("IMPORTRANGE(""https://docs.google.com/spreadsheets/d/1rOGZhKHVnDGFqGTO7UNOJSkSJyQwVuEb2-yhWQit7lw/edit?gid=1022834346#gid=1022834346"", address(row($D14),column($D14),,,""PP-N""))"),15)</f>
        <v>15</v>
      </c>
      <c r="Q16" s="8">
        <f t="shared" ca="1" si="8"/>
        <v>45.454545454545453</v>
      </c>
      <c r="R16" s="5">
        <f ca="1">IFERROR(__xludf.DUMMYFUNCTION("IMPORTRANGE(""https://docs.google.com/spreadsheets/d/1rOGZhKHVnDGFqGTO7UNOJSkSJyQwVuEb2-yhWQit7lw/edit?gid=449441702#gid=449441702"", address(row($D14),column($D14),,,""NPTEL-N""))"),16)</f>
        <v>16</v>
      </c>
      <c r="S16" s="5">
        <f t="shared" ca="1" si="9"/>
        <v>57.142857142857139</v>
      </c>
      <c r="T16" s="6">
        <f ca="1">IFERROR(__xludf.DUMMYFUNCTION("IMPORTRANGE(""https://docs.google.com/spreadsheets/d/1rOGZhKHVnDGFqGTO7UNOJSkSJyQwVuEb2-yhWQit7lw/edit?gid=77662277#gid=77662277"", address(row($D14),column($D14),,,""CRT-N""))"),21)</f>
        <v>21</v>
      </c>
      <c r="U16" s="8">
        <f t="shared" ca="1" si="10"/>
        <v>30</v>
      </c>
      <c r="V16" s="6">
        <f t="shared" ca="1" si="0"/>
        <v>181</v>
      </c>
      <c r="W16" s="4">
        <f t="shared" ca="1" si="11"/>
        <v>44</v>
      </c>
      <c r="X16" s="4">
        <v>0</v>
      </c>
      <c r="Y16" s="4">
        <v>0</v>
      </c>
      <c r="Z16" s="4">
        <f t="shared" ca="1" si="1"/>
        <v>181</v>
      </c>
      <c r="AA16" s="10">
        <f t="shared" ca="1" si="12"/>
        <v>44</v>
      </c>
    </row>
    <row r="17" spans="1:27" ht="17.25" customHeight="1" x14ac:dyDescent="0.3">
      <c r="A17" s="8">
        <v>12</v>
      </c>
      <c r="B17" s="11" t="s">
        <v>197</v>
      </c>
      <c r="C17" s="11" t="s">
        <v>198</v>
      </c>
      <c r="D17" s="5">
        <f ca="1">IFERROR(__xludf.DUMMYFUNCTION("IMPORTRANGE(""https://docs.google.com/spreadsheets/d/1rOGZhKHVnDGFqGTO7UNOJSkSJyQwVuEb2-yhWQit7lw/edit?gid=1117406455#gid=1117406455"", address(row($D15),column($D15),,,""DM&amp;GT-N""))"),23)</f>
        <v>23</v>
      </c>
      <c r="E17" s="8">
        <f t="shared" ca="1" si="2"/>
        <v>58.974358974358978</v>
      </c>
      <c r="F17" s="5">
        <f ca="1">IFERROR(__xludf.DUMMYFUNCTION("IMPORTRANGE(""https://docs.google.com/spreadsheets/d/1rOGZhKHVnDGFqGTO7UNOJSkSJyQwVuEb2-yhWQit7lw/edit?gid=1808040716#gid=1808040716"", address(row($D15),column($D15),,,""UHV-N""))"),24)</f>
        <v>24</v>
      </c>
      <c r="G17" s="8">
        <f t="shared" ca="1" si="3"/>
        <v>68.571428571428569</v>
      </c>
      <c r="H17" s="5">
        <f ca="1">IFERROR(__xludf.DUMMYFUNCTION("IMPORTRANGE(""https://docs.google.com/spreadsheets/d/1rOGZhKHVnDGFqGTO7UNOJSkSJyQwVuEb2-yhWQit7lw/edit?gid=1058014760#gid=1058014760"", address(row($D15),column($D15),,,""DL&amp;CO-N""))"),23)</f>
        <v>23</v>
      </c>
      <c r="I17" s="8">
        <f t="shared" ca="1" si="4"/>
        <v>58.974358974358978</v>
      </c>
      <c r="J17" s="5">
        <f ca="1">IFERROR(__xludf.DUMMYFUNCTION("IMPORTRANGE(""https://docs.google.com/spreadsheets/d/1rOGZhKHVnDGFqGTO7UNOJSkSJyQwVuEb2-yhWQit7lw/edit?gid=2007015697#gid=2007015697"", address(row($D15),column($D15),,,""ADSA-N""))"),38)</f>
        <v>38</v>
      </c>
      <c r="K17" s="8">
        <f t="shared" ca="1" si="5"/>
        <v>57.575757575757578</v>
      </c>
      <c r="L17" s="5">
        <f ca="1">IFERROR(__xludf.DUMMYFUNCTION("IMPORTRANGE(""https://docs.google.com/spreadsheets/d/1rOGZhKHVnDGFqGTO7UNOJSkSJyQwVuEb2-yhWQit7lw/edit?gid=1926669029#gid=1926669029"", address(row($D15),column($D15),,,""JAVA-N""))"),39)</f>
        <v>39</v>
      </c>
      <c r="M17" s="8">
        <f t="shared" ca="1" si="6"/>
        <v>57.352941176470587</v>
      </c>
      <c r="N17" s="5">
        <f ca="1">IFERROR(__xludf.DUMMYFUNCTION("IMPORTRANGE(""https://docs.google.com/spreadsheets/d/1rOGZhKHVnDGFqGTO7UNOJSkSJyQwVuEb2-yhWQit7lw/edit?gid=1656401641#gid=1656401641"", address(row($D15),column($D15),,,""FOSS LAB-N""))"),23)</f>
        <v>23</v>
      </c>
      <c r="O17" s="8">
        <f t="shared" ca="1" si="7"/>
        <v>65.714285714285708</v>
      </c>
      <c r="P17" s="5">
        <f ca="1">IFERROR(__xludf.DUMMYFUNCTION("IMPORTRANGE(""https://docs.google.com/spreadsheets/d/1rOGZhKHVnDGFqGTO7UNOJSkSJyQwVuEb2-yhWQit7lw/edit?gid=1022834346#gid=1022834346"", address(row($D15),column($D15),,,""PP-N""))"),20)</f>
        <v>20</v>
      </c>
      <c r="Q17" s="8">
        <f t="shared" ca="1" si="8"/>
        <v>60.606060606060609</v>
      </c>
      <c r="R17" s="5">
        <f ca="1">IFERROR(__xludf.DUMMYFUNCTION("IMPORTRANGE(""https://docs.google.com/spreadsheets/d/1rOGZhKHVnDGFqGTO7UNOJSkSJyQwVuEb2-yhWQit7lw/edit?gid=449441702#gid=449441702"", address(row($D15),column($D15),,,""NPTEL-N""))"),24)</f>
        <v>24</v>
      </c>
      <c r="S17" s="5">
        <f t="shared" ca="1" si="9"/>
        <v>85.714285714285708</v>
      </c>
      <c r="T17" s="6">
        <f ca="1">IFERROR(__xludf.DUMMYFUNCTION("IMPORTRANGE(""https://docs.google.com/spreadsheets/d/1rOGZhKHVnDGFqGTO7UNOJSkSJyQwVuEb2-yhWQit7lw/edit?gid=77662277#gid=77662277"", address(row($D15),column($D15),,,""CRT-N""))"),70)</f>
        <v>70</v>
      </c>
      <c r="U17" s="8">
        <f t="shared" ca="1" si="10"/>
        <v>100</v>
      </c>
      <c r="V17" s="6">
        <f t="shared" ca="1" si="0"/>
        <v>284</v>
      </c>
      <c r="W17" s="4">
        <f t="shared" ca="1" si="11"/>
        <v>69</v>
      </c>
      <c r="X17" s="4">
        <v>0</v>
      </c>
      <c r="Y17" s="4">
        <v>0</v>
      </c>
      <c r="Z17" s="4">
        <f t="shared" ca="1" si="1"/>
        <v>284</v>
      </c>
      <c r="AA17" s="10">
        <f t="shared" ca="1" si="12"/>
        <v>69</v>
      </c>
    </row>
    <row r="18" spans="1:27" ht="17.25" customHeight="1" x14ac:dyDescent="0.3">
      <c r="A18" s="8">
        <v>13</v>
      </c>
      <c r="B18" s="11" t="s">
        <v>199</v>
      </c>
      <c r="C18" s="11" t="s">
        <v>200</v>
      </c>
      <c r="D18" s="5">
        <f ca="1">IFERROR(__xludf.DUMMYFUNCTION("IMPORTRANGE(""https://docs.google.com/spreadsheets/d/1rOGZhKHVnDGFqGTO7UNOJSkSJyQwVuEb2-yhWQit7lw/edit?gid=1117406455#gid=1117406455"", address(row($D16),column($D16),,,""DM&amp;GT-N""))"),17)</f>
        <v>17</v>
      </c>
      <c r="E18" s="8">
        <f t="shared" ca="1" si="2"/>
        <v>43.589743589743591</v>
      </c>
      <c r="F18" s="5">
        <f ca="1">IFERROR(__xludf.DUMMYFUNCTION("IMPORTRANGE(""https://docs.google.com/spreadsheets/d/1rOGZhKHVnDGFqGTO7UNOJSkSJyQwVuEb2-yhWQit7lw/edit?gid=1808040716#gid=1808040716"", address(row($D16),column($D16),,,""UHV-N""))"),19)</f>
        <v>19</v>
      </c>
      <c r="G18" s="8">
        <f t="shared" ca="1" si="3"/>
        <v>54.285714285714285</v>
      </c>
      <c r="H18" s="5">
        <f ca="1">IFERROR(__xludf.DUMMYFUNCTION("IMPORTRANGE(""https://docs.google.com/spreadsheets/d/1rOGZhKHVnDGFqGTO7UNOJSkSJyQwVuEb2-yhWQit7lw/edit?gid=1058014760#gid=1058014760"", address(row($D16),column($D16),,,""DL&amp;CO-N""))"),17)</f>
        <v>17</v>
      </c>
      <c r="I18" s="8">
        <f t="shared" ca="1" si="4"/>
        <v>43.589743589743591</v>
      </c>
      <c r="J18" s="5">
        <f ca="1">IFERROR(__xludf.DUMMYFUNCTION("IMPORTRANGE(""https://docs.google.com/spreadsheets/d/1rOGZhKHVnDGFqGTO7UNOJSkSJyQwVuEb2-yhWQit7lw/edit?gid=2007015697#gid=2007015697"", address(row($D16),column($D16),,,""ADSA-N""))"),34)</f>
        <v>34</v>
      </c>
      <c r="K18" s="8">
        <f t="shared" ca="1" si="5"/>
        <v>51.515151515151516</v>
      </c>
      <c r="L18" s="5">
        <f ca="1">IFERROR(__xludf.DUMMYFUNCTION("IMPORTRANGE(""https://docs.google.com/spreadsheets/d/1rOGZhKHVnDGFqGTO7UNOJSkSJyQwVuEb2-yhWQit7lw/edit?gid=1926669029#gid=1926669029"", address(row($D16),column($D16),,,""JAVA-N""))"),37)</f>
        <v>37</v>
      </c>
      <c r="M18" s="8">
        <f t="shared" ca="1" si="6"/>
        <v>54.411764705882348</v>
      </c>
      <c r="N18" s="5">
        <f ca="1">IFERROR(__xludf.DUMMYFUNCTION("IMPORTRANGE(""https://docs.google.com/spreadsheets/d/1rOGZhKHVnDGFqGTO7UNOJSkSJyQwVuEb2-yhWQit7lw/edit?gid=1656401641#gid=1656401641"", address(row($D16),column($D16),,,""FOSS LAB-N""))"),15)</f>
        <v>15</v>
      </c>
      <c r="O18" s="8">
        <f t="shared" ca="1" si="7"/>
        <v>42.857142857142854</v>
      </c>
      <c r="P18" s="5">
        <f ca="1">IFERROR(__xludf.DUMMYFUNCTION("IMPORTRANGE(""https://docs.google.com/spreadsheets/d/1rOGZhKHVnDGFqGTO7UNOJSkSJyQwVuEb2-yhWQit7lw/edit?gid=1022834346#gid=1022834346"", address(row($D16),column($D16),,,""PP-N""))"),24)</f>
        <v>24</v>
      </c>
      <c r="Q18" s="8">
        <f t="shared" ca="1" si="8"/>
        <v>72.727272727272734</v>
      </c>
      <c r="R18" s="5">
        <f ca="1">IFERROR(__xludf.DUMMYFUNCTION("IMPORTRANGE(""https://docs.google.com/spreadsheets/d/1rOGZhKHVnDGFqGTO7UNOJSkSJyQwVuEb2-yhWQit7lw/edit?gid=449441702#gid=449441702"", address(row($D16),column($D16),,,""NPTEL-N""))"),20)</f>
        <v>20</v>
      </c>
      <c r="S18" s="5">
        <f t="shared" ca="1" si="9"/>
        <v>71.428571428571431</v>
      </c>
      <c r="T18" s="6">
        <f ca="1">IFERROR(__xludf.DUMMYFUNCTION("IMPORTRANGE(""https://docs.google.com/spreadsheets/d/1rOGZhKHVnDGFqGTO7UNOJSkSJyQwVuEb2-yhWQit7lw/edit?gid=77662277#gid=77662277"", address(row($D16),column($D16),,,""CRT-N""))"),57)</f>
        <v>57</v>
      </c>
      <c r="U18" s="8">
        <f t="shared" ca="1" si="10"/>
        <v>81.428571428571431</v>
      </c>
      <c r="V18" s="6">
        <f t="shared" ca="1" si="0"/>
        <v>240</v>
      </c>
      <c r="W18" s="4">
        <f t="shared" ca="1" si="11"/>
        <v>58</v>
      </c>
      <c r="X18" s="4">
        <v>0</v>
      </c>
      <c r="Y18" s="4">
        <v>0</v>
      </c>
      <c r="Z18" s="4">
        <f t="shared" ca="1" si="1"/>
        <v>240</v>
      </c>
      <c r="AA18" s="10">
        <f t="shared" ca="1" si="12"/>
        <v>58</v>
      </c>
    </row>
    <row r="19" spans="1:27" ht="17.25" customHeight="1" x14ac:dyDescent="0.3">
      <c r="A19" s="8">
        <v>14</v>
      </c>
      <c r="B19" s="11" t="s">
        <v>201</v>
      </c>
      <c r="C19" s="11" t="s">
        <v>202</v>
      </c>
      <c r="D19" s="5">
        <f ca="1">IFERROR(__xludf.DUMMYFUNCTION("IMPORTRANGE(""https://docs.google.com/spreadsheets/d/1rOGZhKHVnDGFqGTO7UNOJSkSJyQwVuEb2-yhWQit7lw/edit?gid=1117406455#gid=1117406455"", address(row($D17),column($D17),,,""DM&amp;GT-N""))"),30)</f>
        <v>30</v>
      </c>
      <c r="E19" s="8">
        <f t="shared" ca="1" si="2"/>
        <v>76.923076923076934</v>
      </c>
      <c r="F19" s="5">
        <f ca="1">IFERROR(__xludf.DUMMYFUNCTION("IMPORTRANGE(""https://docs.google.com/spreadsheets/d/1rOGZhKHVnDGFqGTO7UNOJSkSJyQwVuEb2-yhWQit7lw/edit?gid=1808040716#gid=1808040716"", address(row($D17),column($D17),,,""UHV-N""))"),29)</f>
        <v>29</v>
      </c>
      <c r="G19" s="8">
        <f t="shared" ca="1" si="3"/>
        <v>82.857142857142861</v>
      </c>
      <c r="H19" s="5">
        <f ca="1">IFERROR(__xludf.DUMMYFUNCTION("IMPORTRANGE(""https://docs.google.com/spreadsheets/d/1rOGZhKHVnDGFqGTO7UNOJSkSJyQwVuEb2-yhWQit7lw/edit?gid=1058014760#gid=1058014760"", address(row($D17),column($D17),,,""DL&amp;CO-N""))"),30)</f>
        <v>30</v>
      </c>
      <c r="I19" s="8">
        <f t="shared" ca="1" si="4"/>
        <v>76.923076923076934</v>
      </c>
      <c r="J19" s="5">
        <f ca="1">IFERROR(__xludf.DUMMYFUNCTION("IMPORTRANGE(""https://docs.google.com/spreadsheets/d/1rOGZhKHVnDGFqGTO7UNOJSkSJyQwVuEb2-yhWQit7lw/edit?gid=2007015697#gid=2007015697"", address(row($D17),column($D17),,,""ADSA-N""))"),50)</f>
        <v>50</v>
      </c>
      <c r="K19" s="8">
        <f t="shared" ca="1" si="5"/>
        <v>75.757575757575751</v>
      </c>
      <c r="L19" s="5">
        <f ca="1">IFERROR(__xludf.DUMMYFUNCTION("IMPORTRANGE(""https://docs.google.com/spreadsheets/d/1rOGZhKHVnDGFqGTO7UNOJSkSJyQwVuEb2-yhWQit7lw/edit?gid=1926669029#gid=1926669029"", address(row($D17),column($D17),,,""JAVA-N""))"),52)</f>
        <v>52</v>
      </c>
      <c r="M19" s="8">
        <f t="shared" ca="1" si="6"/>
        <v>76.470588235294116</v>
      </c>
      <c r="N19" s="5">
        <f ca="1">IFERROR(__xludf.DUMMYFUNCTION("IMPORTRANGE(""https://docs.google.com/spreadsheets/d/1rOGZhKHVnDGFqGTO7UNOJSkSJyQwVuEb2-yhWQit7lw/edit?gid=1656401641#gid=1656401641"", address(row($D17),column($D17),,,""FOSS LAB-N""))"),32)</f>
        <v>32</v>
      </c>
      <c r="O19" s="8">
        <f t="shared" ca="1" si="7"/>
        <v>91.428571428571431</v>
      </c>
      <c r="P19" s="5">
        <f ca="1">IFERROR(__xludf.DUMMYFUNCTION("IMPORTRANGE(""https://docs.google.com/spreadsheets/d/1rOGZhKHVnDGFqGTO7UNOJSkSJyQwVuEb2-yhWQit7lw/edit?gid=1022834346#gid=1022834346"", address(row($D17),column($D17),,,""PP-N""))"),29)</f>
        <v>29</v>
      </c>
      <c r="Q19" s="8">
        <f t="shared" ca="1" si="8"/>
        <v>87.878787878787875</v>
      </c>
      <c r="R19" s="5">
        <f ca="1">IFERROR(__xludf.DUMMYFUNCTION("IMPORTRANGE(""https://docs.google.com/spreadsheets/d/1rOGZhKHVnDGFqGTO7UNOJSkSJyQwVuEb2-yhWQit7lw/edit?gid=449441702#gid=449441702"", address(row($D17),column($D17),,,""NPTEL-N""))"),24)</f>
        <v>24</v>
      </c>
      <c r="S19" s="5">
        <f t="shared" ca="1" si="9"/>
        <v>85.714285714285708</v>
      </c>
      <c r="T19" s="6">
        <f ca="1">IFERROR(__xludf.DUMMYFUNCTION("IMPORTRANGE(""https://docs.google.com/spreadsheets/d/1rOGZhKHVnDGFqGTO7UNOJSkSJyQwVuEb2-yhWQit7lw/edit?gid=77662277#gid=77662277"", address(row($D17),column($D17),,,""CRT-N""))"),70)</f>
        <v>70</v>
      </c>
      <c r="U19" s="8">
        <f t="shared" ca="1" si="10"/>
        <v>100</v>
      </c>
      <c r="V19" s="6">
        <f t="shared" ca="1" si="0"/>
        <v>346</v>
      </c>
      <c r="W19" s="4">
        <f t="shared" ca="1" si="11"/>
        <v>84</v>
      </c>
      <c r="X19" s="4">
        <v>0</v>
      </c>
      <c r="Y19" s="4">
        <v>0</v>
      </c>
      <c r="Z19" s="4">
        <f t="shared" ca="1" si="1"/>
        <v>346</v>
      </c>
      <c r="AA19" s="10">
        <f t="shared" ca="1" si="12"/>
        <v>84</v>
      </c>
    </row>
    <row r="20" spans="1:27" ht="17.25" customHeight="1" x14ac:dyDescent="0.3">
      <c r="A20" s="8">
        <v>15</v>
      </c>
      <c r="B20" s="11" t="s">
        <v>203</v>
      </c>
      <c r="C20" s="11" t="s">
        <v>204</v>
      </c>
      <c r="D20" s="5">
        <f ca="1">IFERROR(__xludf.DUMMYFUNCTION("IMPORTRANGE(""https://docs.google.com/spreadsheets/d/1rOGZhKHVnDGFqGTO7UNOJSkSJyQwVuEb2-yhWQit7lw/edit?gid=1117406455#gid=1117406455"", address(row($D18),column($D18),,,""DM&amp;GT-N""))"),21)</f>
        <v>21</v>
      </c>
      <c r="E20" s="8">
        <f t="shared" ca="1" si="2"/>
        <v>53.846153846153847</v>
      </c>
      <c r="F20" s="5">
        <f ca="1">IFERROR(__xludf.DUMMYFUNCTION("IMPORTRANGE(""https://docs.google.com/spreadsheets/d/1rOGZhKHVnDGFqGTO7UNOJSkSJyQwVuEb2-yhWQit7lw/edit?gid=1808040716#gid=1808040716"", address(row($D18),column($D18),,,""UHV-N""))"),16)</f>
        <v>16</v>
      </c>
      <c r="G20" s="8">
        <f t="shared" ca="1" si="3"/>
        <v>45.714285714285715</v>
      </c>
      <c r="H20" s="5">
        <f ca="1">IFERROR(__xludf.DUMMYFUNCTION("IMPORTRANGE(""https://docs.google.com/spreadsheets/d/1rOGZhKHVnDGFqGTO7UNOJSkSJyQwVuEb2-yhWQit7lw/edit?gid=1058014760#gid=1058014760"", address(row($D18),column($D18),,,""DL&amp;CO-N""))"),19)</f>
        <v>19</v>
      </c>
      <c r="I20" s="8">
        <f t="shared" ca="1" si="4"/>
        <v>48.717948717948715</v>
      </c>
      <c r="J20" s="5">
        <f ca="1">IFERROR(__xludf.DUMMYFUNCTION("IMPORTRANGE(""https://docs.google.com/spreadsheets/d/1rOGZhKHVnDGFqGTO7UNOJSkSJyQwVuEb2-yhWQit7lw/edit?gid=2007015697#gid=2007015697"", address(row($D18),column($D18),,,""ADSA-N""))"),31)</f>
        <v>31</v>
      </c>
      <c r="K20" s="8">
        <f t="shared" ca="1" si="5"/>
        <v>46.969696969696969</v>
      </c>
      <c r="L20" s="5">
        <f ca="1">IFERROR(__xludf.DUMMYFUNCTION("IMPORTRANGE(""https://docs.google.com/spreadsheets/d/1rOGZhKHVnDGFqGTO7UNOJSkSJyQwVuEb2-yhWQit7lw/edit?gid=1926669029#gid=1926669029"", address(row($D18),column($D18),,,""JAVA-N""))"),38)</f>
        <v>38</v>
      </c>
      <c r="M20" s="8">
        <f t="shared" ca="1" si="6"/>
        <v>55.882352941176471</v>
      </c>
      <c r="N20" s="5">
        <f ca="1">IFERROR(__xludf.DUMMYFUNCTION("IMPORTRANGE(""https://docs.google.com/spreadsheets/d/1rOGZhKHVnDGFqGTO7UNOJSkSJyQwVuEb2-yhWQit7lw/edit?gid=1656401641#gid=1656401641"", address(row($D18),column($D18),,,""FOSS LAB-N""))"),20)</f>
        <v>20</v>
      </c>
      <c r="O20" s="8">
        <f t="shared" ca="1" si="7"/>
        <v>57.142857142857139</v>
      </c>
      <c r="P20" s="5">
        <f ca="1">IFERROR(__xludf.DUMMYFUNCTION("IMPORTRANGE(""https://docs.google.com/spreadsheets/d/1rOGZhKHVnDGFqGTO7UNOJSkSJyQwVuEb2-yhWQit7lw/edit?gid=1022834346#gid=1022834346"", address(row($D18),column($D18),,,""PP-N""))"),19)</f>
        <v>19</v>
      </c>
      <c r="Q20" s="8">
        <f t="shared" ca="1" si="8"/>
        <v>57.575757575757578</v>
      </c>
      <c r="R20" s="5">
        <f ca="1">IFERROR(__xludf.DUMMYFUNCTION("IMPORTRANGE(""https://docs.google.com/spreadsheets/d/1rOGZhKHVnDGFqGTO7UNOJSkSJyQwVuEb2-yhWQit7lw/edit?gid=449441702#gid=449441702"", address(row($D18),column($D18),,,""NPTEL-N""))"),18)</f>
        <v>18</v>
      </c>
      <c r="S20" s="5">
        <f t="shared" ca="1" si="9"/>
        <v>64.285714285714292</v>
      </c>
      <c r="T20" s="6">
        <f ca="1">IFERROR(__xludf.DUMMYFUNCTION("IMPORTRANGE(""https://docs.google.com/spreadsheets/d/1rOGZhKHVnDGFqGTO7UNOJSkSJyQwVuEb2-yhWQit7lw/edit?gid=77662277#gid=77662277"", address(row($D18),column($D18),,,""CRT-N""))"),70)</f>
        <v>70</v>
      </c>
      <c r="U20" s="8">
        <f t="shared" ca="1" si="10"/>
        <v>100</v>
      </c>
      <c r="V20" s="6">
        <f t="shared" ca="1" si="0"/>
        <v>252</v>
      </c>
      <c r="W20" s="4">
        <f t="shared" ca="1" si="11"/>
        <v>61</v>
      </c>
      <c r="X20" s="4">
        <v>0</v>
      </c>
      <c r="Y20" s="4">
        <v>0</v>
      </c>
      <c r="Z20" s="4">
        <f t="shared" ca="1" si="1"/>
        <v>252</v>
      </c>
      <c r="AA20" s="10">
        <f t="shared" ca="1" si="12"/>
        <v>61</v>
      </c>
    </row>
    <row r="21" spans="1:27" ht="15.85" customHeight="1" x14ac:dyDescent="0.3">
      <c r="A21" s="8">
        <v>16</v>
      </c>
      <c r="B21" s="11" t="s">
        <v>205</v>
      </c>
      <c r="C21" s="11" t="s">
        <v>206</v>
      </c>
      <c r="D21" s="5">
        <f ca="1">IFERROR(__xludf.DUMMYFUNCTION("IMPORTRANGE(""https://docs.google.com/spreadsheets/d/1rOGZhKHVnDGFqGTO7UNOJSkSJyQwVuEb2-yhWQit7lw/edit?gid=1117406455#gid=1117406455"", address(row($D19),column($D19),,,""DM&amp;GT-N""))"),29)</f>
        <v>29</v>
      </c>
      <c r="E21" s="8">
        <f t="shared" ca="1" si="2"/>
        <v>74.358974358974365</v>
      </c>
      <c r="F21" s="5">
        <f ca="1">IFERROR(__xludf.DUMMYFUNCTION("IMPORTRANGE(""https://docs.google.com/spreadsheets/d/1rOGZhKHVnDGFqGTO7UNOJSkSJyQwVuEb2-yhWQit7lw/edit?gid=1808040716#gid=1808040716"", address(row($D19),column($D19),,,""UHV-N""))"),31)</f>
        <v>31</v>
      </c>
      <c r="G21" s="8">
        <f t="shared" ca="1" si="3"/>
        <v>88.571428571428569</v>
      </c>
      <c r="H21" s="5">
        <f ca="1">IFERROR(__xludf.DUMMYFUNCTION("IMPORTRANGE(""https://docs.google.com/spreadsheets/d/1rOGZhKHVnDGFqGTO7UNOJSkSJyQwVuEb2-yhWQit7lw/edit?gid=1058014760#gid=1058014760"", address(row($D19),column($D19),,,""DL&amp;CO-N""))"),29)</f>
        <v>29</v>
      </c>
      <c r="I21" s="8">
        <f t="shared" ca="1" si="4"/>
        <v>74.358974358974365</v>
      </c>
      <c r="J21" s="5">
        <f ca="1">IFERROR(__xludf.DUMMYFUNCTION("IMPORTRANGE(""https://docs.google.com/spreadsheets/d/1rOGZhKHVnDGFqGTO7UNOJSkSJyQwVuEb2-yhWQit7lw/edit?gid=2007015697#gid=2007015697"", address(row($D19),column($D19),,,""ADSA-N""))"),52)</f>
        <v>52</v>
      </c>
      <c r="K21" s="8">
        <f t="shared" ca="1" si="5"/>
        <v>78.787878787878782</v>
      </c>
      <c r="L21" s="5">
        <f ca="1">IFERROR(__xludf.DUMMYFUNCTION("IMPORTRANGE(""https://docs.google.com/spreadsheets/d/1rOGZhKHVnDGFqGTO7UNOJSkSJyQwVuEb2-yhWQit7lw/edit?gid=1926669029#gid=1926669029"", address(row($D19),column($D19),,,""JAVA-N""))"),50)</f>
        <v>50</v>
      </c>
      <c r="M21" s="8">
        <f t="shared" ca="1" si="6"/>
        <v>73.529411764705884</v>
      </c>
      <c r="N21" s="5">
        <f ca="1">IFERROR(__xludf.DUMMYFUNCTION("IMPORTRANGE(""https://docs.google.com/spreadsheets/d/1rOGZhKHVnDGFqGTO7UNOJSkSJyQwVuEb2-yhWQit7lw/edit?gid=1656401641#gid=1656401641"", address(row($D19),column($D19),,,""FOSS LAB-N""))"),26)</f>
        <v>26</v>
      </c>
      <c r="O21" s="8">
        <f t="shared" ca="1" si="7"/>
        <v>74.285714285714292</v>
      </c>
      <c r="P21" s="5">
        <f ca="1">IFERROR(__xludf.DUMMYFUNCTION("IMPORTRANGE(""https://docs.google.com/spreadsheets/d/1rOGZhKHVnDGFqGTO7UNOJSkSJyQwVuEb2-yhWQit7lw/edit?gid=1022834346#gid=1022834346"", address(row($D19),column($D19),,,""PP-N""))"),27)</f>
        <v>27</v>
      </c>
      <c r="Q21" s="8">
        <f t="shared" ca="1" si="8"/>
        <v>81.818181818181827</v>
      </c>
      <c r="R21" s="5">
        <f ca="1">IFERROR(__xludf.DUMMYFUNCTION("IMPORTRANGE(""https://docs.google.com/spreadsheets/d/1rOGZhKHVnDGFqGTO7UNOJSkSJyQwVuEb2-yhWQit7lw/edit?gid=449441702#gid=449441702"", address(row($D19),column($D19),,,""NPTEL-N""))"),24)</f>
        <v>24</v>
      </c>
      <c r="S21" s="5">
        <f t="shared" ca="1" si="9"/>
        <v>85.714285714285708</v>
      </c>
      <c r="T21" s="6">
        <f ca="1">IFERROR(__xludf.DUMMYFUNCTION("IMPORTRANGE(""https://docs.google.com/spreadsheets/d/1rOGZhKHVnDGFqGTO7UNOJSkSJyQwVuEb2-yhWQit7lw/edit?gid=77662277#gid=77662277"", address(row($D19),column($D19),,,""CRT-N""))"),67)</f>
        <v>67</v>
      </c>
      <c r="U21" s="8">
        <f t="shared" ca="1" si="10"/>
        <v>95.714285714285722</v>
      </c>
      <c r="V21" s="6">
        <f t="shared" ca="1" si="0"/>
        <v>335</v>
      </c>
      <c r="W21" s="4">
        <f t="shared" ca="1" si="11"/>
        <v>81</v>
      </c>
      <c r="X21" s="4">
        <v>0</v>
      </c>
      <c r="Y21" s="4">
        <v>0</v>
      </c>
      <c r="Z21" s="4">
        <f t="shared" ca="1" si="1"/>
        <v>335</v>
      </c>
      <c r="AA21" s="10">
        <f t="shared" ca="1" si="12"/>
        <v>81</v>
      </c>
    </row>
    <row r="22" spans="1:27" ht="15.85" customHeight="1" x14ac:dyDescent="0.3">
      <c r="A22" s="8">
        <v>17</v>
      </c>
      <c r="B22" s="11" t="s">
        <v>207</v>
      </c>
      <c r="C22" s="11" t="s">
        <v>208</v>
      </c>
      <c r="D22" s="5">
        <f ca="1">IFERROR(__xludf.DUMMYFUNCTION("IMPORTRANGE(""https://docs.google.com/spreadsheets/d/1rOGZhKHVnDGFqGTO7UNOJSkSJyQwVuEb2-yhWQit7lw/edit?gid=1117406455#gid=1117406455"", address(row($D20),column($D20),,,""DM&amp;GT-N""))"),12)</f>
        <v>12</v>
      </c>
      <c r="E22" s="8">
        <f t="shared" ca="1" si="2"/>
        <v>30.76923076923077</v>
      </c>
      <c r="F22" s="5">
        <f ca="1">IFERROR(__xludf.DUMMYFUNCTION("IMPORTRANGE(""https://docs.google.com/spreadsheets/d/1rOGZhKHVnDGFqGTO7UNOJSkSJyQwVuEb2-yhWQit7lw/edit?gid=1808040716#gid=1808040716"", address(row($D20),column($D20),,,""UHV-N""))"),12)</f>
        <v>12</v>
      </c>
      <c r="G22" s="8">
        <f t="shared" ca="1" si="3"/>
        <v>34.285714285714285</v>
      </c>
      <c r="H22" s="5">
        <f ca="1">IFERROR(__xludf.DUMMYFUNCTION("IMPORTRANGE(""https://docs.google.com/spreadsheets/d/1rOGZhKHVnDGFqGTO7UNOJSkSJyQwVuEb2-yhWQit7lw/edit?gid=1058014760#gid=1058014760"", address(row($D20),column($D20),,,""DL&amp;CO-N""))"),10)</f>
        <v>10</v>
      </c>
      <c r="I22" s="8">
        <f t="shared" ca="1" si="4"/>
        <v>25.641025641025639</v>
      </c>
      <c r="J22" s="5">
        <f ca="1">IFERROR(__xludf.DUMMYFUNCTION("IMPORTRANGE(""https://docs.google.com/spreadsheets/d/1rOGZhKHVnDGFqGTO7UNOJSkSJyQwVuEb2-yhWQit7lw/edit?gid=2007015697#gid=2007015697"", address(row($D20),column($D20),,,""ADSA-N""))"),24)</f>
        <v>24</v>
      </c>
      <c r="K22" s="8">
        <f t="shared" ca="1" si="5"/>
        <v>36.363636363636367</v>
      </c>
      <c r="L22" s="5">
        <f ca="1">IFERROR(__xludf.DUMMYFUNCTION("IMPORTRANGE(""https://docs.google.com/spreadsheets/d/1rOGZhKHVnDGFqGTO7UNOJSkSJyQwVuEb2-yhWQit7lw/edit?gid=1926669029#gid=1926669029"", address(row($D20),column($D20),,,""JAVA-N""))"),22)</f>
        <v>22</v>
      </c>
      <c r="M22" s="8">
        <f t="shared" ca="1" si="6"/>
        <v>32.352941176470587</v>
      </c>
      <c r="N22" s="5">
        <f ca="1">IFERROR(__xludf.DUMMYFUNCTION("IMPORTRANGE(""https://docs.google.com/spreadsheets/d/1rOGZhKHVnDGFqGTO7UNOJSkSJyQwVuEb2-yhWQit7lw/edit?gid=1656401641#gid=1656401641"", address(row($D20),column($D20),,,""FOSS LAB-N""))"),14)</f>
        <v>14</v>
      </c>
      <c r="O22" s="8">
        <f t="shared" ca="1" si="7"/>
        <v>40</v>
      </c>
      <c r="P22" s="5">
        <f ca="1">IFERROR(__xludf.DUMMYFUNCTION("IMPORTRANGE(""https://docs.google.com/spreadsheets/d/1rOGZhKHVnDGFqGTO7UNOJSkSJyQwVuEb2-yhWQit7lw/edit?gid=1022834346#gid=1022834346"", address(row($D20),column($D20),,,""PP-N""))"),16)</f>
        <v>16</v>
      </c>
      <c r="Q22" s="8">
        <f t="shared" ca="1" si="8"/>
        <v>48.484848484848484</v>
      </c>
      <c r="R22" s="5">
        <f ca="1">IFERROR(__xludf.DUMMYFUNCTION("IMPORTRANGE(""https://docs.google.com/spreadsheets/d/1rOGZhKHVnDGFqGTO7UNOJSkSJyQwVuEb2-yhWQit7lw/edit?gid=449441702#gid=449441702"", address(row($D20),column($D20),,,""NPTEL-N""))"),16)</f>
        <v>16</v>
      </c>
      <c r="S22" s="5">
        <f t="shared" ca="1" si="9"/>
        <v>57.142857142857139</v>
      </c>
      <c r="T22" s="6">
        <f ca="1">IFERROR(__xludf.DUMMYFUNCTION("IMPORTRANGE(""https://docs.google.com/spreadsheets/d/1rOGZhKHVnDGFqGTO7UNOJSkSJyQwVuEb2-yhWQit7lw/edit?gid=77662277#gid=77662277"", address(row($D20),column($D20),,,""CRT-N""))"),21)</f>
        <v>21</v>
      </c>
      <c r="U22" s="8">
        <f t="shared" ca="1" si="10"/>
        <v>30</v>
      </c>
      <c r="V22" s="6">
        <f t="shared" ca="1" si="0"/>
        <v>147</v>
      </c>
      <c r="W22" s="4">
        <f t="shared" ca="1" si="11"/>
        <v>36</v>
      </c>
      <c r="X22" s="4">
        <v>0</v>
      </c>
      <c r="Y22" s="4">
        <v>0</v>
      </c>
      <c r="Z22" s="4">
        <f t="shared" ca="1" si="1"/>
        <v>147</v>
      </c>
      <c r="AA22" s="10">
        <f t="shared" ca="1" si="12"/>
        <v>36</v>
      </c>
    </row>
    <row r="23" spans="1:27" ht="15.85" customHeight="1" x14ac:dyDescent="0.3">
      <c r="A23" s="8">
        <v>18</v>
      </c>
      <c r="B23" s="11" t="s">
        <v>209</v>
      </c>
      <c r="C23" s="11" t="s">
        <v>210</v>
      </c>
      <c r="D23" s="5">
        <f ca="1">IFERROR(__xludf.DUMMYFUNCTION("IMPORTRANGE(""https://docs.google.com/spreadsheets/d/1rOGZhKHVnDGFqGTO7UNOJSkSJyQwVuEb2-yhWQit7lw/edit?gid=1117406455#gid=1117406455"", address(row($D21),column($D21),,,""DM&amp;GT-N""))"),22)</f>
        <v>22</v>
      </c>
      <c r="E23" s="8">
        <f t="shared" ca="1" si="2"/>
        <v>56.410256410256409</v>
      </c>
      <c r="F23" s="5">
        <f ca="1">IFERROR(__xludf.DUMMYFUNCTION("IMPORTRANGE(""https://docs.google.com/spreadsheets/d/1rOGZhKHVnDGFqGTO7UNOJSkSJyQwVuEb2-yhWQit7lw/edit?gid=1808040716#gid=1808040716"", address(row($D21),column($D21),,,""UHV-N""))"),21)</f>
        <v>21</v>
      </c>
      <c r="G23" s="8">
        <f t="shared" ca="1" si="3"/>
        <v>60</v>
      </c>
      <c r="H23" s="5">
        <f ca="1">IFERROR(__xludf.DUMMYFUNCTION("IMPORTRANGE(""https://docs.google.com/spreadsheets/d/1rOGZhKHVnDGFqGTO7UNOJSkSJyQwVuEb2-yhWQit7lw/edit?gid=1058014760#gid=1058014760"", address(row($D21),column($D21),,,""DL&amp;CO-N""))"),20)</f>
        <v>20</v>
      </c>
      <c r="I23" s="8">
        <f t="shared" ca="1" si="4"/>
        <v>51.282051282051277</v>
      </c>
      <c r="J23" s="5">
        <f ca="1">IFERROR(__xludf.DUMMYFUNCTION("IMPORTRANGE(""https://docs.google.com/spreadsheets/d/1rOGZhKHVnDGFqGTO7UNOJSkSJyQwVuEb2-yhWQit7lw/edit?gid=2007015697#gid=2007015697"", address(row($D21),column($D21),,,""ADSA-N""))"),34)</f>
        <v>34</v>
      </c>
      <c r="K23" s="8">
        <f t="shared" ca="1" si="5"/>
        <v>51.515151515151516</v>
      </c>
      <c r="L23" s="5">
        <f ca="1">IFERROR(__xludf.DUMMYFUNCTION("IMPORTRANGE(""https://docs.google.com/spreadsheets/d/1rOGZhKHVnDGFqGTO7UNOJSkSJyQwVuEb2-yhWQit7lw/edit?gid=1926669029#gid=1926669029"", address(row($D21),column($D21),,,""JAVA-N""))"),37)</f>
        <v>37</v>
      </c>
      <c r="M23" s="8">
        <f t="shared" ca="1" si="6"/>
        <v>54.411764705882348</v>
      </c>
      <c r="N23" s="5">
        <f ca="1">IFERROR(__xludf.DUMMYFUNCTION("IMPORTRANGE(""https://docs.google.com/spreadsheets/d/1rOGZhKHVnDGFqGTO7UNOJSkSJyQwVuEb2-yhWQit7lw/edit?gid=1656401641#gid=1656401641"", address(row($D21),column($D21),,,""FOSS LAB-N""))"),21)</f>
        <v>21</v>
      </c>
      <c r="O23" s="8">
        <f t="shared" ca="1" si="7"/>
        <v>60</v>
      </c>
      <c r="P23" s="5">
        <f ca="1">IFERROR(__xludf.DUMMYFUNCTION("IMPORTRANGE(""https://docs.google.com/spreadsheets/d/1rOGZhKHVnDGFqGTO7UNOJSkSJyQwVuEb2-yhWQit7lw/edit?gid=1022834346#gid=1022834346"", address(row($D21),column($D21),,,""PP-N""))"),24)</f>
        <v>24</v>
      </c>
      <c r="Q23" s="8">
        <f t="shared" ca="1" si="8"/>
        <v>72.727272727272734</v>
      </c>
      <c r="R23" s="5">
        <f ca="1">IFERROR(__xludf.DUMMYFUNCTION("IMPORTRANGE(""https://docs.google.com/spreadsheets/d/1rOGZhKHVnDGFqGTO7UNOJSkSJyQwVuEb2-yhWQit7lw/edit?gid=449441702#gid=449441702"", address(row($D21),column($D21),,,""NPTEL-N""))"),18)</f>
        <v>18</v>
      </c>
      <c r="S23" s="5">
        <f t="shared" ca="1" si="9"/>
        <v>64.285714285714292</v>
      </c>
      <c r="T23" s="6">
        <f ca="1">IFERROR(__xludf.DUMMYFUNCTION("IMPORTRANGE(""https://docs.google.com/spreadsheets/d/1rOGZhKHVnDGFqGTO7UNOJSkSJyQwVuEb2-yhWQit7lw/edit?gid=77662277#gid=77662277"", address(row($D21),column($D21),,,""CRT-N""))"),63)</f>
        <v>63</v>
      </c>
      <c r="U23" s="8">
        <f t="shared" ca="1" si="10"/>
        <v>90</v>
      </c>
      <c r="V23" s="6">
        <f t="shared" ca="1" si="0"/>
        <v>260</v>
      </c>
      <c r="W23" s="4">
        <f t="shared" ca="1" si="11"/>
        <v>63</v>
      </c>
      <c r="X23" s="4">
        <v>0</v>
      </c>
      <c r="Y23" s="4">
        <v>0</v>
      </c>
      <c r="Z23" s="4">
        <f t="shared" ca="1" si="1"/>
        <v>260</v>
      </c>
      <c r="AA23" s="10">
        <f t="shared" ca="1" si="12"/>
        <v>63</v>
      </c>
    </row>
    <row r="24" spans="1:27" ht="15.85" customHeight="1" x14ac:dyDescent="0.3">
      <c r="A24" s="8">
        <v>19</v>
      </c>
      <c r="B24" s="11" t="s">
        <v>211</v>
      </c>
      <c r="C24" s="11" t="s">
        <v>212</v>
      </c>
      <c r="D24" s="5">
        <f ca="1">IFERROR(__xludf.DUMMYFUNCTION("IMPORTRANGE(""https://docs.google.com/spreadsheets/d/1rOGZhKHVnDGFqGTO7UNOJSkSJyQwVuEb2-yhWQit7lw/edit?gid=1117406455#gid=1117406455"", address(row($D22),column($D22),,,""DM&amp;GT-N""))"),26)</f>
        <v>26</v>
      </c>
      <c r="E24" s="8">
        <f t="shared" ca="1" si="2"/>
        <v>66.666666666666657</v>
      </c>
      <c r="F24" s="5">
        <f ca="1">IFERROR(__xludf.DUMMYFUNCTION("IMPORTRANGE(""https://docs.google.com/spreadsheets/d/1rOGZhKHVnDGFqGTO7UNOJSkSJyQwVuEb2-yhWQit7lw/edit?gid=1808040716#gid=1808040716"", address(row($D22),column($D22),,,""UHV-N""))"),22)</f>
        <v>22</v>
      </c>
      <c r="G24" s="8">
        <f t="shared" ca="1" si="3"/>
        <v>62.857142857142854</v>
      </c>
      <c r="H24" s="5">
        <f ca="1">IFERROR(__xludf.DUMMYFUNCTION("IMPORTRANGE(""https://docs.google.com/spreadsheets/d/1rOGZhKHVnDGFqGTO7UNOJSkSJyQwVuEb2-yhWQit7lw/edit?gid=1058014760#gid=1058014760"", address(row($D22),column($D22),,,""DL&amp;CO-N""))"),25)</f>
        <v>25</v>
      </c>
      <c r="I24" s="8">
        <f t="shared" ca="1" si="4"/>
        <v>64.102564102564102</v>
      </c>
      <c r="J24" s="5">
        <f ca="1">IFERROR(__xludf.DUMMYFUNCTION("IMPORTRANGE(""https://docs.google.com/spreadsheets/d/1rOGZhKHVnDGFqGTO7UNOJSkSJyQwVuEb2-yhWQit7lw/edit?gid=2007015697#gid=2007015697"", address(row($D22),column($D22),,,""ADSA-N""))"),40)</f>
        <v>40</v>
      </c>
      <c r="K24" s="8">
        <f t="shared" ca="1" si="5"/>
        <v>60.606060606060609</v>
      </c>
      <c r="L24" s="5">
        <f ca="1">IFERROR(__xludf.DUMMYFUNCTION("IMPORTRANGE(""https://docs.google.com/spreadsheets/d/1rOGZhKHVnDGFqGTO7UNOJSkSJyQwVuEb2-yhWQit7lw/edit?gid=1926669029#gid=1926669029"", address(row($D22),column($D22),,,""JAVA-N""))"),46)</f>
        <v>46</v>
      </c>
      <c r="M24" s="8">
        <f t="shared" ca="1" si="6"/>
        <v>67.64705882352942</v>
      </c>
      <c r="N24" s="5">
        <f ca="1">IFERROR(__xludf.DUMMYFUNCTION("IMPORTRANGE(""https://docs.google.com/spreadsheets/d/1rOGZhKHVnDGFqGTO7UNOJSkSJyQwVuEb2-yhWQit7lw/edit?gid=1656401641#gid=1656401641"", address(row($D22),column($D22),,,""FOSS LAB-N""))"),23)</f>
        <v>23</v>
      </c>
      <c r="O24" s="8">
        <f t="shared" ca="1" si="7"/>
        <v>65.714285714285708</v>
      </c>
      <c r="P24" s="5">
        <f ca="1">IFERROR(__xludf.DUMMYFUNCTION("IMPORTRANGE(""https://docs.google.com/spreadsheets/d/1rOGZhKHVnDGFqGTO7UNOJSkSJyQwVuEb2-yhWQit7lw/edit?gid=1022834346#gid=1022834346"", address(row($D22),column($D22),,,""PP-N""))"),21)</f>
        <v>21</v>
      </c>
      <c r="Q24" s="8">
        <f t="shared" ca="1" si="8"/>
        <v>63.636363636363633</v>
      </c>
      <c r="R24" s="5">
        <f ca="1">IFERROR(__xludf.DUMMYFUNCTION("IMPORTRANGE(""https://docs.google.com/spreadsheets/d/1rOGZhKHVnDGFqGTO7UNOJSkSJyQwVuEb2-yhWQit7lw/edit?gid=449441702#gid=449441702"", address(row($D22),column($D22),,,""NPTEL-N""))"),28)</f>
        <v>28</v>
      </c>
      <c r="S24" s="5">
        <f t="shared" ca="1" si="9"/>
        <v>100</v>
      </c>
      <c r="T24" s="6">
        <f ca="1">IFERROR(__xludf.DUMMYFUNCTION("IMPORTRANGE(""https://docs.google.com/spreadsheets/d/1rOGZhKHVnDGFqGTO7UNOJSkSJyQwVuEb2-yhWQit7lw/edit?gid=77662277#gid=77662277"", address(row($D22),column($D22),,,""CRT-N""))"),56)</f>
        <v>56</v>
      </c>
      <c r="U24" s="8">
        <f t="shared" ca="1" si="10"/>
        <v>80</v>
      </c>
      <c r="V24" s="6">
        <f t="shared" ca="1" si="0"/>
        <v>287</v>
      </c>
      <c r="W24" s="4">
        <f t="shared" ca="1" si="11"/>
        <v>69</v>
      </c>
      <c r="X24" s="4">
        <v>0</v>
      </c>
      <c r="Y24" s="4">
        <v>0</v>
      </c>
      <c r="Z24" s="4">
        <f t="shared" ca="1" si="1"/>
        <v>287</v>
      </c>
      <c r="AA24" s="10">
        <f t="shared" ca="1" si="12"/>
        <v>69</v>
      </c>
    </row>
    <row r="25" spans="1:27" ht="15.85" customHeight="1" x14ac:dyDescent="0.3">
      <c r="A25" s="8">
        <v>20</v>
      </c>
      <c r="B25" s="11" t="s">
        <v>213</v>
      </c>
      <c r="C25" s="11" t="s">
        <v>214</v>
      </c>
      <c r="D25" s="5">
        <f ca="1">IFERROR(__xludf.DUMMYFUNCTION("IMPORTRANGE(""https://docs.google.com/spreadsheets/d/1rOGZhKHVnDGFqGTO7UNOJSkSJyQwVuEb2-yhWQit7lw/edit?gid=1117406455#gid=1117406455"", address(row($D23),column($D23),,,""DM&amp;GT-N""))"),16)</f>
        <v>16</v>
      </c>
      <c r="E25" s="8">
        <f t="shared" ca="1" si="2"/>
        <v>41.025641025641022</v>
      </c>
      <c r="F25" s="5">
        <f ca="1">IFERROR(__xludf.DUMMYFUNCTION("IMPORTRANGE(""https://docs.google.com/spreadsheets/d/1rOGZhKHVnDGFqGTO7UNOJSkSJyQwVuEb2-yhWQit7lw/edit?gid=1808040716#gid=1808040716"", address(row($D23),column($D23),,,""UHV-N""))"),19)</f>
        <v>19</v>
      </c>
      <c r="G25" s="8">
        <f t="shared" ca="1" si="3"/>
        <v>54.285714285714285</v>
      </c>
      <c r="H25" s="5">
        <f ca="1">IFERROR(__xludf.DUMMYFUNCTION("IMPORTRANGE(""https://docs.google.com/spreadsheets/d/1rOGZhKHVnDGFqGTO7UNOJSkSJyQwVuEb2-yhWQit7lw/edit?gid=1058014760#gid=1058014760"", address(row($D23),column($D23),,,""DL&amp;CO-N""))"),16)</f>
        <v>16</v>
      </c>
      <c r="I25" s="8">
        <f t="shared" ca="1" si="4"/>
        <v>41.025641025641022</v>
      </c>
      <c r="J25" s="5">
        <f ca="1">IFERROR(__xludf.DUMMYFUNCTION("IMPORTRANGE(""https://docs.google.com/spreadsheets/d/1rOGZhKHVnDGFqGTO7UNOJSkSJyQwVuEb2-yhWQit7lw/edit?gid=2007015697#gid=2007015697"", address(row($D23),column($D23),,,""ADSA-N""))"),27)</f>
        <v>27</v>
      </c>
      <c r="K25" s="8">
        <f t="shared" ca="1" si="5"/>
        <v>40.909090909090914</v>
      </c>
      <c r="L25" s="5">
        <f ca="1">IFERROR(__xludf.DUMMYFUNCTION("IMPORTRANGE(""https://docs.google.com/spreadsheets/d/1rOGZhKHVnDGFqGTO7UNOJSkSJyQwVuEb2-yhWQit7lw/edit?gid=1926669029#gid=1926669029"", address(row($D23),column($D23),,,""JAVA-N""))"),29)</f>
        <v>29</v>
      </c>
      <c r="M25" s="8">
        <f t="shared" ca="1" si="6"/>
        <v>42.647058823529413</v>
      </c>
      <c r="N25" s="5">
        <f ca="1">IFERROR(__xludf.DUMMYFUNCTION("IMPORTRANGE(""https://docs.google.com/spreadsheets/d/1rOGZhKHVnDGFqGTO7UNOJSkSJyQwVuEb2-yhWQit7lw/edit?gid=1656401641#gid=1656401641"", address(row($D23),column($D23),,,""FOSS LAB-N""))"),12)</f>
        <v>12</v>
      </c>
      <c r="O25" s="8">
        <f t="shared" ca="1" si="7"/>
        <v>34.285714285714285</v>
      </c>
      <c r="P25" s="5">
        <f ca="1">IFERROR(__xludf.DUMMYFUNCTION("IMPORTRANGE(""https://docs.google.com/spreadsheets/d/1rOGZhKHVnDGFqGTO7UNOJSkSJyQwVuEb2-yhWQit7lw/edit?gid=1022834346#gid=1022834346"", address(row($D23),column($D23),,,""PP-N""))"),17)</f>
        <v>17</v>
      </c>
      <c r="Q25" s="8">
        <f t="shared" ca="1" si="8"/>
        <v>51.515151515151516</v>
      </c>
      <c r="R25" s="5">
        <f ca="1">IFERROR(__xludf.DUMMYFUNCTION("IMPORTRANGE(""https://docs.google.com/spreadsheets/d/1rOGZhKHVnDGFqGTO7UNOJSkSJyQwVuEb2-yhWQit7lw/edit?gid=449441702#gid=449441702"", address(row($D23),column($D23),,,""NPTEL-N""))"),18)</f>
        <v>18</v>
      </c>
      <c r="S25" s="5">
        <f t="shared" ca="1" si="9"/>
        <v>64.285714285714292</v>
      </c>
      <c r="T25" s="6">
        <f ca="1">IFERROR(__xludf.DUMMYFUNCTION("IMPORTRANGE(""https://docs.google.com/spreadsheets/d/1rOGZhKHVnDGFqGTO7UNOJSkSJyQwVuEb2-yhWQit7lw/edit?gid=77662277#gid=77662277"", address(row($D23),column($D23),,,""CRT-N""))"),49)</f>
        <v>49</v>
      </c>
      <c r="U25" s="8">
        <f t="shared" ca="1" si="10"/>
        <v>70</v>
      </c>
      <c r="V25" s="6">
        <f t="shared" ca="1" si="0"/>
        <v>203</v>
      </c>
      <c r="W25" s="4">
        <f t="shared" ca="1" si="11"/>
        <v>49</v>
      </c>
      <c r="X25" s="4">
        <v>0</v>
      </c>
      <c r="Y25" s="4">
        <v>0</v>
      </c>
      <c r="Z25" s="4">
        <f t="shared" ca="1" si="1"/>
        <v>203</v>
      </c>
      <c r="AA25" s="10">
        <f t="shared" ca="1" si="12"/>
        <v>49</v>
      </c>
    </row>
    <row r="26" spans="1:27" ht="15.85" customHeight="1" x14ac:dyDescent="0.3">
      <c r="A26" s="8">
        <v>21</v>
      </c>
      <c r="B26" s="11" t="s">
        <v>215</v>
      </c>
      <c r="C26" s="11" t="s">
        <v>216</v>
      </c>
      <c r="D26" s="5">
        <f ca="1">IFERROR(__xludf.DUMMYFUNCTION("IMPORTRANGE(""https://docs.google.com/spreadsheets/d/1rOGZhKHVnDGFqGTO7UNOJSkSJyQwVuEb2-yhWQit7lw/edit?gid=1117406455#gid=1117406455"", address(row($D24),column($D24),,,""DM&amp;GT-N""))"),20)</f>
        <v>20</v>
      </c>
      <c r="E26" s="8">
        <f t="shared" ca="1" si="2"/>
        <v>51.282051282051277</v>
      </c>
      <c r="F26" s="5">
        <f ca="1">IFERROR(__xludf.DUMMYFUNCTION("IMPORTRANGE(""https://docs.google.com/spreadsheets/d/1rOGZhKHVnDGFqGTO7UNOJSkSJyQwVuEb2-yhWQit7lw/edit?gid=1808040716#gid=1808040716"", address(row($D24),column($D24),,,""UHV-N""))"),17)</f>
        <v>17</v>
      </c>
      <c r="G26" s="8">
        <f t="shared" ca="1" si="3"/>
        <v>48.571428571428569</v>
      </c>
      <c r="H26" s="5">
        <f ca="1">IFERROR(__xludf.DUMMYFUNCTION("IMPORTRANGE(""https://docs.google.com/spreadsheets/d/1rOGZhKHVnDGFqGTO7UNOJSkSJyQwVuEb2-yhWQit7lw/edit?gid=1058014760#gid=1058014760"", address(row($D24),column($D24),,,""DL&amp;CO-N""))"),18)</f>
        <v>18</v>
      </c>
      <c r="I26" s="8">
        <f t="shared" ca="1" si="4"/>
        <v>46.153846153846153</v>
      </c>
      <c r="J26" s="5">
        <f ca="1">IFERROR(__xludf.DUMMYFUNCTION("IMPORTRANGE(""https://docs.google.com/spreadsheets/d/1rOGZhKHVnDGFqGTO7UNOJSkSJyQwVuEb2-yhWQit7lw/edit?gid=2007015697#gid=2007015697"", address(row($D24),column($D24),,,""ADSA-N""))"),40)</f>
        <v>40</v>
      </c>
      <c r="K26" s="8">
        <f t="shared" ca="1" si="5"/>
        <v>60.606060606060609</v>
      </c>
      <c r="L26" s="5">
        <f ca="1">IFERROR(__xludf.DUMMYFUNCTION("IMPORTRANGE(""https://docs.google.com/spreadsheets/d/1rOGZhKHVnDGFqGTO7UNOJSkSJyQwVuEb2-yhWQit7lw/edit?gid=1926669029#gid=1926669029"", address(row($D24),column($D24),,,""JAVA-N""))"),34)</f>
        <v>34</v>
      </c>
      <c r="M26" s="8">
        <f t="shared" ca="1" si="6"/>
        <v>50</v>
      </c>
      <c r="N26" s="5">
        <f ca="1">IFERROR(__xludf.DUMMYFUNCTION("IMPORTRANGE(""https://docs.google.com/spreadsheets/d/1rOGZhKHVnDGFqGTO7UNOJSkSJyQwVuEb2-yhWQit7lw/edit?gid=1656401641#gid=1656401641"", address(row($D24),column($D24),,,""FOSS LAB-N""))"),29)</f>
        <v>29</v>
      </c>
      <c r="O26" s="8">
        <f t="shared" ca="1" si="7"/>
        <v>82.857142857142861</v>
      </c>
      <c r="P26" s="5">
        <f ca="1">IFERROR(__xludf.DUMMYFUNCTION("IMPORTRANGE(""https://docs.google.com/spreadsheets/d/1rOGZhKHVnDGFqGTO7UNOJSkSJyQwVuEb2-yhWQit7lw/edit?gid=1022834346#gid=1022834346"", address(row($D24),column($D24),,,""PP-N""))"),19)</f>
        <v>19</v>
      </c>
      <c r="Q26" s="8">
        <f t="shared" ca="1" si="8"/>
        <v>57.575757575757578</v>
      </c>
      <c r="R26" s="5">
        <f ca="1">IFERROR(__xludf.DUMMYFUNCTION("IMPORTRANGE(""https://docs.google.com/spreadsheets/d/1rOGZhKHVnDGFqGTO7UNOJSkSJyQwVuEb2-yhWQit7lw/edit?gid=449441702#gid=449441702"", address(row($D24),column($D24),,,""NPTEL-N""))"),22)</f>
        <v>22</v>
      </c>
      <c r="S26" s="5">
        <f t="shared" ca="1" si="9"/>
        <v>78.571428571428569</v>
      </c>
      <c r="T26" s="6">
        <f ca="1">IFERROR(__xludf.DUMMYFUNCTION("IMPORTRANGE(""https://docs.google.com/spreadsheets/d/1rOGZhKHVnDGFqGTO7UNOJSkSJyQwVuEb2-yhWQit7lw/edit?gid=77662277#gid=77662277"", address(row($D24),column($D24),,,""CRT-N""))"),42)</f>
        <v>42</v>
      </c>
      <c r="U26" s="8">
        <f t="shared" ca="1" si="10"/>
        <v>60</v>
      </c>
      <c r="V26" s="6">
        <f t="shared" ca="1" si="0"/>
        <v>241</v>
      </c>
      <c r="W26" s="4">
        <f t="shared" ca="1" si="11"/>
        <v>58</v>
      </c>
      <c r="X26" s="4">
        <v>0</v>
      </c>
      <c r="Y26" s="4">
        <v>0</v>
      </c>
      <c r="Z26" s="4">
        <f t="shared" ca="1" si="1"/>
        <v>241</v>
      </c>
      <c r="AA26" s="10">
        <f t="shared" ca="1" si="12"/>
        <v>58</v>
      </c>
    </row>
    <row r="27" spans="1:27" ht="15.85" customHeight="1" x14ac:dyDescent="0.3">
      <c r="A27" s="8">
        <v>22</v>
      </c>
      <c r="B27" s="11" t="s">
        <v>217</v>
      </c>
      <c r="C27" s="11" t="s">
        <v>218</v>
      </c>
      <c r="D27" s="5">
        <f ca="1">IFERROR(__xludf.DUMMYFUNCTION("IMPORTRANGE(""https://docs.google.com/spreadsheets/d/1rOGZhKHVnDGFqGTO7UNOJSkSJyQwVuEb2-yhWQit7lw/edit?gid=1117406455#gid=1117406455"", address(row($D25),column($D25),,,""DM&amp;GT-N""))"),19)</f>
        <v>19</v>
      </c>
      <c r="E27" s="8">
        <f t="shared" ca="1" si="2"/>
        <v>48.717948717948715</v>
      </c>
      <c r="F27" s="5">
        <f ca="1">IFERROR(__xludf.DUMMYFUNCTION("IMPORTRANGE(""https://docs.google.com/spreadsheets/d/1rOGZhKHVnDGFqGTO7UNOJSkSJyQwVuEb2-yhWQit7lw/edit?gid=1808040716#gid=1808040716"", address(row($D25),column($D25),,,""UHV-N""))"),19)</f>
        <v>19</v>
      </c>
      <c r="G27" s="8">
        <f t="shared" ca="1" si="3"/>
        <v>54.285714285714285</v>
      </c>
      <c r="H27" s="5">
        <f ca="1">IFERROR(__xludf.DUMMYFUNCTION("IMPORTRANGE(""https://docs.google.com/spreadsheets/d/1rOGZhKHVnDGFqGTO7UNOJSkSJyQwVuEb2-yhWQit7lw/edit?gid=1058014760#gid=1058014760"", address(row($D25),column($D25),,,""DL&amp;CO-N""))"),17)</f>
        <v>17</v>
      </c>
      <c r="I27" s="8">
        <f t="shared" ca="1" si="4"/>
        <v>43.589743589743591</v>
      </c>
      <c r="J27" s="5">
        <f ca="1">IFERROR(__xludf.DUMMYFUNCTION("IMPORTRANGE(""https://docs.google.com/spreadsheets/d/1rOGZhKHVnDGFqGTO7UNOJSkSJyQwVuEb2-yhWQit7lw/edit?gid=2007015697#gid=2007015697"", address(row($D25),column($D25),,,""ADSA-N""))"),32)</f>
        <v>32</v>
      </c>
      <c r="K27" s="8">
        <f t="shared" ca="1" si="5"/>
        <v>48.484848484848484</v>
      </c>
      <c r="L27" s="5">
        <f ca="1">IFERROR(__xludf.DUMMYFUNCTION("IMPORTRANGE(""https://docs.google.com/spreadsheets/d/1rOGZhKHVnDGFqGTO7UNOJSkSJyQwVuEb2-yhWQit7lw/edit?gid=1926669029#gid=1926669029"", address(row($D25),column($D25),,,""JAVA-N""))"),35)</f>
        <v>35</v>
      </c>
      <c r="M27" s="8">
        <f t="shared" ca="1" si="6"/>
        <v>51.470588235294116</v>
      </c>
      <c r="N27" s="5">
        <f ca="1">IFERROR(__xludf.DUMMYFUNCTION("IMPORTRANGE(""https://docs.google.com/spreadsheets/d/1rOGZhKHVnDGFqGTO7UNOJSkSJyQwVuEb2-yhWQit7lw/edit?gid=1656401641#gid=1656401641"", address(row($D25),column($D25),,,""FOSS LAB-N""))"),12)</f>
        <v>12</v>
      </c>
      <c r="O27" s="8">
        <f t="shared" ca="1" si="7"/>
        <v>34.285714285714285</v>
      </c>
      <c r="P27" s="5">
        <f ca="1">IFERROR(__xludf.DUMMYFUNCTION("IMPORTRANGE(""https://docs.google.com/spreadsheets/d/1rOGZhKHVnDGFqGTO7UNOJSkSJyQwVuEb2-yhWQit7lw/edit?gid=1022834346#gid=1022834346"", address(row($D25),column($D25),,,""PP-N""))"),18)</f>
        <v>18</v>
      </c>
      <c r="Q27" s="8">
        <f t="shared" ca="1" si="8"/>
        <v>54.54545454545454</v>
      </c>
      <c r="R27" s="5">
        <f ca="1">IFERROR(__xludf.DUMMYFUNCTION("IMPORTRANGE(""https://docs.google.com/spreadsheets/d/1rOGZhKHVnDGFqGTO7UNOJSkSJyQwVuEb2-yhWQit7lw/edit?gid=449441702#gid=449441702"", address(row($D25),column($D25),,,""NPTEL-N""))"),20)</f>
        <v>20</v>
      </c>
      <c r="S27" s="5">
        <f t="shared" ca="1" si="9"/>
        <v>71.428571428571431</v>
      </c>
      <c r="T27" s="6">
        <f ca="1">IFERROR(__xludf.DUMMYFUNCTION("IMPORTRANGE(""https://docs.google.com/spreadsheets/d/1rOGZhKHVnDGFqGTO7UNOJSkSJyQwVuEb2-yhWQit7lw/edit?gid=77662277#gid=77662277"", address(row($D25),column($D25),,,""CRT-N""))"),67)</f>
        <v>67</v>
      </c>
      <c r="U27" s="8">
        <f t="shared" ca="1" si="10"/>
        <v>95.714285714285722</v>
      </c>
      <c r="V27" s="6">
        <f t="shared" ca="1" si="0"/>
        <v>239</v>
      </c>
      <c r="W27" s="4">
        <f t="shared" ca="1" si="11"/>
        <v>58</v>
      </c>
      <c r="X27" s="4">
        <v>0</v>
      </c>
      <c r="Y27" s="4">
        <v>0</v>
      </c>
      <c r="Z27" s="4">
        <f t="shared" ca="1" si="1"/>
        <v>239</v>
      </c>
      <c r="AA27" s="10">
        <f t="shared" ca="1" si="12"/>
        <v>58</v>
      </c>
    </row>
    <row r="28" spans="1:27" ht="15.85" customHeight="1" x14ac:dyDescent="0.3">
      <c r="A28" s="8">
        <v>23</v>
      </c>
      <c r="B28" s="11" t="s">
        <v>219</v>
      </c>
      <c r="C28" s="11" t="s">
        <v>220</v>
      </c>
      <c r="D28" s="5">
        <f ca="1">IFERROR(__xludf.DUMMYFUNCTION("IMPORTRANGE(""https://docs.google.com/spreadsheets/d/1rOGZhKHVnDGFqGTO7UNOJSkSJyQwVuEb2-yhWQit7lw/edit?gid=1117406455#gid=1117406455"", address(row($D26),column($D26),,,""DM&amp;GT-N""))"),26)</f>
        <v>26</v>
      </c>
      <c r="E28" s="8">
        <f t="shared" ca="1" si="2"/>
        <v>66.666666666666657</v>
      </c>
      <c r="F28" s="5">
        <f ca="1">IFERROR(__xludf.DUMMYFUNCTION("IMPORTRANGE(""https://docs.google.com/spreadsheets/d/1rOGZhKHVnDGFqGTO7UNOJSkSJyQwVuEb2-yhWQit7lw/edit?gid=1808040716#gid=1808040716"", address(row($D26),column($D26),,,""UHV-N""))"),27)</f>
        <v>27</v>
      </c>
      <c r="G28" s="8">
        <f t="shared" ca="1" si="3"/>
        <v>77.142857142857153</v>
      </c>
      <c r="H28" s="5">
        <f ca="1">IFERROR(__xludf.DUMMYFUNCTION("IMPORTRANGE(""https://docs.google.com/spreadsheets/d/1rOGZhKHVnDGFqGTO7UNOJSkSJyQwVuEb2-yhWQit7lw/edit?gid=1058014760#gid=1058014760"", address(row($D26),column($D26),,,""DL&amp;CO-N""))"),27)</f>
        <v>27</v>
      </c>
      <c r="I28" s="8">
        <f t="shared" ca="1" si="4"/>
        <v>69.230769230769226</v>
      </c>
      <c r="J28" s="5">
        <f ca="1">IFERROR(__xludf.DUMMYFUNCTION("IMPORTRANGE(""https://docs.google.com/spreadsheets/d/1rOGZhKHVnDGFqGTO7UNOJSkSJyQwVuEb2-yhWQit7lw/edit?gid=2007015697#gid=2007015697"", address(row($D26),column($D26),,,""ADSA-N""))"),47)</f>
        <v>47</v>
      </c>
      <c r="K28" s="8">
        <f t="shared" ca="1" si="5"/>
        <v>71.212121212121218</v>
      </c>
      <c r="L28" s="5">
        <f ca="1">IFERROR(__xludf.DUMMYFUNCTION("IMPORTRANGE(""https://docs.google.com/spreadsheets/d/1rOGZhKHVnDGFqGTO7UNOJSkSJyQwVuEb2-yhWQit7lw/edit?gid=1926669029#gid=1926669029"", address(row($D26),column($D26),,,""JAVA-N""))"),46)</f>
        <v>46</v>
      </c>
      <c r="M28" s="8">
        <f t="shared" ca="1" si="6"/>
        <v>67.64705882352942</v>
      </c>
      <c r="N28" s="5">
        <f ca="1">IFERROR(__xludf.DUMMYFUNCTION("IMPORTRANGE(""https://docs.google.com/spreadsheets/d/1rOGZhKHVnDGFqGTO7UNOJSkSJyQwVuEb2-yhWQit7lw/edit?gid=1656401641#gid=1656401641"", address(row($D26),column($D26),,,""FOSS LAB-N""))"),26)</f>
        <v>26</v>
      </c>
      <c r="O28" s="8">
        <f t="shared" ca="1" si="7"/>
        <v>74.285714285714292</v>
      </c>
      <c r="P28" s="5">
        <f ca="1">IFERROR(__xludf.DUMMYFUNCTION("IMPORTRANGE(""https://docs.google.com/spreadsheets/d/1rOGZhKHVnDGFqGTO7UNOJSkSJyQwVuEb2-yhWQit7lw/edit?gid=1022834346#gid=1022834346"", address(row($D26),column($D26),,,""PP-N""))"),23)</f>
        <v>23</v>
      </c>
      <c r="Q28" s="8">
        <f t="shared" ca="1" si="8"/>
        <v>69.696969696969703</v>
      </c>
      <c r="R28" s="5">
        <f ca="1">IFERROR(__xludf.DUMMYFUNCTION("IMPORTRANGE(""https://docs.google.com/spreadsheets/d/1rOGZhKHVnDGFqGTO7UNOJSkSJyQwVuEb2-yhWQit7lw/edit?gid=449441702#gid=449441702"", address(row($D26),column($D26),,,""NPTEL-N""))"),24)</f>
        <v>24</v>
      </c>
      <c r="S28" s="5">
        <f t="shared" ca="1" si="9"/>
        <v>85.714285714285708</v>
      </c>
      <c r="T28" s="6">
        <f ca="1">IFERROR(__xludf.DUMMYFUNCTION("IMPORTRANGE(""https://docs.google.com/spreadsheets/d/1rOGZhKHVnDGFqGTO7UNOJSkSJyQwVuEb2-yhWQit7lw/edit?gid=77662277#gid=77662277"", address(row($D26),column($D26),,,""CRT-N""))"),70)</f>
        <v>70</v>
      </c>
      <c r="U28" s="8">
        <f t="shared" ca="1" si="10"/>
        <v>100</v>
      </c>
      <c r="V28" s="6">
        <f t="shared" ca="1" si="0"/>
        <v>316</v>
      </c>
      <c r="W28" s="4">
        <f t="shared" ca="1" si="11"/>
        <v>77</v>
      </c>
      <c r="X28" s="4">
        <v>0</v>
      </c>
      <c r="Y28" s="4">
        <v>0</v>
      </c>
      <c r="Z28" s="4">
        <f t="shared" ca="1" si="1"/>
        <v>316</v>
      </c>
      <c r="AA28" s="10">
        <f t="shared" ca="1" si="12"/>
        <v>77</v>
      </c>
    </row>
    <row r="29" spans="1:27" ht="15.85" customHeight="1" x14ac:dyDescent="0.3">
      <c r="A29" s="8">
        <v>24</v>
      </c>
      <c r="B29" s="11" t="s">
        <v>221</v>
      </c>
      <c r="C29" s="11" t="s">
        <v>222</v>
      </c>
      <c r="D29" s="5">
        <f ca="1">IFERROR(__xludf.DUMMYFUNCTION("IMPORTRANGE(""https://docs.google.com/spreadsheets/d/1rOGZhKHVnDGFqGTO7UNOJSkSJyQwVuEb2-yhWQit7lw/edit?gid=1117406455#gid=1117406455"", address(row($D27),column($D27),,,""DM&amp;GT-N""))"),23)</f>
        <v>23</v>
      </c>
      <c r="E29" s="8">
        <f t="shared" ca="1" si="2"/>
        <v>58.974358974358978</v>
      </c>
      <c r="F29" s="5">
        <f ca="1">IFERROR(__xludf.DUMMYFUNCTION("IMPORTRANGE(""https://docs.google.com/spreadsheets/d/1rOGZhKHVnDGFqGTO7UNOJSkSJyQwVuEb2-yhWQit7lw/edit?gid=1808040716#gid=1808040716"", address(row($D27),column($D27),,,""UHV-N""))"),25)</f>
        <v>25</v>
      </c>
      <c r="G29" s="8">
        <f t="shared" ca="1" si="3"/>
        <v>71.428571428571431</v>
      </c>
      <c r="H29" s="5">
        <f ca="1">IFERROR(__xludf.DUMMYFUNCTION("IMPORTRANGE(""https://docs.google.com/spreadsheets/d/1rOGZhKHVnDGFqGTO7UNOJSkSJyQwVuEb2-yhWQit7lw/edit?gid=1058014760#gid=1058014760"", address(row($D27),column($D27),,,""DL&amp;CO-N""))"),21)</f>
        <v>21</v>
      </c>
      <c r="I29" s="8">
        <f t="shared" ca="1" si="4"/>
        <v>53.846153846153847</v>
      </c>
      <c r="J29" s="5">
        <f ca="1">IFERROR(__xludf.DUMMYFUNCTION("IMPORTRANGE(""https://docs.google.com/spreadsheets/d/1rOGZhKHVnDGFqGTO7UNOJSkSJyQwVuEb2-yhWQit7lw/edit?gid=2007015697#gid=2007015697"", address(row($D27),column($D27),,,""ADSA-N""))"),40)</f>
        <v>40</v>
      </c>
      <c r="K29" s="8">
        <f t="shared" ca="1" si="5"/>
        <v>60.606060606060609</v>
      </c>
      <c r="L29" s="5">
        <f ca="1">IFERROR(__xludf.DUMMYFUNCTION("IMPORTRANGE(""https://docs.google.com/spreadsheets/d/1rOGZhKHVnDGFqGTO7UNOJSkSJyQwVuEb2-yhWQit7lw/edit?gid=1926669029#gid=1926669029"", address(row($D27),column($D27),,,""JAVA-N""))"),35)</f>
        <v>35</v>
      </c>
      <c r="M29" s="8">
        <f t="shared" ca="1" si="6"/>
        <v>51.470588235294116</v>
      </c>
      <c r="N29" s="5">
        <f ca="1">IFERROR(__xludf.DUMMYFUNCTION("IMPORTRANGE(""https://docs.google.com/spreadsheets/d/1rOGZhKHVnDGFqGTO7UNOJSkSJyQwVuEb2-yhWQit7lw/edit?gid=1656401641#gid=1656401641"", address(row($D27),column($D27),,,""FOSS LAB-N""))"),21)</f>
        <v>21</v>
      </c>
      <c r="O29" s="8">
        <f t="shared" ca="1" si="7"/>
        <v>60</v>
      </c>
      <c r="P29" s="5">
        <f ca="1">IFERROR(__xludf.DUMMYFUNCTION("IMPORTRANGE(""https://docs.google.com/spreadsheets/d/1rOGZhKHVnDGFqGTO7UNOJSkSJyQwVuEb2-yhWQit7lw/edit?gid=1022834346#gid=1022834346"", address(row($D27),column($D27),,,""PP-N""))"),19)</f>
        <v>19</v>
      </c>
      <c r="Q29" s="8">
        <f t="shared" ca="1" si="8"/>
        <v>57.575757575757578</v>
      </c>
      <c r="R29" s="5">
        <f ca="1">IFERROR(__xludf.DUMMYFUNCTION("IMPORTRANGE(""https://docs.google.com/spreadsheets/d/1rOGZhKHVnDGFqGTO7UNOJSkSJyQwVuEb2-yhWQit7lw/edit?gid=449441702#gid=449441702"", address(row($D27),column($D27),,,""NPTEL-N""))"),18)</f>
        <v>18</v>
      </c>
      <c r="S29" s="5">
        <f t="shared" ca="1" si="9"/>
        <v>64.285714285714292</v>
      </c>
      <c r="T29" s="6">
        <f ca="1">IFERROR(__xludf.DUMMYFUNCTION("IMPORTRANGE(""https://docs.google.com/spreadsheets/d/1rOGZhKHVnDGFqGTO7UNOJSkSJyQwVuEb2-yhWQit7lw/edit?gid=77662277#gid=77662277"", address(row($D27),column($D27),,,""CRT-N""))"),60)</f>
        <v>60</v>
      </c>
      <c r="U29" s="8">
        <f t="shared" ca="1" si="10"/>
        <v>85.714285714285708</v>
      </c>
      <c r="V29" s="6">
        <f t="shared" ca="1" si="0"/>
        <v>262</v>
      </c>
      <c r="W29" s="4">
        <f t="shared" ca="1" si="11"/>
        <v>63</v>
      </c>
      <c r="X29" s="4">
        <v>0</v>
      </c>
      <c r="Y29" s="4">
        <v>0</v>
      </c>
      <c r="Z29" s="4">
        <f t="shared" ca="1" si="1"/>
        <v>262</v>
      </c>
      <c r="AA29" s="10">
        <f t="shared" ca="1" si="12"/>
        <v>63</v>
      </c>
    </row>
    <row r="30" spans="1:27" ht="15.85" customHeight="1" x14ac:dyDescent="0.3">
      <c r="A30" s="8">
        <v>25</v>
      </c>
      <c r="B30" s="11" t="s">
        <v>223</v>
      </c>
      <c r="C30" s="11" t="s">
        <v>224</v>
      </c>
      <c r="D30" s="5">
        <f ca="1">IFERROR(__xludf.DUMMYFUNCTION("IMPORTRANGE(""https://docs.google.com/spreadsheets/d/1rOGZhKHVnDGFqGTO7UNOJSkSJyQwVuEb2-yhWQit7lw/edit?gid=1117406455#gid=1117406455"", address(row($D28),column($D28),,,""DM&amp;GT-N""))"),26)</f>
        <v>26</v>
      </c>
      <c r="E30" s="8">
        <f t="shared" ca="1" si="2"/>
        <v>66.666666666666657</v>
      </c>
      <c r="F30" s="5">
        <f ca="1">IFERROR(__xludf.DUMMYFUNCTION("IMPORTRANGE(""https://docs.google.com/spreadsheets/d/1rOGZhKHVnDGFqGTO7UNOJSkSJyQwVuEb2-yhWQit7lw/edit?gid=1808040716#gid=1808040716"", address(row($D28),column($D28),,,""UHV-N""))"),24)</f>
        <v>24</v>
      </c>
      <c r="G30" s="8">
        <f t="shared" ca="1" si="3"/>
        <v>68.571428571428569</v>
      </c>
      <c r="H30" s="5">
        <f ca="1">IFERROR(__xludf.DUMMYFUNCTION("IMPORTRANGE(""https://docs.google.com/spreadsheets/d/1rOGZhKHVnDGFqGTO7UNOJSkSJyQwVuEb2-yhWQit7lw/edit?gid=1058014760#gid=1058014760"", address(row($D28),column($D28),,,""DL&amp;CO-N""))"),24)</f>
        <v>24</v>
      </c>
      <c r="I30" s="8">
        <f t="shared" ca="1" si="4"/>
        <v>61.53846153846154</v>
      </c>
      <c r="J30" s="5">
        <f ca="1">IFERROR(__xludf.DUMMYFUNCTION("IMPORTRANGE(""https://docs.google.com/spreadsheets/d/1rOGZhKHVnDGFqGTO7UNOJSkSJyQwVuEb2-yhWQit7lw/edit?gid=2007015697#gid=2007015697"", address(row($D28),column($D28),,,""ADSA-N""))"),42)</f>
        <v>42</v>
      </c>
      <c r="K30" s="8">
        <f t="shared" ca="1" si="5"/>
        <v>63.636363636363633</v>
      </c>
      <c r="L30" s="5">
        <f ca="1">IFERROR(__xludf.DUMMYFUNCTION("IMPORTRANGE(""https://docs.google.com/spreadsheets/d/1rOGZhKHVnDGFqGTO7UNOJSkSJyQwVuEb2-yhWQit7lw/edit?gid=1926669029#gid=1926669029"", address(row($D28),column($D28),,,""JAVA-N""))"),45)</f>
        <v>45</v>
      </c>
      <c r="M30" s="8">
        <f t="shared" ca="1" si="6"/>
        <v>66.17647058823529</v>
      </c>
      <c r="N30" s="5">
        <f ca="1">IFERROR(__xludf.DUMMYFUNCTION("IMPORTRANGE(""https://docs.google.com/spreadsheets/d/1rOGZhKHVnDGFqGTO7UNOJSkSJyQwVuEb2-yhWQit7lw/edit?gid=1656401641#gid=1656401641"", address(row($D28),column($D28),,,""FOSS LAB-N""))"),18)</f>
        <v>18</v>
      </c>
      <c r="O30" s="8">
        <f t="shared" ca="1" si="7"/>
        <v>51.428571428571423</v>
      </c>
      <c r="P30" s="5">
        <f ca="1">IFERROR(__xludf.DUMMYFUNCTION("IMPORTRANGE(""https://docs.google.com/spreadsheets/d/1rOGZhKHVnDGFqGTO7UNOJSkSJyQwVuEb2-yhWQit7lw/edit?gid=1022834346#gid=1022834346"", address(row($D28),column($D28),,,""PP-N""))"),22)</f>
        <v>22</v>
      </c>
      <c r="Q30" s="8">
        <f t="shared" ca="1" si="8"/>
        <v>66.666666666666657</v>
      </c>
      <c r="R30" s="5">
        <f ca="1">IFERROR(__xludf.DUMMYFUNCTION("IMPORTRANGE(""https://docs.google.com/spreadsheets/d/1rOGZhKHVnDGFqGTO7UNOJSkSJyQwVuEb2-yhWQit7lw/edit?gid=449441702#gid=449441702"", address(row($D28),column($D28),,,""NPTEL-N""))"),24)</f>
        <v>24</v>
      </c>
      <c r="S30" s="5">
        <f t="shared" ca="1" si="9"/>
        <v>85.714285714285708</v>
      </c>
      <c r="T30" s="6">
        <f ca="1">IFERROR(__xludf.DUMMYFUNCTION("IMPORTRANGE(""https://docs.google.com/spreadsheets/d/1rOGZhKHVnDGFqGTO7UNOJSkSJyQwVuEb2-yhWQit7lw/edit?gid=77662277#gid=77662277"", address(row($D28),column($D28),,,""CRT-N""))"),67)</f>
        <v>67</v>
      </c>
      <c r="U30" s="8">
        <f t="shared" ca="1" si="10"/>
        <v>95.714285714285722</v>
      </c>
      <c r="V30" s="6">
        <f t="shared" ca="1" si="0"/>
        <v>292</v>
      </c>
      <c r="W30" s="4">
        <f t="shared" ca="1" si="11"/>
        <v>71</v>
      </c>
      <c r="X30" s="4">
        <v>0</v>
      </c>
      <c r="Y30" s="4">
        <v>0</v>
      </c>
      <c r="Z30" s="4">
        <f t="shared" ca="1" si="1"/>
        <v>292</v>
      </c>
      <c r="AA30" s="10">
        <f t="shared" ca="1" si="12"/>
        <v>71</v>
      </c>
    </row>
    <row r="31" spans="1:27" ht="15.85" customHeight="1" x14ac:dyDescent="0.3">
      <c r="A31" s="8">
        <v>26</v>
      </c>
      <c r="B31" s="11" t="s">
        <v>225</v>
      </c>
      <c r="C31" s="11" t="s">
        <v>226</v>
      </c>
      <c r="D31" s="5">
        <f ca="1">IFERROR(__xludf.DUMMYFUNCTION("IMPORTRANGE(""https://docs.google.com/spreadsheets/d/1rOGZhKHVnDGFqGTO7UNOJSkSJyQwVuEb2-yhWQit7lw/edit?gid=1117406455#gid=1117406455"", address(row($D29),column($D29),,,""DM&amp;GT-N""))"),21)</f>
        <v>21</v>
      </c>
      <c r="E31" s="8">
        <f t="shared" ca="1" si="2"/>
        <v>53.846153846153847</v>
      </c>
      <c r="F31" s="5">
        <f ca="1">IFERROR(__xludf.DUMMYFUNCTION("IMPORTRANGE(""https://docs.google.com/spreadsheets/d/1rOGZhKHVnDGFqGTO7UNOJSkSJyQwVuEb2-yhWQit7lw/edit?gid=1808040716#gid=1808040716"", address(row($D29),column($D29),,,""UHV-N""))"),15)</f>
        <v>15</v>
      </c>
      <c r="G31" s="8">
        <f t="shared" ca="1" si="3"/>
        <v>42.857142857142854</v>
      </c>
      <c r="H31" s="5">
        <f ca="1">IFERROR(__xludf.DUMMYFUNCTION("IMPORTRANGE(""https://docs.google.com/spreadsheets/d/1rOGZhKHVnDGFqGTO7UNOJSkSJyQwVuEb2-yhWQit7lw/edit?gid=1058014760#gid=1058014760"", address(row($D29),column($D29),,,""DL&amp;CO-N""))"),17)</f>
        <v>17</v>
      </c>
      <c r="I31" s="8">
        <f t="shared" ca="1" si="4"/>
        <v>43.589743589743591</v>
      </c>
      <c r="J31" s="5">
        <f ca="1">IFERROR(__xludf.DUMMYFUNCTION("IMPORTRANGE(""https://docs.google.com/spreadsheets/d/1rOGZhKHVnDGFqGTO7UNOJSkSJyQwVuEb2-yhWQit7lw/edit?gid=2007015697#gid=2007015697"", address(row($D29),column($D29),,,""ADSA-N""))"),38)</f>
        <v>38</v>
      </c>
      <c r="K31" s="8">
        <f t="shared" ca="1" si="5"/>
        <v>57.575757575757578</v>
      </c>
      <c r="L31" s="5">
        <f ca="1">IFERROR(__xludf.DUMMYFUNCTION("IMPORTRANGE(""https://docs.google.com/spreadsheets/d/1rOGZhKHVnDGFqGTO7UNOJSkSJyQwVuEb2-yhWQit7lw/edit?gid=1926669029#gid=1926669029"", address(row($D29),column($D29),,,""JAVA-N""))"),40)</f>
        <v>40</v>
      </c>
      <c r="M31" s="8">
        <f t="shared" ca="1" si="6"/>
        <v>58.82352941176471</v>
      </c>
      <c r="N31" s="5">
        <f ca="1">IFERROR(__xludf.DUMMYFUNCTION("IMPORTRANGE(""https://docs.google.com/spreadsheets/d/1rOGZhKHVnDGFqGTO7UNOJSkSJyQwVuEb2-yhWQit7lw/edit?gid=1656401641#gid=1656401641"", address(row($D29),column($D29),,,""FOSS LAB-N""))"),26)</f>
        <v>26</v>
      </c>
      <c r="O31" s="8">
        <f t="shared" ca="1" si="7"/>
        <v>74.285714285714292</v>
      </c>
      <c r="P31" s="5">
        <f ca="1">IFERROR(__xludf.DUMMYFUNCTION("IMPORTRANGE(""https://docs.google.com/spreadsheets/d/1rOGZhKHVnDGFqGTO7UNOJSkSJyQwVuEb2-yhWQit7lw/edit?gid=1022834346#gid=1022834346"", address(row($D29),column($D29),,,""PP-N""))"),18)</f>
        <v>18</v>
      </c>
      <c r="Q31" s="8">
        <f t="shared" ca="1" si="8"/>
        <v>54.54545454545454</v>
      </c>
      <c r="R31" s="5">
        <f ca="1">IFERROR(__xludf.DUMMYFUNCTION("IMPORTRANGE(""https://docs.google.com/spreadsheets/d/1rOGZhKHVnDGFqGTO7UNOJSkSJyQwVuEb2-yhWQit7lw/edit?gid=449441702#gid=449441702"", address(row($D29),column($D29),,,""NPTEL-N""))"),22)</f>
        <v>22</v>
      </c>
      <c r="S31" s="5">
        <f t="shared" ca="1" si="9"/>
        <v>78.571428571428569</v>
      </c>
      <c r="T31" s="6">
        <f ca="1">IFERROR(__xludf.DUMMYFUNCTION("IMPORTRANGE(""https://docs.google.com/spreadsheets/d/1rOGZhKHVnDGFqGTO7UNOJSkSJyQwVuEb2-yhWQit7lw/edit?gid=77662277#gid=77662277"", address(row($D29),column($D29),,,""CRT-N""))"),56)</f>
        <v>56</v>
      </c>
      <c r="U31" s="8">
        <f t="shared" ca="1" si="10"/>
        <v>80</v>
      </c>
      <c r="V31" s="6">
        <f t="shared" ca="1" si="0"/>
        <v>253</v>
      </c>
      <c r="W31" s="4">
        <f t="shared" ca="1" si="11"/>
        <v>61</v>
      </c>
      <c r="X31" s="4">
        <v>0</v>
      </c>
      <c r="Y31" s="4">
        <v>0</v>
      </c>
      <c r="Z31" s="4">
        <f t="shared" ca="1" si="1"/>
        <v>253</v>
      </c>
      <c r="AA31" s="10">
        <f t="shared" ca="1" si="12"/>
        <v>61</v>
      </c>
    </row>
    <row r="32" spans="1:27" ht="15.85" customHeight="1" x14ac:dyDescent="0.3">
      <c r="A32" s="8">
        <v>27</v>
      </c>
      <c r="B32" s="11" t="s">
        <v>227</v>
      </c>
      <c r="C32" s="11" t="s">
        <v>228</v>
      </c>
      <c r="D32" s="5">
        <f ca="1">IFERROR(__xludf.DUMMYFUNCTION("IMPORTRANGE(""https://docs.google.com/spreadsheets/d/1rOGZhKHVnDGFqGTO7UNOJSkSJyQwVuEb2-yhWQit7lw/edit?gid=1117406455#gid=1117406455"", address(row($D30),column($D30),,,""DM&amp;GT-N""))"),15)</f>
        <v>15</v>
      </c>
      <c r="E32" s="8">
        <f t="shared" ca="1" si="2"/>
        <v>38.461538461538467</v>
      </c>
      <c r="F32" s="5">
        <f ca="1">IFERROR(__xludf.DUMMYFUNCTION("IMPORTRANGE(""https://docs.google.com/spreadsheets/d/1rOGZhKHVnDGFqGTO7UNOJSkSJyQwVuEb2-yhWQit7lw/edit?gid=1808040716#gid=1808040716"", address(row($D30),column($D30),,,""UHV-N""))"),16)</f>
        <v>16</v>
      </c>
      <c r="G32" s="8">
        <f t="shared" ca="1" si="3"/>
        <v>45.714285714285715</v>
      </c>
      <c r="H32" s="5">
        <f ca="1">IFERROR(__xludf.DUMMYFUNCTION("IMPORTRANGE(""https://docs.google.com/spreadsheets/d/1rOGZhKHVnDGFqGTO7UNOJSkSJyQwVuEb2-yhWQit7lw/edit?gid=1058014760#gid=1058014760"", address(row($D30),column($D30),,,""DL&amp;CO-N""))"),13)</f>
        <v>13</v>
      </c>
      <c r="I32" s="8">
        <f t="shared" ca="1" si="4"/>
        <v>33.333333333333329</v>
      </c>
      <c r="J32" s="5">
        <f ca="1">IFERROR(__xludf.DUMMYFUNCTION("IMPORTRANGE(""https://docs.google.com/spreadsheets/d/1rOGZhKHVnDGFqGTO7UNOJSkSJyQwVuEb2-yhWQit7lw/edit?gid=2007015697#gid=2007015697"", address(row($D30),column($D30),,,""ADSA-N""))"),34)</f>
        <v>34</v>
      </c>
      <c r="K32" s="8">
        <f t="shared" ca="1" si="5"/>
        <v>51.515151515151516</v>
      </c>
      <c r="L32" s="5">
        <f ca="1">IFERROR(__xludf.DUMMYFUNCTION("IMPORTRANGE(""https://docs.google.com/spreadsheets/d/1rOGZhKHVnDGFqGTO7UNOJSkSJyQwVuEb2-yhWQit7lw/edit?gid=1926669029#gid=1926669029"", address(row($D30),column($D30),,,""JAVA-N""))"),35)</f>
        <v>35</v>
      </c>
      <c r="M32" s="8">
        <f t="shared" ca="1" si="6"/>
        <v>51.470588235294116</v>
      </c>
      <c r="N32" s="5">
        <f ca="1">IFERROR(__xludf.DUMMYFUNCTION("IMPORTRANGE(""https://docs.google.com/spreadsheets/d/1rOGZhKHVnDGFqGTO7UNOJSkSJyQwVuEb2-yhWQit7lw/edit?gid=1656401641#gid=1656401641"", address(row($D30),column($D30),,,""FOSS LAB-N""))"),18)</f>
        <v>18</v>
      </c>
      <c r="O32" s="8">
        <f t="shared" ca="1" si="7"/>
        <v>51.428571428571423</v>
      </c>
      <c r="P32" s="5">
        <f ca="1">IFERROR(__xludf.DUMMYFUNCTION("IMPORTRANGE(""https://docs.google.com/spreadsheets/d/1rOGZhKHVnDGFqGTO7UNOJSkSJyQwVuEb2-yhWQit7lw/edit?gid=1022834346#gid=1022834346"", address(row($D30),column($D30),,,""PP-N""))"),21)</f>
        <v>21</v>
      </c>
      <c r="Q32" s="8">
        <f t="shared" ca="1" si="8"/>
        <v>63.636363636363633</v>
      </c>
      <c r="R32" s="5">
        <f ca="1">IFERROR(__xludf.DUMMYFUNCTION("IMPORTRANGE(""https://docs.google.com/spreadsheets/d/1rOGZhKHVnDGFqGTO7UNOJSkSJyQwVuEb2-yhWQit7lw/edit?gid=449441702#gid=449441702"", address(row($D30),column($D30),,,""NPTEL-N""))"),18)</f>
        <v>18</v>
      </c>
      <c r="S32" s="5">
        <f t="shared" ca="1" si="9"/>
        <v>64.285714285714292</v>
      </c>
      <c r="T32" s="6">
        <f ca="1">IFERROR(__xludf.DUMMYFUNCTION("IMPORTRANGE(""https://docs.google.com/spreadsheets/d/1rOGZhKHVnDGFqGTO7UNOJSkSJyQwVuEb2-yhWQit7lw/edit?gid=77662277#gid=77662277"", address(row($D30),column($D30),,,""CRT-N""))"),22)</f>
        <v>22</v>
      </c>
      <c r="U32" s="8">
        <f t="shared" ca="1" si="10"/>
        <v>31.428571428571427</v>
      </c>
      <c r="V32" s="6">
        <f t="shared" ca="1" si="0"/>
        <v>192</v>
      </c>
      <c r="W32" s="4">
        <f t="shared" ca="1" si="11"/>
        <v>46</v>
      </c>
      <c r="X32" s="4">
        <v>0</v>
      </c>
      <c r="Y32" s="4">
        <v>0</v>
      </c>
      <c r="Z32" s="4">
        <f t="shared" ca="1" si="1"/>
        <v>192</v>
      </c>
      <c r="AA32" s="10">
        <f t="shared" ca="1" si="12"/>
        <v>46</v>
      </c>
    </row>
    <row r="33" spans="1:27" ht="15.85" customHeight="1" x14ac:dyDescent="0.3">
      <c r="A33" s="8">
        <v>28</v>
      </c>
      <c r="B33" s="11" t="s">
        <v>229</v>
      </c>
      <c r="C33" s="11" t="s">
        <v>230</v>
      </c>
      <c r="D33" s="5">
        <f ca="1">IFERROR(__xludf.DUMMYFUNCTION("IMPORTRANGE(""https://docs.google.com/spreadsheets/d/1rOGZhKHVnDGFqGTO7UNOJSkSJyQwVuEb2-yhWQit7lw/edit?gid=1117406455#gid=1117406455"", address(row($D31),column($D31),,,""DM&amp;GT-N""))"),24)</f>
        <v>24</v>
      </c>
      <c r="E33" s="8">
        <f t="shared" ca="1" si="2"/>
        <v>61.53846153846154</v>
      </c>
      <c r="F33" s="5">
        <f ca="1">IFERROR(__xludf.DUMMYFUNCTION("IMPORTRANGE(""https://docs.google.com/spreadsheets/d/1rOGZhKHVnDGFqGTO7UNOJSkSJyQwVuEb2-yhWQit7lw/edit?gid=1808040716#gid=1808040716"", address(row($D31),column($D31),,,""UHV-N""))"),21)</f>
        <v>21</v>
      </c>
      <c r="G33" s="8">
        <f t="shared" ca="1" si="3"/>
        <v>60</v>
      </c>
      <c r="H33" s="5">
        <f ca="1">IFERROR(__xludf.DUMMYFUNCTION("IMPORTRANGE(""https://docs.google.com/spreadsheets/d/1rOGZhKHVnDGFqGTO7UNOJSkSJyQwVuEb2-yhWQit7lw/edit?gid=1058014760#gid=1058014760"", address(row($D31),column($D31),,,""DL&amp;CO-N""))"),20)</f>
        <v>20</v>
      </c>
      <c r="I33" s="8">
        <f t="shared" ca="1" si="4"/>
        <v>51.282051282051277</v>
      </c>
      <c r="J33" s="5">
        <f ca="1">IFERROR(__xludf.DUMMYFUNCTION("IMPORTRANGE(""https://docs.google.com/spreadsheets/d/1rOGZhKHVnDGFqGTO7UNOJSkSJyQwVuEb2-yhWQit7lw/edit?gid=2007015697#gid=2007015697"", address(row($D31),column($D31),,,""ADSA-N""))"),46)</f>
        <v>46</v>
      </c>
      <c r="K33" s="8">
        <f t="shared" ca="1" si="5"/>
        <v>69.696969696969703</v>
      </c>
      <c r="L33" s="5">
        <f ca="1">IFERROR(__xludf.DUMMYFUNCTION("IMPORTRANGE(""https://docs.google.com/spreadsheets/d/1rOGZhKHVnDGFqGTO7UNOJSkSJyQwVuEb2-yhWQit7lw/edit?gid=1926669029#gid=1926669029"", address(row($D31),column($D31),,,""JAVA-N""))"),44)</f>
        <v>44</v>
      </c>
      <c r="M33" s="8">
        <f t="shared" ca="1" si="6"/>
        <v>64.705882352941174</v>
      </c>
      <c r="N33" s="5">
        <f ca="1">IFERROR(__xludf.DUMMYFUNCTION("IMPORTRANGE(""https://docs.google.com/spreadsheets/d/1rOGZhKHVnDGFqGTO7UNOJSkSJyQwVuEb2-yhWQit7lw/edit?gid=1656401641#gid=1656401641"", address(row($D31),column($D31),,,""FOSS LAB-N""))"),26)</f>
        <v>26</v>
      </c>
      <c r="O33" s="8">
        <f t="shared" ca="1" si="7"/>
        <v>74.285714285714292</v>
      </c>
      <c r="P33" s="5">
        <f ca="1">IFERROR(__xludf.DUMMYFUNCTION("IMPORTRANGE(""https://docs.google.com/spreadsheets/d/1rOGZhKHVnDGFqGTO7UNOJSkSJyQwVuEb2-yhWQit7lw/edit?gid=1022834346#gid=1022834346"", address(row($D31),column($D31),,,""PP-N""))"),23)</f>
        <v>23</v>
      </c>
      <c r="Q33" s="8">
        <f t="shared" ca="1" si="8"/>
        <v>69.696969696969703</v>
      </c>
      <c r="R33" s="5">
        <f ca="1">IFERROR(__xludf.DUMMYFUNCTION("IMPORTRANGE(""https://docs.google.com/spreadsheets/d/1rOGZhKHVnDGFqGTO7UNOJSkSJyQwVuEb2-yhWQit7lw/edit?gid=449441702#gid=449441702"", address(row($D31),column($D31),,,""NPTEL-N""))"),26)</f>
        <v>26</v>
      </c>
      <c r="S33" s="5">
        <f t="shared" ca="1" si="9"/>
        <v>92.857142857142861</v>
      </c>
      <c r="T33" s="6">
        <f ca="1">IFERROR(__xludf.DUMMYFUNCTION("IMPORTRANGE(""https://docs.google.com/spreadsheets/d/1rOGZhKHVnDGFqGTO7UNOJSkSJyQwVuEb2-yhWQit7lw/edit?gid=77662277#gid=77662277"", address(row($D31),column($D31),,,""CRT-N""))"),49)</f>
        <v>49</v>
      </c>
      <c r="U33" s="8">
        <f t="shared" ca="1" si="10"/>
        <v>70</v>
      </c>
      <c r="V33" s="6">
        <f t="shared" ca="1" si="0"/>
        <v>279</v>
      </c>
      <c r="W33" s="4">
        <f t="shared" ca="1" si="11"/>
        <v>68</v>
      </c>
      <c r="X33" s="4">
        <v>0</v>
      </c>
      <c r="Y33" s="4">
        <v>0</v>
      </c>
      <c r="Z33" s="4">
        <f t="shared" ca="1" si="1"/>
        <v>279</v>
      </c>
      <c r="AA33" s="10">
        <f t="shared" ca="1" si="12"/>
        <v>68</v>
      </c>
    </row>
    <row r="34" spans="1:27" ht="15.85" customHeight="1" x14ac:dyDescent="0.3">
      <c r="A34" s="8">
        <v>29</v>
      </c>
      <c r="B34" s="11" t="s">
        <v>231</v>
      </c>
      <c r="C34" s="11" t="s">
        <v>232</v>
      </c>
      <c r="D34" s="5">
        <f ca="1">IFERROR(__xludf.DUMMYFUNCTION("IMPORTRANGE(""https://docs.google.com/spreadsheets/d/1rOGZhKHVnDGFqGTO7UNOJSkSJyQwVuEb2-yhWQit7lw/edit?gid=1117406455#gid=1117406455"", address(row($D32),column($D32),,,""DM&amp;GT-N""))"),31)</f>
        <v>31</v>
      </c>
      <c r="E34" s="8">
        <f t="shared" ca="1" si="2"/>
        <v>79.487179487179489</v>
      </c>
      <c r="F34" s="5">
        <f ca="1">IFERROR(__xludf.DUMMYFUNCTION("IMPORTRANGE(""https://docs.google.com/spreadsheets/d/1rOGZhKHVnDGFqGTO7UNOJSkSJyQwVuEb2-yhWQit7lw/edit?gid=1808040716#gid=1808040716"", address(row($D32),column($D32),,,""UHV-N""))"),33)</f>
        <v>33</v>
      </c>
      <c r="G34" s="8">
        <f t="shared" ca="1" si="3"/>
        <v>94.285714285714278</v>
      </c>
      <c r="H34" s="5">
        <f ca="1">IFERROR(__xludf.DUMMYFUNCTION("IMPORTRANGE(""https://docs.google.com/spreadsheets/d/1rOGZhKHVnDGFqGTO7UNOJSkSJyQwVuEb2-yhWQit7lw/edit?gid=1058014760#gid=1058014760"", address(row($D32),column($D32),,,""DL&amp;CO-N""))"),33)</f>
        <v>33</v>
      </c>
      <c r="I34" s="8">
        <f t="shared" ca="1" si="4"/>
        <v>84.615384615384613</v>
      </c>
      <c r="J34" s="5">
        <f ca="1">IFERROR(__xludf.DUMMYFUNCTION("IMPORTRANGE(""https://docs.google.com/spreadsheets/d/1rOGZhKHVnDGFqGTO7UNOJSkSJyQwVuEb2-yhWQit7lw/edit?gid=2007015697#gid=2007015697"", address(row($D32),column($D32),,,""ADSA-N""))"),63)</f>
        <v>63</v>
      </c>
      <c r="K34" s="8">
        <f t="shared" ca="1" si="5"/>
        <v>95.454545454545453</v>
      </c>
      <c r="L34" s="5">
        <f ca="1">IFERROR(__xludf.DUMMYFUNCTION("IMPORTRANGE(""https://docs.google.com/spreadsheets/d/1rOGZhKHVnDGFqGTO7UNOJSkSJyQwVuEb2-yhWQit7lw/edit?gid=1926669029#gid=1926669029"", address(row($D32),column($D32),,,""JAVA-N""))"),60)</f>
        <v>60</v>
      </c>
      <c r="M34" s="8">
        <f t="shared" ca="1" si="6"/>
        <v>88.235294117647058</v>
      </c>
      <c r="N34" s="5">
        <f ca="1">IFERROR(__xludf.DUMMYFUNCTION("IMPORTRANGE(""https://docs.google.com/spreadsheets/d/1rOGZhKHVnDGFqGTO7UNOJSkSJyQwVuEb2-yhWQit7lw/edit?gid=1656401641#gid=1656401641"", address(row($D32),column($D32),,,""FOSS LAB-N""))"),35)</f>
        <v>35</v>
      </c>
      <c r="O34" s="8">
        <f t="shared" ca="1" si="7"/>
        <v>100</v>
      </c>
      <c r="P34" s="5">
        <f ca="1">IFERROR(__xludf.DUMMYFUNCTION("IMPORTRANGE(""https://docs.google.com/spreadsheets/d/1rOGZhKHVnDGFqGTO7UNOJSkSJyQwVuEb2-yhWQit7lw/edit?gid=1022834346#gid=1022834346"", address(row($D32),column($D32),,,""PP-N""))"),33)</f>
        <v>33</v>
      </c>
      <c r="Q34" s="8">
        <f t="shared" ca="1" si="8"/>
        <v>100</v>
      </c>
      <c r="R34" s="5">
        <f ca="1">IFERROR(__xludf.DUMMYFUNCTION("IMPORTRANGE(""https://docs.google.com/spreadsheets/d/1rOGZhKHVnDGFqGTO7UNOJSkSJyQwVuEb2-yhWQit7lw/edit?gid=449441702#gid=449441702"", address(row($D32),column($D32),,,""NPTEL-N""))"),18)</f>
        <v>18</v>
      </c>
      <c r="S34" s="5">
        <f t="shared" ca="1" si="9"/>
        <v>64.285714285714292</v>
      </c>
      <c r="T34" s="6">
        <f ca="1">IFERROR(__xludf.DUMMYFUNCTION("IMPORTRANGE(""https://docs.google.com/spreadsheets/d/1rOGZhKHVnDGFqGTO7UNOJSkSJyQwVuEb2-yhWQit7lw/edit?gid=77662277#gid=77662277"", address(row($D32),column($D32),,,""CRT-N""))"),67)</f>
        <v>67</v>
      </c>
      <c r="U34" s="8">
        <f t="shared" ca="1" si="10"/>
        <v>95.714285714285722</v>
      </c>
      <c r="V34" s="6">
        <f t="shared" ca="1" si="0"/>
        <v>373</v>
      </c>
      <c r="W34" s="4">
        <f t="shared" ca="1" si="11"/>
        <v>90</v>
      </c>
      <c r="X34" s="4">
        <v>0</v>
      </c>
      <c r="Y34" s="4">
        <v>0</v>
      </c>
      <c r="Z34" s="4">
        <f t="shared" ca="1" si="1"/>
        <v>373</v>
      </c>
      <c r="AA34" s="10">
        <f t="shared" ca="1" si="12"/>
        <v>90</v>
      </c>
    </row>
    <row r="35" spans="1:27" ht="15.85" customHeight="1" x14ac:dyDescent="0.3">
      <c r="A35" s="8">
        <v>30</v>
      </c>
      <c r="B35" s="11" t="s">
        <v>233</v>
      </c>
      <c r="C35" s="11" t="s">
        <v>234</v>
      </c>
      <c r="D35" s="5">
        <f ca="1">IFERROR(__xludf.DUMMYFUNCTION("IMPORTRANGE(""https://docs.google.com/spreadsheets/d/1rOGZhKHVnDGFqGTO7UNOJSkSJyQwVuEb2-yhWQit7lw/edit?gid=1117406455#gid=1117406455"", address(row($D33),column($D33),,,""DM&amp;GT-N""))"),33)</f>
        <v>33</v>
      </c>
      <c r="E35" s="8">
        <f t="shared" ca="1" si="2"/>
        <v>84.615384615384613</v>
      </c>
      <c r="F35" s="5">
        <f ca="1">IFERROR(__xludf.DUMMYFUNCTION("IMPORTRANGE(""https://docs.google.com/spreadsheets/d/1rOGZhKHVnDGFqGTO7UNOJSkSJyQwVuEb2-yhWQit7lw/edit?gid=1808040716#gid=1808040716"", address(row($D33),column($D33),,,""UHV-N""))"),34)</f>
        <v>34</v>
      </c>
      <c r="G35" s="8">
        <f t="shared" ca="1" si="3"/>
        <v>97.142857142857139</v>
      </c>
      <c r="H35" s="5">
        <f ca="1">IFERROR(__xludf.DUMMYFUNCTION("IMPORTRANGE(""https://docs.google.com/spreadsheets/d/1rOGZhKHVnDGFqGTO7UNOJSkSJyQwVuEb2-yhWQit7lw/edit?gid=1058014760#gid=1058014760"", address(row($D33),column($D33),,,""DL&amp;CO-N""))"),33)</f>
        <v>33</v>
      </c>
      <c r="I35" s="8">
        <f t="shared" ca="1" si="4"/>
        <v>84.615384615384613</v>
      </c>
      <c r="J35" s="5">
        <f ca="1">IFERROR(__xludf.DUMMYFUNCTION("IMPORTRANGE(""https://docs.google.com/spreadsheets/d/1rOGZhKHVnDGFqGTO7UNOJSkSJyQwVuEb2-yhWQit7lw/edit?gid=2007015697#gid=2007015697"", address(row($D33),column($D33),,,""ADSA-N""))"),53)</f>
        <v>53</v>
      </c>
      <c r="K35" s="8">
        <f t="shared" ca="1" si="5"/>
        <v>80.303030303030297</v>
      </c>
      <c r="L35" s="5">
        <f ca="1">IFERROR(__xludf.DUMMYFUNCTION("IMPORTRANGE(""https://docs.google.com/spreadsheets/d/1rOGZhKHVnDGFqGTO7UNOJSkSJyQwVuEb2-yhWQit7lw/edit?gid=1926669029#gid=1926669029"", address(row($D33),column($D33),,,""JAVA-N""))"),58)</f>
        <v>58</v>
      </c>
      <c r="M35" s="8">
        <f t="shared" ca="1" si="6"/>
        <v>85.294117647058826</v>
      </c>
      <c r="N35" s="5">
        <f ca="1">IFERROR(__xludf.DUMMYFUNCTION("IMPORTRANGE(""https://docs.google.com/spreadsheets/d/1rOGZhKHVnDGFqGTO7UNOJSkSJyQwVuEb2-yhWQit7lw/edit?gid=1656401641#gid=1656401641"", address(row($D33),column($D33),,,""FOSS LAB-N""))"),32)</f>
        <v>32</v>
      </c>
      <c r="O35" s="8">
        <f t="shared" ca="1" si="7"/>
        <v>91.428571428571431</v>
      </c>
      <c r="P35" s="5">
        <f ca="1">IFERROR(__xludf.DUMMYFUNCTION("IMPORTRANGE(""https://docs.google.com/spreadsheets/d/1rOGZhKHVnDGFqGTO7UNOJSkSJyQwVuEb2-yhWQit7lw/edit?gid=1022834346#gid=1022834346"", address(row($D33),column($D33),,,""PP-N""))"),29)</f>
        <v>29</v>
      </c>
      <c r="Q35" s="8">
        <f t="shared" ca="1" si="8"/>
        <v>87.878787878787875</v>
      </c>
      <c r="R35" s="5">
        <f ca="1">IFERROR(__xludf.DUMMYFUNCTION("IMPORTRANGE(""https://docs.google.com/spreadsheets/d/1rOGZhKHVnDGFqGTO7UNOJSkSJyQwVuEb2-yhWQit7lw/edit?gid=449441702#gid=449441702"", address(row($D33),column($D33),,,""NPTEL-N""))"),26)</f>
        <v>26</v>
      </c>
      <c r="S35" s="5">
        <f t="shared" ca="1" si="9"/>
        <v>92.857142857142861</v>
      </c>
      <c r="T35" s="6">
        <f ca="1">IFERROR(__xludf.DUMMYFUNCTION("IMPORTRANGE(""https://docs.google.com/spreadsheets/d/1rOGZhKHVnDGFqGTO7UNOJSkSJyQwVuEb2-yhWQit7lw/edit?gid=77662277#gid=77662277"", address(row($D33),column($D33),,,""CRT-N""))"),42)</f>
        <v>42</v>
      </c>
      <c r="U35" s="8">
        <f t="shared" ca="1" si="10"/>
        <v>60</v>
      </c>
      <c r="V35" s="6">
        <f t="shared" ca="1" si="0"/>
        <v>340</v>
      </c>
      <c r="W35" s="4">
        <f t="shared" ca="1" si="11"/>
        <v>82</v>
      </c>
      <c r="X35" s="4">
        <v>0</v>
      </c>
      <c r="Y35" s="4">
        <v>0</v>
      </c>
      <c r="Z35" s="4">
        <f t="shared" ca="1" si="1"/>
        <v>340</v>
      </c>
      <c r="AA35" s="10">
        <f t="shared" ca="1" si="12"/>
        <v>82</v>
      </c>
    </row>
    <row r="36" spans="1:27" ht="15.85" customHeight="1" x14ac:dyDescent="0.3">
      <c r="A36" s="8">
        <v>31</v>
      </c>
      <c r="B36" s="11" t="s">
        <v>235</v>
      </c>
      <c r="C36" s="11" t="s">
        <v>236</v>
      </c>
      <c r="D36" s="5">
        <f ca="1">IFERROR(__xludf.DUMMYFUNCTION("IMPORTRANGE(""https://docs.google.com/spreadsheets/d/1rOGZhKHVnDGFqGTO7UNOJSkSJyQwVuEb2-yhWQit7lw/edit?gid=1117406455#gid=1117406455"", address(row($D34),column($D34),,,""DM&amp;GT-N""))"),20)</f>
        <v>20</v>
      </c>
      <c r="E36" s="8">
        <f t="shared" ca="1" si="2"/>
        <v>51.282051282051277</v>
      </c>
      <c r="F36" s="5">
        <f ca="1">IFERROR(__xludf.DUMMYFUNCTION("IMPORTRANGE(""https://docs.google.com/spreadsheets/d/1rOGZhKHVnDGFqGTO7UNOJSkSJyQwVuEb2-yhWQit7lw/edit?gid=1808040716#gid=1808040716"", address(row($D34),column($D34),,,""UHV-N""))"),21)</f>
        <v>21</v>
      </c>
      <c r="G36" s="8">
        <f t="shared" ca="1" si="3"/>
        <v>60</v>
      </c>
      <c r="H36" s="5">
        <f ca="1">IFERROR(__xludf.DUMMYFUNCTION("IMPORTRANGE(""https://docs.google.com/spreadsheets/d/1rOGZhKHVnDGFqGTO7UNOJSkSJyQwVuEb2-yhWQit7lw/edit?gid=1058014760#gid=1058014760"", address(row($D34),column($D34),,,""DL&amp;CO-N""))"),19)</f>
        <v>19</v>
      </c>
      <c r="I36" s="8">
        <f t="shared" ca="1" si="4"/>
        <v>48.717948717948715</v>
      </c>
      <c r="J36" s="5">
        <f ca="1">IFERROR(__xludf.DUMMYFUNCTION("IMPORTRANGE(""https://docs.google.com/spreadsheets/d/1rOGZhKHVnDGFqGTO7UNOJSkSJyQwVuEb2-yhWQit7lw/edit?gid=2007015697#gid=2007015697"", address(row($D34),column($D34),,,""ADSA-N""))"),34)</f>
        <v>34</v>
      </c>
      <c r="K36" s="8">
        <f t="shared" ca="1" si="5"/>
        <v>51.515151515151516</v>
      </c>
      <c r="L36" s="5">
        <f ca="1">IFERROR(__xludf.DUMMYFUNCTION("IMPORTRANGE(""https://docs.google.com/spreadsheets/d/1rOGZhKHVnDGFqGTO7UNOJSkSJyQwVuEb2-yhWQit7lw/edit?gid=1926669029#gid=1926669029"", address(row($D34),column($D34),,,""JAVA-N""))"),38)</f>
        <v>38</v>
      </c>
      <c r="M36" s="8">
        <f t="shared" ca="1" si="6"/>
        <v>55.882352941176471</v>
      </c>
      <c r="N36" s="5">
        <f ca="1">IFERROR(__xludf.DUMMYFUNCTION("IMPORTRANGE(""https://docs.google.com/spreadsheets/d/1rOGZhKHVnDGFqGTO7UNOJSkSJyQwVuEb2-yhWQit7lw/edit?gid=1656401641#gid=1656401641"", address(row($D34),column($D34),,,""FOSS LAB-N""))"),26)</f>
        <v>26</v>
      </c>
      <c r="O36" s="8">
        <f t="shared" ca="1" si="7"/>
        <v>74.285714285714292</v>
      </c>
      <c r="P36" s="5">
        <f ca="1">IFERROR(__xludf.DUMMYFUNCTION("IMPORTRANGE(""https://docs.google.com/spreadsheets/d/1rOGZhKHVnDGFqGTO7UNOJSkSJyQwVuEb2-yhWQit7lw/edit?gid=1022834346#gid=1022834346"", address(row($D34),column($D34),,,""PP-N""))"),20)</f>
        <v>20</v>
      </c>
      <c r="Q36" s="8">
        <f t="shared" ca="1" si="8"/>
        <v>60.606060606060609</v>
      </c>
      <c r="R36" s="5">
        <f ca="1">IFERROR(__xludf.DUMMYFUNCTION("IMPORTRANGE(""https://docs.google.com/spreadsheets/d/1rOGZhKHVnDGFqGTO7UNOJSkSJyQwVuEb2-yhWQit7lw/edit?gid=449441702#gid=449441702"", address(row($D34),column($D34),,,""NPTEL-N""))"),18)</f>
        <v>18</v>
      </c>
      <c r="S36" s="5">
        <f t="shared" ca="1" si="9"/>
        <v>64.285714285714292</v>
      </c>
      <c r="T36" s="6">
        <f ca="1">IFERROR(__xludf.DUMMYFUNCTION("IMPORTRANGE(""https://docs.google.com/spreadsheets/d/1rOGZhKHVnDGFqGTO7UNOJSkSJyQwVuEb2-yhWQit7lw/edit?gid=77662277#gid=77662277"", address(row($D34),column($D34),,,""CRT-N""))"),70)</f>
        <v>70</v>
      </c>
      <c r="U36" s="8">
        <f t="shared" ca="1" si="10"/>
        <v>100</v>
      </c>
      <c r="V36" s="6">
        <f t="shared" ca="1" si="0"/>
        <v>266</v>
      </c>
      <c r="W36" s="4">
        <f t="shared" ca="1" si="11"/>
        <v>64</v>
      </c>
      <c r="X36" s="4">
        <v>0</v>
      </c>
      <c r="Y36" s="4">
        <v>0</v>
      </c>
      <c r="Z36" s="4">
        <f t="shared" ca="1" si="1"/>
        <v>266</v>
      </c>
      <c r="AA36" s="10">
        <f t="shared" ca="1" si="12"/>
        <v>64</v>
      </c>
    </row>
    <row r="37" spans="1:27" ht="15.85" customHeight="1" x14ac:dyDescent="0.3">
      <c r="A37" s="8">
        <v>32</v>
      </c>
      <c r="B37" s="11" t="s">
        <v>237</v>
      </c>
      <c r="C37" s="11" t="s">
        <v>238</v>
      </c>
      <c r="D37" s="5">
        <f ca="1">IFERROR(__xludf.DUMMYFUNCTION("IMPORTRANGE(""https://docs.google.com/spreadsheets/d/1rOGZhKHVnDGFqGTO7UNOJSkSJyQwVuEb2-yhWQit7lw/edit?gid=1117406455#gid=1117406455"", address(row($D35),column($D35),,,""DM&amp;GT-N""))"),32)</f>
        <v>32</v>
      </c>
      <c r="E37" s="8">
        <f t="shared" ca="1" si="2"/>
        <v>82.051282051282044</v>
      </c>
      <c r="F37" s="5">
        <f ca="1">IFERROR(__xludf.DUMMYFUNCTION("IMPORTRANGE(""https://docs.google.com/spreadsheets/d/1rOGZhKHVnDGFqGTO7UNOJSkSJyQwVuEb2-yhWQit7lw/edit?gid=1808040716#gid=1808040716"", address(row($D35),column($D35),,,""UHV-N""))"),32)</f>
        <v>32</v>
      </c>
      <c r="G37" s="8">
        <f t="shared" ca="1" si="3"/>
        <v>91.428571428571431</v>
      </c>
      <c r="H37" s="5">
        <f ca="1">IFERROR(__xludf.DUMMYFUNCTION("IMPORTRANGE(""https://docs.google.com/spreadsheets/d/1rOGZhKHVnDGFqGTO7UNOJSkSJyQwVuEb2-yhWQit7lw/edit?gid=1058014760#gid=1058014760"", address(row($D35),column($D35),,,""DL&amp;CO-N""))"),33)</f>
        <v>33</v>
      </c>
      <c r="I37" s="8">
        <f t="shared" ca="1" si="4"/>
        <v>84.615384615384613</v>
      </c>
      <c r="J37" s="5">
        <f ca="1">IFERROR(__xludf.DUMMYFUNCTION("IMPORTRANGE(""https://docs.google.com/spreadsheets/d/1rOGZhKHVnDGFqGTO7UNOJSkSJyQwVuEb2-yhWQit7lw/edit?gid=2007015697#gid=2007015697"", address(row($D35),column($D35),,,""ADSA-N""))"),58)</f>
        <v>58</v>
      </c>
      <c r="K37" s="8">
        <f t="shared" ca="1" si="5"/>
        <v>87.878787878787875</v>
      </c>
      <c r="L37" s="5">
        <f ca="1">IFERROR(__xludf.DUMMYFUNCTION("IMPORTRANGE(""https://docs.google.com/spreadsheets/d/1rOGZhKHVnDGFqGTO7UNOJSkSJyQwVuEb2-yhWQit7lw/edit?gid=1926669029#gid=1926669029"", address(row($D35),column($D35),,,""JAVA-N""))"),62)</f>
        <v>62</v>
      </c>
      <c r="M37" s="8">
        <f t="shared" ca="1" si="6"/>
        <v>91.17647058823529</v>
      </c>
      <c r="N37" s="5">
        <f ca="1">IFERROR(__xludf.DUMMYFUNCTION("IMPORTRANGE(""https://docs.google.com/spreadsheets/d/1rOGZhKHVnDGFqGTO7UNOJSkSJyQwVuEb2-yhWQit7lw/edit?gid=1656401641#gid=1656401641"", address(row($D35),column($D35),,,""FOSS LAB-N""))"),32)</f>
        <v>32</v>
      </c>
      <c r="O37" s="8">
        <f t="shared" ca="1" si="7"/>
        <v>91.428571428571431</v>
      </c>
      <c r="P37" s="5">
        <f ca="1">IFERROR(__xludf.DUMMYFUNCTION("IMPORTRANGE(""https://docs.google.com/spreadsheets/d/1rOGZhKHVnDGFqGTO7UNOJSkSJyQwVuEb2-yhWQit7lw/edit?gid=1022834346#gid=1022834346"", address(row($D35),column($D35),,,""PP-N""))"),31)</f>
        <v>31</v>
      </c>
      <c r="Q37" s="8">
        <f t="shared" ca="1" si="8"/>
        <v>93.939393939393938</v>
      </c>
      <c r="R37" s="5">
        <f ca="1">IFERROR(__xludf.DUMMYFUNCTION("IMPORTRANGE(""https://docs.google.com/spreadsheets/d/1rOGZhKHVnDGFqGTO7UNOJSkSJyQwVuEb2-yhWQit7lw/edit?gid=449441702#gid=449441702"", address(row($D35),column($D35),,,""NPTEL-N""))"),26)</f>
        <v>26</v>
      </c>
      <c r="S37" s="5">
        <f t="shared" ca="1" si="9"/>
        <v>92.857142857142861</v>
      </c>
      <c r="T37" s="6">
        <f ca="1">IFERROR(__xludf.DUMMYFUNCTION("IMPORTRANGE(""https://docs.google.com/spreadsheets/d/1rOGZhKHVnDGFqGTO7UNOJSkSJyQwVuEb2-yhWQit7lw/edit?gid=77662277#gid=77662277"", address(row($D35),column($D35),,,""CRT-N""))"),70)</f>
        <v>70</v>
      </c>
      <c r="U37" s="8">
        <f t="shared" ca="1" si="10"/>
        <v>100</v>
      </c>
      <c r="V37" s="6">
        <f t="shared" ca="1" si="0"/>
        <v>376</v>
      </c>
      <c r="W37" s="4">
        <f t="shared" ca="1" si="11"/>
        <v>91</v>
      </c>
      <c r="X37" s="4">
        <v>0</v>
      </c>
      <c r="Y37" s="4">
        <v>0</v>
      </c>
      <c r="Z37" s="4">
        <f t="shared" ca="1" si="1"/>
        <v>376</v>
      </c>
      <c r="AA37" s="10">
        <f t="shared" ca="1" si="12"/>
        <v>91</v>
      </c>
    </row>
    <row r="38" spans="1:27" ht="15.85" customHeight="1" x14ac:dyDescent="0.3">
      <c r="A38" s="8">
        <v>33</v>
      </c>
      <c r="B38" s="11" t="s">
        <v>239</v>
      </c>
      <c r="C38" s="11" t="s">
        <v>240</v>
      </c>
      <c r="D38" s="5">
        <f ca="1">IFERROR(__xludf.DUMMYFUNCTION("IMPORTRANGE(""https://docs.google.com/spreadsheets/d/1rOGZhKHVnDGFqGTO7UNOJSkSJyQwVuEb2-yhWQit7lw/edit?gid=1117406455#gid=1117406455"", address(row($D36),column($D36),,,""DM&amp;GT-N""))"),23)</f>
        <v>23</v>
      </c>
      <c r="E38" s="8">
        <f t="shared" ca="1" si="2"/>
        <v>58.974358974358978</v>
      </c>
      <c r="F38" s="5">
        <f ca="1">IFERROR(__xludf.DUMMYFUNCTION("IMPORTRANGE(""https://docs.google.com/spreadsheets/d/1rOGZhKHVnDGFqGTO7UNOJSkSJyQwVuEb2-yhWQit7lw/edit?gid=1808040716#gid=1808040716"", address(row($D36),column($D36),,,""UHV-N""))"),21)</f>
        <v>21</v>
      </c>
      <c r="G38" s="8">
        <f t="shared" ca="1" si="3"/>
        <v>60</v>
      </c>
      <c r="H38" s="5">
        <f ca="1">IFERROR(__xludf.DUMMYFUNCTION("IMPORTRANGE(""https://docs.google.com/spreadsheets/d/1rOGZhKHVnDGFqGTO7UNOJSkSJyQwVuEb2-yhWQit7lw/edit?gid=1058014760#gid=1058014760"", address(row($D36),column($D36),,,""DL&amp;CO-N""))"),20)</f>
        <v>20</v>
      </c>
      <c r="I38" s="8">
        <f t="shared" ca="1" si="4"/>
        <v>51.282051282051277</v>
      </c>
      <c r="J38" s="5">
        <f ca="1">IFERROR(__xludf.DUMMYFUNCTION("IMPORTRANGE(""https://docs.google.com/spreadsheets/d/1rOGZhKHVnDGFqGTO7UNOJSkSJyQwVuEb2-yhWQit7lw/edit?gid=2007015697#gid=2007015697"", address(row($D36),column($D36),,,""ADSA-N""))"),32)</f>
        <v>32</v>
      </c>
      <c r="K38" s="8">
        <f t="shared" ca="1" si="5"/>
        <v>48.484848484848484</v>
      </c>
      <c r="L38" s="5">
        <f ca="1">IFERROR(__xludf.DUMMYFUNCTION("IMPORTRANGE(""https://docs.google.com/spreadsheets/d/1rOGZhKHVnDGFqGTO7UNOJSkSJyQwVuEb2-yhWQit7lw/edit?gid=1926669029#gid=1926669029"", address(row($D36),column($D36),,,""JAVA-N""))"),35)</f>
        <v>35</v>
      </c>
      <c r="M38" s="8">
        <f t="shared" ca="1" si="6"/>
        <v>51.470588235294116</v>
      </c>
      <c r="N38" s="5">
        <f ca="1">IFERROR(__xludf.DUMMYFUNCTION("IMPORTRANGE(""https://docs.google.com/spreadsheets/d/1rOGZhKHVnDGFqGTO7UNOJSkSJyQwVuEb2-yhWQit7lw/edit?gid=1656401641#gid=1656401641"", address(row($D36),column($D36),,,""FOSS LAB-N""))"),17)</f>
        <v>17</v>
      </c>
      <c r="O38" s="8">
        <f t="shared" ca="1" si="7"/>
        <v>48.571428571428569</v>
      </c>
      <c r="P38" s="5">
        <f ca="1">IFERROR(__xludf.DUMMYFUNCTION("IMPORTRANGE(""https://docs.google.com/spreadsheets/d/1rOGZhKHVnDGFqGTO7UNOJSkSJyQwVuEb2-yhWQit7lw/edit?gid=1022834346#gid=1022834346"", address(row($D36),column($D36),,,""PP-N""))"),23)</f>
        <v>23</v>
      </c>
      <c r="Q38" s="8">
        <f t="shared" ca="1" si="8"/>
        <v>69.696969696969703</v>
      </c>
      <c r="R38" s="5">
        <f ca="1">IFERROR(__xludf.DUMMYFUNCTION("IMPORTRANGE(""https://docs.google.com/spreadsheets/d/1rOGZhKHVnDGFqGTO7UNOJSkSJyQwVuEb2-yhWQit7lw/edit?gid=449441702#gid=449441702"", address(row($D36),column($D36),,,""NPTEL-N""))"),24)</f>
        <v>24</v>
      </c>
      <c r="S38" s="5">
        <f t="shared" ca="1" si="9"/>
        <v>85.714285714285708</v>
      </c>
      <c r="T38" s="6">
        <f ca="1">IFERROR(__xludf.DUMMYFUNCTION("IMPORTRANGE(""https://docs.google.com/spreadsheets/d/1rOGZhKHVnDGFqGTO7UNOJSkSJyQwVuEb2-yhWQit7lw/edit?gid=77662277#gid=77662277"", address(row($D36),column($D36),,,""CRT-N""))"),56)</f>
        <v>56</v>
      </c>
      <c r="U38" s="8">
        <f t="shared" ca="1" si="10"/>
        <v>80</v>
      </c>
      <c r="V38" s="6">
        <f t="shared" ca="1" si="0"/>
        <v>251</v>
      </c>
      <c r="W38" s="4">
        <f t="shared" ca="1" si="11"/>
        <v>61</v>
      </c>
      <c r="X38" s="4">
        <v>0</v>
      </c>
      <c r="Y38" s="4">
        <v>0</v>
      </c>
      <c r="Z38" s="4">
        <f t="shared" ca="1" si="1"/>
        <v>251</v>
      </c>
      <c r="AA38" s="10">
        <f t="shared" ca="1" si="12"/>
        <v>61</v>
      </c>
    </row>
    <row r="39" spans="1:27" ht="15.85" customHeight="1" x14ac:dyDescent="0.3">
      <c r="A39" s="8">
        <v>34</v>
      </c>
      <c r="B39" s="11" t="s">
        <v>241</v>
      </c>
      <c r="C39" s="11" t="s">
        <v>242</v>
      </c>
      <c r="D39" s="5">
        <f ca="1">IFERROR(__xludf.DUMMYFUNCTION("IMPORTRANGE(""https://docs.google.com/spreadsheets/d/1rOGZhKHVnDGFqGTO7UNOJSkSJyQwVuEb2-yhWQit7lw/edit?gid=1117406455#gid=1117406455"", address(row($D37),column($D37),,,""DM&amp;GT-N""))"),31)</f>
        <v>31</v>
      </c>
      <c r="E39" s="8">
        <f t="shared" ca="1" si="2"/>
        <v>79.487179487179489</v>
      </c>
      <c r="F39" s="5">
        <f ca="1">IFERROR(__xludf.DUMMYFUNCTION("IMPORTRANGE(""https://docs.google.com/spreadsheets/d/1rOGZhKHVnDGFqGTO7UNOJSkSJyQwVuEb2-yhWQit7lw/edit?gid=1808040716#gid=1808040716"", address(row($D37),column($D37),,,""UHV-N""))"),32)</f>
        <v>32</v>
      </c>
      <c r="G39" s="8">
        <f t="shared" ca="1" si="3"/>
        <v>91.428571428571431</v>
      </c>
      <c r="H39" s="5">
        <f ca="1">IFERROR(__xludf.DUMMYFUNCTION("IMPORTRANGE(""https://docs.google.com/spreadsheets/d/1rOGZhKHVnDGFqGTO7UNOJSkSJyQwVuEb2-yhWQit7lw/edit?gid=1058014760#gid=1058014760"", address(row($D37),column($D37),,,""DL&amp;CO-N""))"),30)</f>
        <v>30</v>
      </c>
      <c r="I39" s="8">
        <f t="shared" ca="1" si="4"/>
        <v>76.923076923076934</v>
      </c>
      <c r="J39" s="5">
        <f ca="1">IFERROR(__xludf.DUMMYFUNCTION("IMPORTRANGE(""https://docs.google.com/spreadsheets/d/1rOGZhKHVnDGFqGTO7UNOJSkSJyQwVuEb2-yhWQit7lw/edit?gid=2007015697#gid=2007015697"", address(row($D37),column($D37),,,""ADSA-N""))"),47)</f>
        <v>47</v>
      </c>
      <c r="K39" s="8">
        <f t="shared" ca="1" si="5"/>
        <v>71.212121212121218</v>
      </c>
      <c r="L39" s="5">
        <f ca="1">IFERROR(__xludf.DUMMYFUNCTION("IMPORTRANGE(""https://docs.google.com/spreadsheets/d/1rOGZhKHVnDGFqGTO7UNOJSkSJyQwVuEb2-yhWQit7lw/edit?gid=1926669029#gid=1926669029"", address(row($D37),column($D37),,,""JAVA-N""))"),52)</f>
        <v>52</v>
      </c>
      <c r="M39" s="8">
        <f t="shared" ca="1" si="6"/>
        <v>76.470588235294116</v>
      </c>
      <c r="N39" s="5">
        <f ca="1">IFERROR(__xludf.DUMMYFUNCTION("IMPORTRANGE(""https://docs.google.com/spreadsheets/d/1rOGZhKHVnDGFqGTO7UNOJSkSJyQwVuEb2-yhWQit7lw/edit?gid=1656401641#gid=1656401641"", address(row($D37),column($D37),,,""FOSS LAB-N""))"),23)</f>
        <v>23</v>
      </c>
      <c r="O39" s="8">
        <f t="shared" ca="1" si="7"/>
        <v>65.714285714285708</v>
      </c>
      <c r="P39" s="5">
        <f ca="1">IFERROR(__xludf.DUMMYFUNCTION("IMPORTRANGE(""https://docs.google.com/spreadsheets/d/1rOGZhKHVnDGFqGTO7UNOJSkSJyQwVuEb2-yhWQit7lw/edit?gid=1022834346#gid=1022834346"", address(row($D37),column($D37),,,""PP-N""))"),25)</f>
        <v>25</v>
      </c>
      <c r="Q39" s="8">
        <f t="shared" ca="1" si="8"/>
        <v>75.757575757575751</v>
      </c>
      <c r="R39" s="5">
        <f ca="1">IFERROR(__xludf.DUMMYFUNCTION("IMPORTRANGE(""https://docs.google.com/spreadsheets/d/1rOGZhKHVnDGFqGTO7UNOJSkSJyQwVuEb2-yhWQit7lw/edit?gid=449441702#gid=449441702"", address(row($D37),column($D37),,,""NPTEL-N""))"),28)</f>
        <v>28</v>
      </c>
      <c r="S39" s="5">
        <f t="shared" ca="1" si="9"/>
        <v>100</v>
      </c>
      <c r="T39" s="6">
        <f ca="1">IFERROR(__xludf.DUMMYFUNCTION("IMPORTRANGE(""https://docs.google.com/spreadsheets/d/1rOGZhKHVnDGFqGTO7UNOJSkSJyQwVuEb2-yhWQit7lw/edit?gid=77662277#gid=77662277"", address(row($D37),column($D37),,,""CRT-N""))"),56)</f>
        <v>56</v>
      </c>
      <c r="U39" s="8">
        <f t="shared" ca="1" si="10"/>
        <v>80</v>
      </c>
      <c r="V39" s="6">
        <f t="shared" ca="1" si="0"/>
        <v>324</v>
      </c>
      <c r="W39" s="4">
        <f t="shared" ca="1" si="11"/>
        <v>78</v>
      </c>
      <c r="X39" s="4">
        <v>0</v>
      </c>
      <c r="Y39" s="4">
        <v>0</v>
      </c>
      <c r="Z39" s="4">
        <f t="shared" ca="1" si="1"/>
        <v>324</v>
      </c>
      <c r="AA39" s="10">
        <f t="shared" ca="1" si="12"/>
        <v>78</v>
      </c>
    </row>
    <row r="40" spans="1:27" ht="15.85" customHeight="1" x14ac:dyDescent="0.3">
      <c r="A40" s="8">
        <v>35</v>
      </c>
      <c r="B40" s="11" t="s">
        <v>243</v>
      </c>
      <c r="C40" s="11" t="s">
        <v>244</v>
      </c>
      <c r="D40" s="5">
        <f ca="1">IFERROR(__xludf.DUMMYFUNCTION("IMPORTRANGE(""https://docs.google.com/spreadsheets/d/1rOGZhKHVnDGFqGTO7UNOJSkSJyQwVuEb2-yhWQit7lw/edit?gid=1117406455#gid=1117406455"", address(row($D38),column($D38),,,""DM&amp;GT-N""))"),31)</f>
        <v>31</v>
      </c>
      <c r="E40" s="8">
        <f t="shared" ca="1" si="2"/>
        <v>79.487179487179489</v>
      </c>
      <c r="F40" s="5">
        <f ca="1">IFERROR(__xludf.DUMMYFUNCTION("IMPORTRANGE(""https://docs.google.com/spreadsheets/d/1rOGZhKHVnDGFqGTO7UNOJSkSJyQwVuEb2-yhWQit7lw/edit?gid=1808040716#gid=1808040716"", address(row($D38),column($D38),,,""UHV-N""))"),32)</f>
        <v>32</v>
      </c>
      <c r="G40" s="8">
        <f t="shared" ca="1" si="3"/>
        <v>91.428571428571431</v>
      </c>
      <c r="H40" s="5">
        <f ca="1">IFERROR(__xludf.DUMMYFUNCTION("IMPORTRANGE(""https://docs.google.com/spreadsheets/d/1rOGZhKHVnDGFqGTO7UNOJSkSJyQwVuEb2-yhWQit7lw/edit?gid=1058014760#gid=1058014760"", address(row($D38),column($D38),,,""DL&amp;CO-N""))"),31)</f>
        <v>31</v>
      </c>
      <c r="I40" s="8">
        <f t="shared" ca="1" si="4"/>
        <v>79.487179487179489</v>
      </c>
      <c r="J40" s="5">
        <f ca="1">IFERROR(__xludf.DUMMYFUNCTION("IMPORTRANGE(""https://docs.google.com/spreadsheets/d/1rOGZhKHVnDGFqGTO7UNOJSkSJyQwVuEb2-yhWQit7lw/edit?gid=2007015697#gid=2007015697"", address(row($D38),column($D38),,,""ADSA-N""))"),51)</f>
        <v>51</v>
      </c>
      <c r="K40" s="8">
        <f t="shared" ca="1" si="5"/>
        <v>77.272727272727266</v>
      </c>
      <c r="L40" s="5">
        <f ca="1">IFERROR(__xludf.DUMMYFUNCTION("IMPORTRANGE(""https://docs.google.com/spreadsheets/d/1rOGZhKHVnDGFqGTO7UNOJSkSJyQwVuEb2-yhWQit7lw/edit?gid=1926669029#gid=1926669029"", address(row($D38),column($D38),,,""JAVA-N""))"),54)</f>
        <v>54</v>
      </c>
      <c r="M40" s="8">
        <f t="shared" ca="1" si="6"/>
        <v>79.411764705882348</v>
      </c>
      <c r="N40" s="5">
        <f ca="1">IFERROR(__xludf.DUMMYFUNCTION("IMPORTRANGE(""https://docs.google.com/spreadsheets/d/1rOGZhKHVnDGFqGTO7UNOJSkSJyQwVuEb2-yhWQit7lw/edit?gid=1656401641#gid=1656401641"", address(row($D38),column($D38),,,""FOSS LAB-N""))"),29)</f>
        <v>29</v>
      </c>
      <c r="O40" s="8">
        <f t="shared" ca="1" si="7"/>
        <v>82.857142857142861</v>
      </c>
      <c r="P40" s="5">
        <f ca="1">IFERROR(__xludf.DUMMYFUNCTION("IMPORTRANGE(""https://docs.google.com/spreadsheets/d/1rOGZhKHVnDGFqGTO7UNOJSkSJyQwVuEb2-yhWQit7lw/edit?gid=1022834346#gid=1022834346"", address(row($D38),column($D38),,,""PP-N""))"),25)</f>
        <v>25</v>
      </c>
      <c r="Q40" s="8">
        <f t="shared" ca="1" si="8"/>
        <v>75.757575757575751</v>
      </c>
      <c r="R40" s="5">
        <f ca="1">IFERROR(__xludf.DUMMYFUNCTION("IMPORTRANGE(""https://docs.google.com/spreadsheets/d/1rOGZhKHVnDGFqGTO7UNOJSkSJyQwVuEb2-yhWQit7lw/edit?gid=449441702#gid=449441702"", address(row($D38),column($D38),,,""NPTEL-N""))"),26)</f>
        <v>26</v>
      </c>
      <c r="S40" s="5">
        <f t="shared" ca="1" si="9"/>
        <v>92.857142857142861</v>
      </c>
      <c r="T40" s="6">
        <f ca="1">IFERROR(__xludf.DUMMYFUNCTION("IMPORTRANGE(""https://docs.google.com/spreadsheets/d/1rOGZhKHVnDGFqGTO7UNOJSkSJyQwVuEb2-yhWQit7lw/edit?gid=77662277#gid=77662277"", address(row($D38),column($D38),,,""CRT-N""))"),70)</f>
        <v>70</v>
      </c>
      <c r="U40" s="8">
        <f t="shared" ca="1" si="10"/>
        <v>100</v>
      </c>
      <c r="V40" s="6">
        <f t="shared" ca="1" si="0"/>
        <v>349</v>
      </c>
      <c r="W40" s="4">
        <f t="shared" ca="1" si="11"/>
        <v>85</v>
      </c>
      <c r="X40" s="4">
        <v>0</v>
      </c>
      <c r="Y40" s="4">
        <v>0</v>
      </c>
      <c r="Z40" s="4">
        <f t="shared" ca="1" si="1"/>
        <v>349</v>
      </c>
      <c r="AA40" s="10">
        <f t="shared" ca="1" si="12"/>
        <v>85</v>
      </c>
    </row>
    <row r="41" spans="1:27" ht="15.85" customHeight="1" x14ac:dyDescent="0.3">
      <c r="A41" s="8">
        <v>36</v>
      </c>
      <c r="B41" s="11" t="s">
        <v>245</v>
      </c>
      <c r="C41" s="11" t="s">
        <v>246</v>
      </c>
      <c r="D41" s="5">
        <f ca="1">IFERROR(__xludf.DUMMYFUNCTION("IMPORTRANGE(""https://docs.google.com/spreadsheets/d/1rOGZhKHVnDGFqGTO7UNOJSkSJyQwVuEb2-yhWQit7lw/edit?gid=1117406455#gid=1117406455"", address(row($D39),column($D39),,,""DM&amp;GT-N""))"),18)</f>
        <v>18</v>
      </c>
      <c r="E41" s="8">
        <f t="shared" ca="1" si="2"/>
        <v>46.153846153846153</v>
      </c>
      <c r="F41" s="5">
        <f ca="1">IFERROR(__xludf.DUMMYFUNCTION("IMPORTRANGE(""https://docs.google.com/spreadsheets/d/1rOGZhKHVnDGFqGTO7UNOJSkSJyQwVuEb2-yhWQit7lw/edit?gid=1808040716#gid=1808040716"", address(row($D39),column($D39),,,""UHV-N""))"),15)</f>
        <v>15</v>
      </c>
      <c r="G41" s="8">
        <f t="shared" ca="1" si="3"/>
        <v>42.857142857142854</v>
      </c>
      <c r="H41" s="5">
        <f ca="1">IFERROR(__xludf.DUMMYFUNCTION("IMPORTRANGE(""https://docs.google.com/spreadsheets/d/1rOGZhKHVnDGFqGTO7UNOJSkSJyQwVuEb2-yhWQit7lw/edit?gid=1058014760#gid=1058014760"", address(row($D39),column($D39),,,""DL&amp;CO-N""))"),18)</f>
        <v>18</v>
      </c>
      <c r="I41" s="8">
        <f t="shared" ca="1" si="4"/>
        <v>46.153846153846153</v>
      </c>
      <c r="J41" s="5">
        <f ca="1">IFERROR(__xludf.DUMMYFUNCTION("IMPORTRANGE(""https://docs.google.com/spreadsheets/d/1rOGZhKHVnDGFqGTO7UNOJSkSJyQwVuEb2-yhWQit7lw/edit?gid=2007015697#gid=2007015697"", address(row($D39),column($D39),,,""ADSA-N""))"),36)</f>
        <v>36</v>
      </c>
      <c r="K41" s="8">
        <f t="shared" ca="1" si="5"/>
        <v>54.54545454545454</v>
      </c>
      <c r="L41" s="5">
        <f ca="1">IFERROR(__xludf.DUMMYFUNCTION("IMPORTRANGE(""https://docs.google.com/spreadsheets/d/1rOGZhKHVnDGFqGTO7UNOJSkSJyQwVuEb2-yhWQit7lw/edit?gid=1926669029#gid=1926669029"", address(row($D39),column($D39),,,""JAVA-N""))"),31)</f>
        <v>31</v>
      </c>
      <c r="M41" s="8">
        <f t="shared" ca="1" si="6"/>
        <v>45.588235294117645</v>
      </c>
      <c r="N41" s="5">
        <f ca="1">IFERROR(__xludf.DUMMYFUNCTION("IMPORTRANGE(""https://docs.google.com/spreadsheets/d/1rOGZhKHVnDGFqGTO7UNOJSkSJyQwVuEb2-yhWQit7lw/edit?gid=1656401641#gid=1656401641"", address(row($D39),column($D39),,,""FOSS LAB-N""))"),17)</f>
        <v>17</v>
      </c>
      <c r="O41" s="8">
        <f t="shared" ca="1" si="7"/>
        <v>48.571428571428569</v>
      </c>
      <c r="P41" s="5">
        <f ca="1">IFERROR(__xludf.DUMMYFUNCTION("IMPORTRANGE(""https://docs.google.com/spreadsheets/d/1rOGZhKHVnDGFqGTO7UNOJSkSJyQwVuEb2-yhWQit7lw/edit?gid=1022834346#gid=1022834346"", address(row($D39),column($D39),,,""PP-N""))"),20)</f>
        <v>20</v>
      </c>
      <c r="Q41" s="8">
        <f t="shared" ca="1" si="8"/>
        <v>60.606060606060609</v>
      </c>
      <c r="R41" s="5">
        <f ca="1">IFERROR(__xludf.DUMMYFUNCTION("IMPORTRANGE(""https://docs.google.com/spreadsheets/d/1rOGZhKHVnDGFqGTO7UNOJSkSJyQwVuEb2-yhWQit7lw/edit?gid=449441702#gid=449441702"", address(row($D39),column($D39),,,""NPTEL-N""))"),18)</f>
        <v>18</v>
      </c>
      <c r="S41" s="5">
        <f t="shared" ca="1" si="9"/>
        <v>64.285714285714292</v>
      </c>
      <c r="T41" s="6">
        <f ca="1">IFERROR(__xludf.DUMMYFUNCTION("IMPORTRANGE(""https://docs.google.com/spreadsheets/d/1rOGZhKHVnDGFqGTO7UNOJSkSJyQwVuEb2-yhWQit7lw/edit?gid=77662277#gid=77662277"", address(row($D39),column($D39),,,""CRT-N""))"),47)</f>
        <v>47</v>
      </c>
      <c r="U41" s="8">
        <f t="shared" ca="1" si="10"/>
        <v>67.142857142857139</v>
      </c>
      <c r="V41" s="6">
        <f t="shared" ca="1" si="0"/>
        <v>220</v>
      </c>
      <c r="W41" s="4">
        <f t="shared" ca="1" si="11"/>
        <v>53</v>
      </c>
      <c r="X41" s="4">
        <v>0</v>
      </c>
      <c r="Y41" s="4">
        <v>0</v>
      </c>
      <c r="Z41" s="4">
        <f t="shared" ca="1" si="1"/>
        <v>220</v>
      </c>
      <c r="AA41" s="10">
        <f t="shared" ca="1" si="12"/>
        <v>53</v>
      </c>
    </row>
    <row r="42" spans="1:27" ht="15.85" customHeight="1" x14ac:dyDescent="0.3">
      <c r="A42" s="8">
        <v>37</v>
      </c>
      <c r="B42" s="11" t="s">
        <v>247</v>
      </c>
      <c r="C42" s="11" t="s">
        <v>248</v>
      </c>
      <c r="D42" s="5">
        <f ca="1">IFERROR(__xludf.DUMMYFUNCTION("IMPORTRANGE(""https://docs.google.com/spreadsheets/d/1rOGZhKHVnDGFqGTO7UNOJSkSJyQwVuEb2-yhWQit7lw/edit?gid=1117406455#gid=1117406455"", address(row($D40),column($D40),,,""DM&amp;GT-N""))"),19)</f>
        <v>19</v>
      </c>
      <c r="E42" s="8">
        <f t="shared" ca="1" si="2"/>
        <v>48.717948717948715</v>
      </c>
      <c r="F42" s="5">
        <f ca="1">IFERROR(__xludf.DUMMYFUNCTION("IMPORTRANGE(""https://docs.google.com/spreadsheets/d/1rOGZhKHVnDGFqGTO7UNOJSkSJyQwVuEb2-yhWQit7lw/edit?gid=1808040716#gid=1808040716"", address(row($D40),column($D40),,,""UHV-N""))"),13)</f>
        <v>13</v>
      </c>
      <c r="G42" s="8">
        <f t="shared" ca="1" si="3"/>
        <v>37.142857142857146</v>
      </c>
      <c r="H42" s="5">
        <f ca="1">IFERROR(__xludf.DUMMYFUNCTION("IMPORTRANGE(""https://docs.google.com/spreadsheets/d/1rOGZhKHVnDGFqGTO7UNOJSkSJyQwVuEb2-yhWQit7lw/edit?gid=1058014760#gid=1058014760"", address(row($D40),column($D40),,,""DL&amp;CO-N""))"),16)</f>
        <v>16</v>
      </c>
      <c r="I42" s="8">
        <f t="shared" ca="1" si="4"/>
        <v>41.025641025641022</v>
      </c>
      <c r="J42" s="5">
        <f ca="1">IFERROR(__xludf.DUMMYFUNCTION("IMPORTRANGE(""https://docs.google.com/spreadsheets/d/1rOGZhKHVnDGFqGTO7UNOJSkSJyQwVuEb2-yhWQit7lw/edit?gid=2007015697#gid=2007015697"", address(row($D40),column($D40),,,""ADSA-N""))"),26)</f>
        <v>26</v>
      </c>
      <c r="K42" s="8">
        <f t="shared" ca="1" si="5"/>
        <v>39.393939393939391</v>
      </c>
      <c r="L42" s="5">
        <f ca="1">IFERROR(__xludf.DUMMYFUNCTION("IMPORTRANGE(""https://docs.google.com/spreadsheets/d/1rOGZhKHVnDGFqGTO7UNOJSkSJyQwVuEb2-yhWQit7lw/edit?gid=1926669029#gid=1926669029"", address(row($D40),column($D40),,,""JAVA-N""))"),27)</f>
        <v>27</v>
      </c>
      <c r="M42" s="8">
        <f t="shared" ca="1" si="6"/>
        <v>39.705882352941174</v>
      </c>
      <c r="N42" s="5">
        <f ca="1">IFERROR(__xludf.DUMMYFUNCTION("IMPORTRANGE(""https://docs.google.com/spreadsheets/d/1rOGZhKHVnDGFqGTO7UNOJSkSJyQwVuEb2-yhWQit7lw/edit?gid=1656401641#gid=1656401641"", address(row($D40),column($D40),,,""FOSS LAB-N""))"),14)</f>
        <v>14</v>
      </c>
      <c r="O42" s="8">
        <f t="shared" ca="1" si="7"/>
        <v>40</v>
      </c>
      <c r="P42" s="5">
        <f ca="1">IFERROR(__xludf.DUMMYFUNCTION("IMPORTRANGE(""https://docs.google.com/spreadsheets/d/1rOGZhKHVnDGFqGTO7UNOJSkSJyQwVuEb2-yhWQit7lw/edit?gid=1022834346#gid=1022834346"", address(row($D40),column($D40),,,""PP-N""))"),18)</f>
        <v>18</v>
      </c>
      <c r="Q42" s="8">
        <f t="shared" ca="1" si="8"/>
        <v>54.54545454545454</v>
      </c>
      <c r="R42" s="5">
        <f ca="1">IFERROR(__xludf.DUMMYFUNCTION("IMPORTRANGE(""https://docs.google.com/spreadsheets/d/1rOGZhKHVnDGFqGTO7UNOJSkSJyQwVuEb2-yhWQit7lw/edit?gid=449441702#gid=449441702"", address(row($D40),column($D40),,,""NPTEL-N""))"),18)</f>
        <v>18</v>
      </c>
      <c r="S42" s="5">
        <f t="shared" ca="1" si="9"/>
        <v>64.285714285714292</v>
      </c>
      <c r="T42" s="6">
        <f ca="1">IFERROR(__xludf.DUMMYFUNCTION("IMPORTRANGE(""https://docs.google.com/spreadsheets/d/1rOGZhKHVnDGFqGTO7UNOJSkSJyQwVuEb2-yhWQit7lw/edit?gid=77662277#gid=77662277"", address(row($D40),column($D40),,,""CRT-N""))"),35)</f>
        <v>35</v>
      </c>
      <c r="U42" s="8">
        <f t="shared" ca="1" si="10"/>
        <v>50</v>
      </c>
      <c r="V42" s="6">
        <f t="shared" ca="1" si="0"/>
        <v>186</v>
      </c>
      <c r="W42" s="4">
        <f t="shared" ca="1" si="11"/>
        <v>45</v>
      </c>
      <c r="X42" s="4">
        <v>0</v>
      </c>
      <c r="Y42" s="4">
        <v>0</v>
      </c>
      <c r="Z42" s="4">
        <f t="shared" ca="1" si="1"/>
        <v>186</v>
      </c>
      <c r="AA42" s="10">
        <f t="shared" ca="1" si="12"/>
        <v>45</v>
      </c>
    </row>
    <row r="43" spans="1:27" ht="15.85" customHeight="1" x14ac:dyDescent="0.3">
      <c r="A43" s="8">
        <v>38</v>
      </c>
      <c r="B43" s="11" t="s">
        <v>249</v>
      </c>
      <c r="C43" s="11" t="s">
        <v>250</v>
      </c>
      <c r="D43" s="5">
        <f ca="1">IFERROR(__xludf.DUMMYFUNCTION("IMPORTRANGE(""https://docs.google.com/spreadsheets/d/1rOGZhKHVnDGFqGTO7UNOJSkSJyQwVuEb2-yhWQit7lw/edit?gid=1117406455#gid=1117406455"", address(row($D41),column($D41),,,""DM&amp;GT-N""))"),28)</f>
        <v>28</v>
      </c>
      <c r="E43" s="8">
        <f t="shared" ca="1" si="2"/>
        <v>71.794871794871796</v>
      </c>
      <c r="F43" s="5">
        <f ca="1">IFERROR(__xludf.DUMMYFUNCTION("IMPORTRANGE(""https://docs.google.com/spreadsheets/d/1rOGZhKHVnDGFqGTO7UNOJSkSJyQwVuEb2-yhWQit7lw/edit?gid=1808040716#gid=1808040716"", address(row($D41),column($D41),,,""UHV-N""))"),31)</f>
        <v>31</v>
      </c>
      <c r="G43" s="8">
        <f t="shared" ca="1" si="3"/>
        <v>88.571428571428569</v>
      </c>
      <c r="H43" s="5">
        <f ca="1">IFERROR(__xludf.DUMMYFUNCTION("IMPORTRANGE(""https://docs.google.com/spreadsheets/d/1rOGZhKHVnDGFqGTO7UNOJSkSJyQwVuEb2-yhWQit7lw/edit?gid=1058014760#gid=1058014760"", address(row($D41),column($D41),,,""DL&amp;CO-N""))"),28)</f>
        <v>28</v>
      </c>
      <c r="I43" s="8">
        <f t="shared" ca="1" si="4"/>
        <v>71.794871794871796</v>
      </c>
      <c r="J43" s="5">
        <f ca="1">IFERROR(__xludf.DUMMYFUNCTION("IMPORTRANGE(""https://docs.google.com/spreadsheets/d/1rOGZhKHVnDGFqGTO7UNOJSkSJyQwVuEb2-yhWQit7lw/edit?gid=2007015697#gid=2007015697"", address(row($D41),column($D41),,,""ADSA-N""))"),49)</f>
        <v>49</v>
      </c>
      <c r="K43" s="8">
        <f t="shared" ca="1" si="5"/>
        <v>74.242424242424249</v>
      </c>
      <c r="L43" s="5">
        <f ca="1">IFERROR(__xludf.DUMMYFUNCTION("IMPORTRANGE(""https://docs.google.com/spreadsheets/d/1rOGZhKHVnDGFqGTO7UNOJSkSJyQwVuEb2-yhWQit7lw/edit?gid=1926669029#gid=1926669029"", address(row($D41),column($D41),,,""JAVA-N""))"),50)</f>
        <v>50</v>
      </c>
      <c r="M43" s="8">
        <f t="shared" ca="1" si="6"/>
        <v>73.529411764705884</v>
      </c>
      <c r="N43" s="5">
        <f ca="1">IFERROR(__xludf.DUMMYFUNCTION("IMPORTRANGE(""https://docs.google.com/spreadsheets/d/1rOGZhKHVnDGFqGTO7UNOJSkSJyQwVuEb2-yhWQit7lw/edit?gid=1656401641#gid=1656401641"", address(row($D41),column($D41),,,""FOSS LAB-N""))"),23)</f>
        <v>23</v>
      </c>
      <c r="O43" s="8">
        <f t="shared" ca="1" si="7"/>
        <v>65.714285714285708</v>
      </c>
      <c r="P43" s="5">
        <f ca="1">IFERROR(__xludf.DUMMYFUNCTION("IMPORTRANGE(""https://docs.google.com/spreadsheets/d/1rOGZhKHVnDGFqGTO7UNOJSkSJyQwVuEb2-yhWQit7lw/edit?gid=1022834346#gid=1022834346"", address(row($D41),column($D41),,,""PP-N""))"),25)</f>
        <v>25</v>
      </c>
      <c r="Q43" s="8">
        <f t="shared" ca="1" si="8"/>
        <v>75.757575757575751</v>
      </c>
      <c r="R43" s="5">
        <f ca="1">IFERROR(__xludf.DUMMYFUNCTION("IMPORTRANGE(""https://docs.google.com/spreadsheets/d/1rOGZhKHVnDGFqGTO7UNOJSkSJyQwVuEb2-yhWQit7lw/edit?gid=449441702#gid=449441702"", address(row($D41),column($D41),,,""NPTEL-N""))"),24)</f>
        <v>24</v>
      </c>
      <c r="S43" s="5">
        <f t="shared" ca="1" si="9"/>
        <v>85.714285714285708</v>
      </c>
      <c r="T43" s="6">
        <f ca="1">IFERROR(__xludf.DUMMYFUNCTION("IMPORTRANGE(""https://docs.google.com/spreadsheets/d/1rOGZhKHVnDGFqGTO7UNOJSkSJyQwVuEb2-yhWQit7lw/edit?gid=77662277#gid=77662277"", address(row($D41),column($D41),,,""CRT-N""))"),63)</f>
        <v>63</v>
      </c>
      <c r="U43" s="8">
        <f t="shared" ca="1" si="10"/>
        <v>90</v>
      </c>
      <c r="V43" s="6">
        <f t="shared" ca="1" si="0"/>
        <v>321</v>
      </c>
      <c r="W43" s="4">
        <f t="shared" ca="1" si="11"/>
        <v>78</v>
      </c>
      <c r="X43" s="4">
        <v>0</v>
      </c>
      <c r="Y43" s="4">
        <v>0</v>
      </c>
      <c r="Z43" s="4">
        <f t="shared" ca="1" si="1"/>
        <v>321</v>
      </c>
      <c r="AA43" s="10">
        <f t="shared" ca="1" si="12"/>
        <v>78</v>
      </c>
    </row>
    <row r="44" spans="1:27" ht="15.85" customHeight="1" x14ac:dyDescent="0.3">
      <c r="A44" s="8">
        <v>39</v>
      </c>
      <c r="B44" s="11" t="s">
        <v>251</v>
      </c>
      <c r="C44" s="11" t="s">
        <v>252</v>
      </c>
      <c r="D44" s="5">
        <f ca="1">IFERROR(__xludf.DUMMYFUNCTION("IMPORTRANGE(""https://docs.google.com/spreadsheets/d/1rOGZhKHVnDGFqGTO7UNOJSkSJyQwVuEb2-yhWQit7lw/edit?gid=1117406455#gid=1117406455"", address(row($D42),column($D42),,,""DM&amp;GT-N""))"),33)</f>
        <v>33</v>
      </c>
      <c r="E44" s="8">
        <f t="shared" ca="1" si="2"/>
        <v>84.615384615384613</v>
      </c>
      <c r="F44" s="5">
        <f ca="1">IFERROR(__xludf.DUMMYFUNCTION("IMPORTRANGE(""https://docs.google.com/spreadsheets/d/1rOGZhKHVnDGFqGTO7UNOJSkSJyQwVuEb2-yhWQit7lw/edit?gid=1808040716#gid=1808040716"", address(row($D42),column($D42),,,""UHV-N""))"),34)</f>
        <v>34</v>
      </c>
      <c r="G44" s="8">
        <f t="shared" ca="1" si="3"/>
        <v>97.142857142857139</v>
      </c>
      <c r="H44" s="5">
        <f ca="1">IFERROR(__xludf.DUMMYFUNCTION("IMPORTRANGE(""https://docs.google.com/spreadsheets/d/1rOGZhKHVnDGFqGTO7UNOJSkSJyQwVuEb2-yhWQit7lw/edit?gid=1058014760#gid=1058014760"", address(row($D42),column($D42),,,""DL&amp;CO-N""))"),33)</f>
        <v>33</v>
      </c>
      <c r="I44" s="8">
        <f t="shared" ca="1" si="4"/>
        <v>84.615384615384613</v>
      </c>
      <c r="J44" s="5">
        <f ca="1">IFERROR(__xludf.DUMMYFUNCTION("IMPORTRANGE(""https://docs.google.com/spreadsheets/d/1rOGZhKHVnDGFqGTO7UNOJSkSJyQwVuEb2-yhWQit7lw/edit?gid=2007015697#gid=2007015697"", address(row($D42),column($D42),,,""ADSA-N""))"),52)</f>
        <v>52</v>
      </c>
      <c r="K44" s="8">
        <f t="shared" ca="1" si="5"/>
        <v>78.787878787878782</v>
      </c>
      <c r="L44" s="5">
        <f ca="1">IFERROR(__xludf.DUMMYFUNCTION("IMPORTRANGE(""https://docs.google.com/spreadsheets/d/1rOGZhKHVnDGFqGTO7UNOJSkSJyQwVuEb2-yhWQit7lw/edit?gid=1926669029#gid=1926669029"", address(row($D42),column($D42),,,""JAVA-N""))"),54)</f>
        <v>54</v>
      </c>
      <c r="M44" s="8">
        <f t="shared" ca="1" si="6"/>
        <v>79.411764705882348</v>
      </c>
      <c r="N44" s="5">
        <f ca="1">IFERROR(__xludf.DUMMYFUNCTION("IMPORTRANGE(""https://docs.google.com/spreadsheets/d/1rOGZhKHVnDGFqGTO7UNOJSkSJyQwVuEb2-yhWQit7lw/edit?gid=1656401641#gid=1656401641"", address(row($D42),column($D42),,,""FOSS LAB-N""))"),26)</f>
        <v>26</v>
      </c>
      <c r="O44" s="8">
        <f t="shared" ca="1" si="7"/>
        <v>74.285714285714292</v>
      </c>
      <c r="P44" s="5">
        <f ca="1">IFERROR(__xludf.DUMMYFUNCTION("IMPORTRANGE(""https://docs.google.com/spreadsheets/d/1rOGZhKHVnDGFqGTO7UNOJSkSJyQwVuEb2-yhWQit7lw/edit?gid=1022834346#gid=1022834346"", address(row($D42),column($D42),,,""PP-N""))"),29)</f>
        <v>29</v>
      </c>
      <c r="Q44" s="8">
        <f t="shared" ca="1" si="8"/>
        <v>87.878787878787875</v>
      </c>
      <c r="R44" s="5">
        <f ca="1">IFERROR(__xludf.DUMMYFUNCTION("IMPORTRANGE(""https://docs.google.com/spreadsheets/d/1rOGZhKHVnDGFqGTO7UNOJSkSJyQwVuEb2-yhWQit7lw/edit?gid=449441702#gid=449441702"", address(row($D42),column($D42),,,""NPTEL-N""))"),28)</f>
        <v>28</v>
      </c>
      <c r="S44" s="5">
        <f t="shared" ca="1" si="9"/>
        <v>100</v>
      </c>
      <c r="T44" s="6">
        <f ca="1">IFERROR(__xludf.DUMMYFUNCTION("IMPORTRANGE(""https://docs.google.com/spreadsheets/d/1rOGZhKHVnDGFqGTO7UNOJSkSJyQwVuEb2-yhWQit7lw/edit?gid=77662277#gid=77662277"", address(row($D42),column($D42),,,""CRT-N""))"),56)</f>
        <v>56</v>
      </c>
      <c r="U44" s="8">
        <f t="shared" ca="1" si="10"/>
        <v>80</v>
      </c>
      <c r="V44" s="6">
        <f t="shared" ca="1" si="0"/>
        <v>345</v>
      </c>
      <c r="W44" s="4">
        <f t="shared" ca="1" si="11"/>
        <v>84</v>
      </c>
      <c r="X44" s="4">
        <v>0</v>
      </c>
      <c r="Y44" s="4">
        <v>0</v>
      </c>
      <c r="Z44" s="4">
        <f t="shared" ca="1" si="1"/>
        <v>345</v>
      </c>
      <c r="AA44" s="10">
        <f t="shared" ca="1" si="12"/>
        <v>84</v>
      </c>
    </row>
    <row r="45" spans="1:27" ht="15.85" customHeight="1" x14ac:dyDescent="0.3">
      <c r="A45" s="8">
        <v>40</v>
      </c>
      <c r="B45" s="11" t="s">
        <v>253</v>
      </c>
      <c r="C45" s="11" t="s">
        <v>254</v>
      </c>
      <c r="D45" s="5">
        <f ca="1">IFERROR(__xludf.DUMMYFUNCTION("IMPORTRANGE(""https://docs.google.com/spreadsheets/d/1rOGZhKHVnDGFqGTO7UNOJSkSJyQwVuEb2-yhWQit7lw/edit?gid=1117406455#gid=1117406455"", address(row($D43),column($D43),,,""DM&amp;GT-N""))"),18)</f>
        <v>18</v>
      </c>
      <c r="E45" s="8">
        <f t="shared" ca="1" si="2"/>
        <v>46.153846153846153</v>
      </c>
      <c r="F45" s="5">
        <f ca="1">IFERROR(__xludf.DUMMYFUNCTION("IMPORTRANGE(""https://docs.google.com/spreadsheets/d/1rOGZhKHVnDGFqGTO7UNOJSkSJyQwVuEb2-yhWQit7lw/edit?gid=1808040716#gid=1808040716"", address(row($D43),column($D43),,,""UHV-N""))"),20)</f>
        <v>20</v>
      </c>
      <c r="G45" s="8">
        <f t="shared" ca="1" si="3"/>
        <v>57.142857142857139</v>
      </c>
      <c r="H45" s="5">
        <f ca="1">IFERROR(__xludf.DUMMYFUNCTION("IMPORTRANGE(""https://docs.google.com/spreadsheets/d/1rOGZhKHVnDGFqGTO7UNOJSkSJyQwVuEb2-yhWQit7lw/edit?gid=1058014760#gid=1058014760"", address(row($D43),column($D43),,,""DL&amp;CO-N""))"),21)</f>
        <v>21</v>
      </c>
      <c r="I45" s="8">
        <f t="shared" ca="1" si="4"/>
        <v>53.846153846153847</v>
      </c>
      <c r="J45" s="5">
        <f ca="1">IFERROR(__xludf.DUMMYFUNCTION("IMPORTRANGE(""https://docs.google.com/spreadsheets/d/1rOGZhKHVnDGFqGTO7UNOJSkSJyQwVuEb2-yhWQit7lw/edit?gid=2007015697#gid=2007015697"", address(row($D43),column($D43),,,""ADSA-N""))"),40)</f>
        <v>40</v>
      </c>
      <c r="K45" s="8">
        <f t="shared" ca="1" si="5"/>
        <v>60.606060606060609</v>
      </c>
      <c r="L45" s="5">
        <f ca="1">IFERROR(__xludf.DUMMYFUNCTION("IMPORTRANGE(""https://docs.google.com/spreadsheets/d/1rOGZhKHVnDGFqGTO7UNOJSkSJyQwVuEb2-yhWQit7lw/edit?gid=1926669029#gid=1926669029"", address(row($D43),column($D43),,,""JAVA-N""))"),38)</f>
        <v>38</v>
      </c>
      <c r="M45" s="8">
        <f t="shared" ca="1" si="6"/>
        <v>55.882352941176471</v>
      </c>
      <c r="N45" s="5">
        <f ca="1">IFERROR(__xludf.DUMMYFUNCTION("IMPORTRANGE(""https://docs.google.com/spreadsheets/d/1rOGZhKHVnDGFqGTO7UNOJSkSJyQwVuEb2-yhWQit7lw/edit?gid=1656401641#gid=1656401641"", address(row($D43),column($D43),,,""FOSS LAB-N""))"),21)</f>
        <v>21</v>
      </c>
      <c r="O45" s="8">
        <f t="shared" ca="1" si="7"/>
        <v>60</v>
      </c>
      <c r="P45" s="5">
        <f ca="1">IFERROR(__xludf.DUMMYFUNCTION("IMPORTRANGE(""https://docs.google.com/spreadsheets/d/1rOGZhKHVnDGFqGTO7UNOJSkSJyQwVuEb2-yhWQit7lw/edit?gid=1022834346#gid=1022834346"", address(row($D43),column($D43),,,""PP-N""))"),19)</f>
        <v>19</v>
      </c>
      <c r="Q45" s="8">
        <f t="shared" ca="1" si="8"/>
        <v>57.575757575757578</v>
      </c>
      <c r="R45" s="5">
        <f ca="1">IFERROR(__xludf.DUMMYFUNCTION("IMPORTRANGE(""https://docs.google.com/spreadsheets/d/1rOGZhKHVnDGFqGTO7UNOJSkSJyQwVuEb2-yhWQit7lw/edit?gid=449441702#gid=449441702"", address(row($D43),column($D43),,,""NPTEL-N""))"),18)</f>
        <v>18</v>
      </c>
      <c r="S45" s="5">
        <f t="shared" ca="1" si="9"/>
        <v>64.285714285714292</v>
      </c>
      <c r="T45" s="6">
        <f ca="1">IFERROR(__xludf.DUMMYFUNCTION("IMPORTRANGE(""https://docs.google.com/spreadsheets/d/1rOGZhKHVnDGFqGTO7UNOJSkSJyQwVuEb2-yhWQit7lw/edit?gid=77662277#gid=77662277"", address(row($D43),column($D43),,,""CRT-N""))"),55)</f>
        <v>55</v>
      </c>
      <c r="U45" s="8">
        <f t="shared" ca="1" si="10"/>
        <v>78.571428571428569</v>
      </c>
      <c r="V45" s="6">
        <f t="shared" ca="1" si="0"/>
        <v>250</v>
      </c>
      <c r="W45" s="4">
        <f t="shared" ca="1" si="11"/>
        <v>61</v>
      </c>
      <c r="X45" s="4">
        <v>0</v>
      </c>
      <c r="Y45" s="4">
        <v>0</v>
      </c>
      <c r="Z45" s="4">
        <f t="shared" ca="1" si="1"/>
        <v>250</v>
      </c>
      <c r="AA45" s="10">
        <f t="shared" ca="1" si="12"/>
        <v>61</v>
      </c>
    </row>
    <row r="46" spans="1:27" ht="15.85" customHeight="1" x14ac:dyDescent="0.3">
      <c r="A46" s="8">
        <v>41</v>
      </c>
      <c r="B46" s="11" t="s">
        <v>255</v>
      </c>
      <c r="C46" s="11" t="s">
        <v>256</v>
      </c>
      <c r="D46" s="5">
        <f ca="1">IFERROR(__xludf.DUMMYFUNCTION("IMPORTRANGE(""https://docs.google.com/spreadsheets/d/1rOGZhKHVnDGFqGTO7UNOJSkSJyQwVuEb2-yhWQit7lw/edit?gid=1117406455#gid=1117406455"", address(row($D44),column($D44),,,""DM&amp;GT-N""))"),33)</f>
        <v>33</v>
      </c>
      <c r="E46" s="8">
        <f t="shared" ca="1" si="2"/>
        <v>84.615384615384613</v>
      </c>
      <c r="F46" s="5">
        <f ca="1">IFERROR(__xludf.DUMMYFUNCTION("IMPORTRANGE(""https://docs.google.com/spreadsheets/d/1rOGZhKHVnDGFqGTO7UNOJSkSJyQwVuEb2-yhWQit7lw/edit?gid=1808040716#gid=1808040716"", address(row($D44),column($D44),,,""UHV-N""))"),33)</f>
        <v>33</v>
      </c>
      <c r="G46" s="8">
        <f t="shared" ca="1" si="3"/>
        <v>94.285714285714278</v>
      </c>
      <c r="H46" s="5">
        <f ca="1">IFERROR(__xludf.DUMMYFUNCTION("IMPORTRANGE(""https://docs.google.com/spreadsheets/d/1rOGZhKHVnDGFqGTO7UNOJSkSJyQwVuEb2-yhWQit7lw/edit?gid=1058014760#gid=1058014760"", address(row($D44),column($D44),,,""DL&amp;CO-N""))"),32)</f>
        <v>32</v>
      </c>
      <c r="I46" s="8">
        <f t="shared" ca="1" si="4"/>
        <v>82.051282051282044</v>
      </c>
      <c r="J46" s="5">
        <f ca="1">IFERROR(__xludf.DUMMYFUNCTION("IMPORTRANGE(""https://docs.google.com/spreadsheets/d/1rOGZhKHVnDGFqGTO7UNOJSkSJyQwVuEb2-yhWQit7lw/edit?gid=2007015697#gid=2007015697"", address(row($D44),column($D44),,,""ADSA-N""))"),56)</f>
        <v>56</v>
      </c>
      <c r="K46" s="8">
        <f t="shared" ca="1" si="5"/>
        <v>84.848484848484844</v>
      </c>
      <c r="L46" s="5">
        <f ca="1">IFERROR(__xludf.DUMMYFUNCTION("IMPORTRANGE(""https://docs.google.com/spreadsheets/d/1rOGZhKHVnDGFqGTO7UNOJSkSJyQwVuEb2-yhWQit7lw/edit?gid=1926669029#gid=1926669029"", address(row($D44),column($D44),,,""JAVA-N""))"),58)</f>
        <v>58</v>
      </c>
      <c r="M46" s="8">
        <f t="shared" ca="1" si="6"/>
        <v>85.294117647058826</v>
      </c>
      <c r="N46" s="5">
        <f ca="1">IFERROR(__xludf.DUMMYFUNCTION("IMPORTRANGE(""https://docs.google.com/spreadsheets/d/1rOGZhKHVnDGFqGTO7UNOJSkSJyQwVuEb2-yhWQit7lw/edit?gid=1656401641#gid=1656401641"", address(row($D44),column($D44),,,""FOSS LAB-N""))"),35)</f>
        <v>35</v>
      </c>
      <c r="O46" s="8">
        <f t="shared" ca="1" si="7"/>
        <v>100</v>
      </c>
      <c r="P46" s="5">
        <f ca="1">IFERROR(__xludf.DUMMYFUNCTION("IMPORTRANGE(""https://docs.google.com/spreadsheets/d/1rOGZhKHVnDGFqGTO7UNOJSkSJyQwVuEb2-yhWQit7lw/edit?gid=1022834346#gid=1022834346"", address(row($D44),column($D44),,,""PP-N""))"),27)</f>
        <v>27</v>
      </c>
      <c r="Q46" s="8">
        <f t="shared" ca="1" si="8"/>
        <v>81.818181818181827</v>
      </c>
      <c r="R46" s="5">
        <f ca="1">IFERROR(__xludf.DUMMYFUNCTION("IMPORTRANGE(""https://docs.google.com/spreadsheets/d/1rOGZhKHVnDGFqGTO7UNOJSkSJyQwVuEb2-yhWQit7lw/edit?gid=449441702#gid=449441702"", address(row($D44),column($D44),,,""NPTEL-N""))"),26)</f>
        <v>26</v>
      </c>
      <c r="S46" s="5">
        <f t="shared" ca="1" si="9"/>
        <v>92.857142857142861</v>
      </c>
      <c r="T46" s="6">
        <f ca="1">IFERROR(__xludf.DUMMYFUNCTION("IMPORTRANGE(""https://docs.google.com/spreadsheets/d/1rOGZhKHVnDGFqGTO7UNOJSkSJyQwVuEb2-yhWQit7lw/edit?gid=77662277#gid=77662277"", address(row($D44),column($D44),,,""CRT-N""))"),63)</f>
        <v>63</v>
      </c>
      <c r="U46" s="8">
        <f t="shared" ca="1" si="10"/>
        <v>90</v>
      </c>
      <c r="V46" s="6">
        <f t="shared" ca="1" si="0"/>
        <v>363</v>
      </c>
      <c r="W46" s="4">
        <f t="shared" ca="1" si="11"/>
        <v>88</v>
      </c>
      <c r="X46" s="4">
        <v>0</v>
      </c>
      <c r="Y46" s="4">
        <v>0</v>
      </c>
      <c r="Z46" s="4">
        <f t="shared" ca="1" si="1"/>
        <v>363</v>
      </c>
      <c r="AA46" s="10">
        <f t="shared" ca="1" si="12"/>
        <v>88</v>
      </c>
    </row>
    <row r="47" spans="1:27" ht="15.85" customHeight="1" x14ac:dyDescent="0.3">
      <c r="A47" s="8">
        <v>42</v>
      </c>
      <c r="B47" s="11" t="s">
        <v>257</v>
      </c>
      <c r="C47" s="11" t="s">
        <v>258</v>
      </c>
      <c r="D47" s="5">
        <f ca="1">IFERROR(__xludf.DUMMYFUNCTION("IMPORTRANGE(""https://docs.google.com/spreadsheets/d/1rOGZhKHVnDGFqGTO7UNOJSkSJyQwVuEb2-yhWQit7lw/edit?gid=1117406455#gid=1117406455"", address(row($D45),column($D45),,,""DM&amp;GT-N""))"),31)</f>
        <v>31</v>
      </c>
      <c r="E47" s="8">
        <f t="shared" ca="1" si="2"/>
        <v>79.487179487179489</v>
      </c>
      <c r="F47" s="5">
        <f ca="1">IFERROR(__xludf.DUMMYFUNCTION("IMPORTRANGE(""https://docs.google.com/spreadsheets/d/1rOGZhKHVnDGFqGTO7UNOJSkSJyQwVuEb2-yhWQit7lw/edit?gid=1808040716#gid=1808040716"", address(row($D45),column($D45),,,""UHV-N""))"),30)</f>
        <v>30</v>
      </c>
      <c r="G47" s="8">
        <f t="shared" ca="1" si="3"/>
        <v>85.714285714285708</v>
      </c>
      <c r="H47" s="5">
        <f ca="1">IFERROR(__xludf.DUMMYFUNCTION("IMPORTRANGE(""https://docs.google.com/spreadsheets/d/1rOGZhKHVnDGFqGTO7UNOJSkSJyQwVuEb2-yhWQit7lw/edit?gid=1058014760#gid=1058014760"", address(row($D45),column($D45),,,""DL&amp;CO-N""))"),30)</f>
        <v>30</v>
      </c>
      <c r="I47" s="8">
        <f t="shared" ca="1" si="4"/>
        <v>76.923076923076934</v>
      </c>
      <c r="J47" s="5">
        <f ca="1">IFERROR(__xludf.DUMMYFUNCTION("IMPORTRANGE(""https://docs.google.com/spreadsheets/d/1rOGZhKHVnDGFqGTO7UNOJSkSJyQwVuEb2-yhWQit7lw/edit?gid=2007015697#gid=2007015697"", address(row($D45),column($D45),,,""ADSA-N""))"),51)</f>
        <v>51</v>
      </c>
      <c r="K47" s="8">
        <f t="shared" ca="1" si="5"/>
        <v>77.272727272727266</v>
      </c>
      <c r="L47" s="5">
        <f ca="1">IFERROR(__xludf.DUMMYFUNCTION("IMPORTRANGE(""https://docs.google.com/spreadsheets/d/1rOGZhKHVnDGFqGTO7UNOJSkSJyQwVuEb2-yhWQit7lw/edit?gid=1926669029#gid=1926669029"", address(row($D45),column($D45),,,""JAVA-N""))"),57)</f>
        <v>57</v>
      </c>
      <c r="M47" s="8">
        <f t="shared" ca="1" si="6"/>
        <v>83.82352941176471</v>
      </c>
      <c r="N47" s="5">
        <f ca="1">IFERROR(__xludf.DUMMYFUNCTION("IMPORTRANGE(""https://docs.google.com/spreadsheets/d/1rOGZhKHVnDGFqGTO7UNOJSkSJyQwVuEb2-yhWQit7lw/edit?gid=1656401641#gid=1656401641"", address(row($D45),column($D45),,,""FOSS LAB-N""))"),26)</f>
        <v>26</v>
      </c>
      <c r="O47" s="8">
        <f t="shared" ca="1" si="7"/>
        <v>74.285714285714292</v>
      </c>
      <c r="P47" s="5">
        <f ca="1">IFERROR(__xludf.DUMMYFUNCTION("IMPORTRANGE(""https://docs.google.com/spreadsheets/d/1rOGZhKHVnDGFqGTO7UNOJSkSJyQwVuEb2-yhWQit7lw/edit?gid=1022834346#gid=1022834346"", address(row($D45),column($D45),,,""PP-N""))"),29)</f>
        <v>29</v>
      </c>
      <c r="Q47" s="8">
        <f t="shared" ca="1" si="8"/>
        <v>87.878787878787875</v>
      </c>
      <c r="R47" s="5">
        <f ca="1">IFERROR(__xludf.DUMMYFUNCTION("IMPORTRANGE(""https://docs.google.com/spreadsheets/d/1rOGZhKHVnDGFqGTO7UNOJSkSJyQwVuEb2-yhWQit7lw/edit?gid=449441702#gid=449441702"", address(row($D45),column($D45),,,""NPTEL-N""))"),24)</f>
        <v>24</v>
      </c>
      <c r="S47" s="5">
        <f t="shared" ca="1" si="9"/>
        <v>85.714285714285708</v>
      </c>
      <c r="T47" s="6">
        <f ca="1">IFERROR(__xludf.DUMMYFUNCTION("IMPORTRANGE(""https://docs.google.com/spreadsheets/d/1rOGZhKHVnDGFqGTO7UNOJSkSJyQwVuEb2-yhWQit7lw/edit?gid=77662277#gid=77662277"", address(row($D45),column($D45),,,""CRT-N""))"),63)</f>
        <v>63</v>
      </c>
      <c r="U47" s="8">
        <f t="shared" ca="1" si="10"/>
        <v>90</v>
      </c>
      <c r="V47" s="6">
        <f t="shared" ca="1" si="0"/>
        <v>341</v>
      </c>
      <c r="W47" s="4">
        <f t="shared" ca="1" si="11"/>
        <v>83</v>
      </c>
      <c r="X47" s="4">
        <v>0</v>
      </c>
      <c r="Y47" s="4">
        <v>0</v>
      </c>
      <c r="Z47" s="4">
        <f t="shared" ca="1" si="1"/>
        <v>341</v>
      </c>
      <c r="AA47" s="10">
        <f t="shared" ca="1" si="12"/>
        <v>83</v>
      </c>
    </row>
    <row r="48" spans="1:27" ht="15.85" customHeight="1" x14ac:dyDescent="0.3">
      <c r="A48" s="8">
        <v>43</v>
      </c>
      <c r="B48" s="11" t="s">
        <v>259</v>
      </c>
      <c r="C48" s="11" t="s">
        <v>260</v>
      </c>
      <c r="D48" s="5">
        <f ca="1">IFERROR(__xludf.DUMMYFUNCTION("IMPORTRANGE(""https://docs.google.com/spreadsheets/d/1rOGZhKHVnDGFqGTO7UNOJSkSJyQwVuEb2-yhWQit7lw/edit?gid=1117406455#gid=1117406455"", address(row($D46),column($D46),,,""DM&amp;GT-N""))"),20)</f>
        <v>20</v>
      </c>
      <c r="E48" s="8">
        <f t="shared" ca="1" si="2"/>
        <v>51.282051282051277</v>
      </c>
      <c r="F48" s="5">
        <f ca="1">IFERROR(__xludf.DUMMYFUNCTION("IMPORTRANGE(""https://docs.google.com/spreadsheets/d/1rOGZhKHVnDGFqGTO7UNOJSkSJyQwVuEb2-yhWQit7lw/edit?gid=1808040716#gid=1808040716"", address(row($D46),column($D46),,,""UHV-N""))"),16)</f>
        <v>16</v>
      </c>
      <c r="G48" s="8">
        <f t="shared" ca="1" si="3"/>
        <v>45.714285714285715</v>
      </c>
      <c r="H48" s="5">
        <f ca="1">IFERROR(__xludf.DUMMYFUNCTION("IMPORTRANGE(""https://docs.google.com/spreadsheets/d/1rOGZhKHVnDGFqGTO7UNOJSkSJyQwVuEb2-yhWQit7lw/edit?gid=1058014760#gid=1058014760"", address(row($D46),column($D46),,,""DL&amp;CO-N""))"),18)</f>
        <v>18</v>
      </c>
      <c r="I48" s="8">
        <f t="shared" ca="1" si="4"/>
        <v>46.153846153846153</v>
      </c>
      <c r="J48" s="5">
        <f ca="1">IFERROR(__xludf.DUMMYFUNCTION("IMPORTRANGE(""https://docs.google.com/spreadsheets/d/1rOGZhKHVnDGFqGTO7UNOJSkSJyQwVuEb2-yhWQit7lw/edit?gid=2007015697#gid=2007015697"", address(row($D46),column($D46),,,""ADSA-N""))"),33)</f>
        <v>33</v>
      </c>
      <c r="K48" s="8">
        <f t="shared" ca="1" si="5"/>
        <v>50</v>
      </c>
      <c r="L48" s="5">
        <f ca="1">IFERROR(__xludf.DUMMYFUNCTION("IMPORTRANGE(""https://docs.google.com/spreadsheets/d/1rOGZhKHVnDGFqGTO7UNOJSkSJyQwVuEb2-yhWQit7lw/edit?gid=1926669029#gid=1926669029"", address(row($D46),column($D46),,,""JAVA-N""))"),33)</f>
        <v>33</v>
      </c>
      <c r="M48" s="8">
        <f t="shared" ca="1" si="6"/>
        <v>48.529411764705884</v>
      </c>
      <c r="N48" s="5">
        <f ca="1">IFERROR(__xludf.DUMMYFUNCTION("IMPORTRANGE(""https://docs.google.com/spreadsheets/d/1rOGZhKHVnDGFqGTO7UNOJSkSJyQwVuEb2-yhWQit7lw/edit?gid=1656401641#gid=1656401641"", address(row($D46),column($D46),,,""FOSS LAB-N""))"),21)</f>
        <v>21</v>
      </c>
      <c r="O48" s="8">
        <f t="shared" ca="1" si="7"/>
        <v>60</v>
      </c>
      <c r="P48" s="5">
        <f ca="1">IFERROR(__xludf.DUMMYFUNCTION("IMPORTRANGE(""https://docs.google.com/spreadsheets/d/1rOGZhKHVnDGFqGTO7UNOJSkSJyQwVuEb2-yhWQit7lw/edit?gid=1022834346#gid=1022834346"", address(row($D46),column($D46),,,""PP-N""))"),21)</f>
        <v>21</v>
      </c>
      <c r="Q48" s="8">
        <f t="shared" ca="1" si="8"/>
        <v>63.636363636363633</v>
      </c>
      <c r="R48" s="5">
        <f ca="1">IFERROR(__xludf.DUMMYFUNCTION("IMPORTRANGE(""https://docs.google.com/spreadsheets/d/1rOGZhKHVnDGFqGTO7UNOJSkSJyQwVuEb2-yhWQit7lw/edit?gid=449441702#gid=449441702"", address(row($D46),column($D46),,,""NPTEL-N""))"),16)</f>
        <v>16</v>
      </c>
      <c r="S48" s="5">
        <f t="shared" ca="1" si="9"/>
        <v>57.142857142857139</v>
      </c>
      <c r="T48" s="6">
        <f ca="1">IFERROR(__xludf.DUMMYFUNCTION("IMPORTRANGE(""https://docs.google.com/spreadsheets/d/1rOGZhKHVnDGFqGTO7UNOJSkSJyQwVuEb2-yhWQit7lw/edit?gid=77662277#gid=77662277"", address(row($D46),column($D46),,,""CRT-N""))"),30)</f>
        <v>30</v>
      </c>
      <c r="U48" s="8">
        <f t="shared" ca="1" si="10"/>
        <v>42.857142857142854</v>
      </c>
      <c r="V48" s="6">
        <f t="shared" ca="1" si="0"/>
        <v>208</v>
      </c>
      <c r="W48" s="4">
        <f t="shared" ca="1" si="11"/>
        <v>50</v>
      </c>
      <c r="X48" s="4">
        <v>0</v>
      </c>
      <c r="Y48" s="4">
        <v>0</v>
      </c>
      <c r="Z48" s="4">
        <f t="shared" ca="1" si="1"/>
        <v>208</v>
      </c>
      <c r="AA48" s="10">
        <f t="shared" ca="1" si="12"/>
        <v>50</v>
      </c>
    </row>
    <row r="49" spans="1:27" ht="15.85" customHeight="1" x14ac:dyDescent="0.3">
      <c r="A49" s="8">
        <v>44</v>
      </c>
      <c r="B49" s="11" t="s">
        <v>261</v>
      </c>
      <c r="C49" s="11" t="s">
        <v>262</v>
      </c>
      <c r="D49" s="5">
        <f ca="1">IFERROR(__xludf.DUMMYFUNCTION("IMPORTRANGE(""https://docs.google.com/spreadsheets/d/1rOGZhKHVnDGFqGTO7UNOJSkSJyQwVuEb2-yhWQit7lw/edit?gid=1117406455#gid=1117406455"", address(row($D47),column($D47),,,""DM&amp;GT-N""))"),26)</f>
        <v>26</v>
      </c>
      <c r="E49" s="8">
        <f t="shared" ca="1" si="2"/>
        <v>66.666666666666657</v>
      </c>
      <c r="F49" s="5">
        <f ca="1">IFERROR(__xludf.DUMMYFUNCTION("IMPORTRANGE(""https://docs.google.com/spreadsheets/d/1rOGZhKHVnDGFqGTO7UNOJSkSJyQwVuEb2-yhWQit7lw/edit?gid=1808040716#gid=1808040716"", address(row($D47),column($D47),,,""UHV-N""))"),27)</f>
        <v>27</v>
      </c>
      <c r="G49" s="8">
        <f t="shared" ca="1" si="3"/>
        <v>77.142857142857153</v>
      </c>
      <c r="H49" s="5">
        <f ca="1">IFERROR(__xludf.DUMMYFUNCTION("IMPORTRANGE(""https://docs.google.com/spreadsheets/d/1rOGZhKHVnDGFqGTO7UNOJSkSJyQwVuEb2-yhWQit7lw/edit?gid=1058014760#gid=1058014760"", address(row($D47),column($D47),,,""DL&amp;CO-N""))"),25)</f>
        <v>25</v>
      </c>
      <c r="I49" s="8">
        <f t="shared" ca="1" si="4"/>
        <v>64.102564102564102</v>
      </c>
      <c r="J49" s="5">
        <f ca="1">IFERROR(__xludf.DUMMYFUNCTION("IMPORTRANGE(""https://docs.google.com/spreadsheets/d/1rOGZhKHVnDGFqGTO7UNOJSkSJyQwVuEb2-yhWQit7lw/edit?gid=2007015697#gid=2007015697"", address(row($D47),column($D47),,,""ADSA-N""))"),39)</f>
        <v>39</v>
      </c>
      <c r="K49" s="8">
        <f t="shared" ca="1" si="5"/>
        <v>59.090909090909093</v>
      </c>
      <c r="L49" s="5">
        <f ca="1">IFERROR(__xludf.DUMMYFUNCTION("IMPORTRANGE(""https://docs.google.com/spreadsheets/d/1rOGZhKHVnDGFqGTO7UNOJSkSJyQwVuEb2-yhWQit7lw/edit?gid=1926669029#gid=1926669029"", address(row($D47),column($D47),,,""JAVA-N""))"),41)</f>
        <v>41</v>
      </c>
      <c r="M49" s="8">
        <f t="shared" ca="1" si="6"/>
        <v>60.294117647058819</v>
      </c>
      <c r="N49" s="5">
        <f ca="1">IFERROR(__xludf.DUMMYFUNCTION("IMPORTRANGE(""https://docs.google.com/spreadsheets/d/1rOGZhKHVnDGFqGTO7UNOJSkSJyQwVuEb2-yhWQit7lw/edit?gid=1656401641#gid=1656401641"", address(row($D47),column($D47),,,""FOSS LAB-N""))"),24)</f>
        <v>24</v>
      </c>
      <c r="O49" s="8">
        <f t="shared" ca="1" si="7"/>
        <v>68.571428571428569</v>
      </c>
      <c r="P49" s="5">
        <f ca="1">IFERROR(__xludf.DUMMYFUNCTION("IMPORTRANGE(""https://docs.google.com/spreadsheets/d/1rOGZhKHVnDGFqGTO7UNOJSkSJyQwVuEb2-yhWQit7lw/edit?gid=1022834346#gid=1022834346"", address(row($D47),column($D47),,,""PP-N""))"),14)</f>
        <v>14</v>
      </c>
      <c r="Q49" s="8">
        <f t="shared" ca="1" si="8"/>
        <v>42.424242424242422</v>
      </c>
      <c r="R49" s="5">
        <f ca="1">IFERROR(__xludf.DUMMYFUNCTION("IMPORTRANGE(""https://docs.google.com/spreadsheets/d/1rOGZhKHVnDGFqGTO7UNOJSkSJyQwVuEb2-yhWQit7lw/edit?gid=449441702#gid=449441702"", address(row($D47),column($D47),,,""NPTEL-N""))"),24)</f>
        <v>24</v>
      </c>
      <c r="S49" s="5">
        <f t="shared" ca="1" si="9"/>
        <v>85.714285714285708</v>
      </c>
      <c r="T49" s="6">
        <f ca="1">IFERROR(__xludf.DUMMYFUNCTION("IMPORTRANGE(""https://docs.google.com/spreadsheets/d/1rOGZhKHVnDGFqGTO7UNOJSkSJyQwVuEb2-yhWQit7lw/edit?gid=77662277#gid=77662277"", address(row($D47),column($D47),,,""CRT-N""))"),53)</f>
        <v>53</v>
      </c>
      <c r="U49" s="8">
        <f t="shared" ca="1" si="10"/>
        <v>75.714285714285708</v>
      </c>
      <c r="V49" s="6">
        <f t="shared" ca="1" si="0"/>
        <v>273</v>
      </c>
      <c r="W49" s="4">
        <f t="shared" ca="1" si="11"/>
        <v>66</v>
      </c>
      <c r="X49" s="4">
        <v>0</v>
      </c>
      <c r="Y49" s="4">
        <v>0</v>
      </c>
      <c r="Z49" s="4">
        <f t="shared" ca="1" si="1"/>
        <v>273</v>
      </c>
      <c r="AA49" s="10">
        <f t="shared" ca="1" si="12"/>
        <v>66</v>
      </c>
    </row>
    <row r="50" spans="1:27" ht="15.85" customHeight="1" x14ac:dyDescent="0.3">
      <c r="A50" s="8">
        <v>45</v>
      </c>
      <c r="B50" s="11" t="s">
        <v>263</v>
      </c>
      <c r="C50" s="11" t="s">
        <v>264</v>
      </c>
      <c r="D50" s="5">
        <f ca="1">IFERROR(__xludf.DUMMYFUNCTION("IMPORTRANGE(""https://docs.google.com/spreadsheets/d/1rOGZhKHVnDGFqGTO7UNOJSkSJyQwVuEb2-yhWQit7lw/edit?gid=1117406455#gid=1117406455"", address(row($D48),column($D48),,,""DM&amp;GT-N""))"),27)</f>
        <v>27</v>
      </c>
      <c r="E50" s="8">
        <f t="shared" ca="1" si="2"/>
        <v>69.230769230769226</v>
      </c>
      <c r="F50" s="5">
        <f ca="1">IFERROR(__xludf.DUMMYFUNCTION("IMPORTRANGE(""https://docs.google.com/spreadsheets/d/1rOGZhKHVnDGFqGTO7UNOJSkSJyQwVuEb2-yhWQit7lw/edit?gid=1808040716#gid=1808040716"", address(row($D48),column($D48),,,""UHV-N""))"),26)</f>
        <v>26</v>
      </c>
      <c r="G50" s="8">
        <f t="shared" ca="1" si="3"/>
        <v>74.285714285714292</v>
      </c>
      <c r="H50" s="5">
        <f ca="1">IFERROR(__xludf.DUMMYFUNCTION("IMPORTRANGE(""https://docs.google.com/spreadsheets/d/1rOGZhKHVnDGFqGTO7UNOJSkSJyQwVuEb2-yhWQit7lw/edit?gid=1058014760#gid=1058014760"", address(row($D48),column($D48),,,""DL&amp;CO-N""))"),26)</f>
        <v>26</v>
      </c>
      <c r="I50" s="8">
        <f t="shared" ca="1" si="4"/>
        <v>66.666666666666657</v>
      </c>
      <c r="J50" s="5">
        <f ca="1">IFERROR(__xludf.DUMMYFUNCTION("IMPORTRANGE(""https://docs.google.com/spreadsheets/d/1rOGZhKHVnDGFqGTO7UNOJSkSJyQwVuEb2-yhWQit7lw/edit?gid=2007015697#gid=2007015697"", address(row($D48),column($D48),,,""ADSA-N""))"),38)</f>
        <v>38</v>
      </c>
      <c r="K50" s="8">
        <f t="shared" ca="1" si="5"/>
        <v>57.575757575757578</v>
      </c>
      <c r="L50" s="5">
        <f ca="1">IFERROR(__xludf.DUMMYFUNCTION("IMPORTRANGE(""https://docs.google.com/spreadsheets/d/1rOGZhKHVnDGFqGTO7UNOJSkSJyQwVuEb2-yhWQit7lw/edit?gid=1926669029#gid=1926669029"", address(row($D48),column($D48),,,""JAVA-N""))"),44)</f>
        <v>44</v>
      </c>
      <c r="M50" s="8">
        <f t="shared" ca="1" si="6"/>
        <v>64.705882352941174</v>
      </c>
      <c r="N50" s="5">
        <f ca="1">IFERROR(__xludf.DUMMYFUNCTION("IMPORTRANGE(""https://docs.google.com/spreadsheets/d/1rOGZhKHVnDGFqGTO7UNOJSkSJyQwVuEb2-yhWQit7lw/edit?gid=1656401641#gid=1656401641"", address(row($D48),column($D48),,,""FOSS LAB-N""))"),27)</f>
        <v>27</v>
      </c>
      <c r="O50" s="8">
        <f t="shared" ca="1" si="7"/>
        <v>77.142857142857153</v>
      </c>
      <c r="P50" s="5">
        <f ca="1">IFERROR(__xludf.DUMMYFUNCTION("IMPORTRANGE(""https://docs.google.com/spreadsheets/d/1rOGZhKHVnDGFqGTO7UNOJSkSJyQwVuEb2-yhWQit7lw/edit?gid=1022834346#gid=1022834346"", address(row($D48),column($D48),,,""PP-N""))"),21)</f>
        <v>21</v>
      </c>
      <c r="Q50" s="8">
        <f t="shared" ca="1" si="8"/>
        <v>63.636363636363633</v>
      </c>
      <c r="R50" s="5">
        <f ca="1">IFERROR(__xludf.DUMMYFUNCTION("IMPORTRANGE(""https://docs.google.com/spreadsheets/d/1rOGZhKHVnDGFqGTO7UNOJSkSJyQwVuEb2-yhWQit7lw/edit?gid=449441702#gid=449441702"", address(row($D48),column($D48),,,""NPTEL-N""))"),20)</f>
        <v>20</v>
      </c>
      <c r="S50" s="5">
        <f t="shared" ca="1" si="9"/>
        <v>71.428571428571431</v>
      </c>
      <c r="T50" s="6">
        <f ca="1">IFERROR(__xludf.DUMMYFUNCTION("IMPORTRANGE(""https://docs.google.com/spreadsheets/d/1rOGZhKHVnDGFqGTO7UNOJSkSJyQwVuEb2-yhWQit7lw/edit?gid=77662277#gid=77662277"", address(row($D48),column($D48),,,""CRT-N""))"),56)</f>
        <v>56</v>
      </c>
      <c r="U50" s="8">
        <f t="shared" ca="1" si="10"/>
        <v>80</v>
      </c>
      <c r="V50" s="6">
        <f t="shared" ca="1" si="0"/>
        <v>285</v>
      </c>
      <c r="W50" s="4">
        <f t="shared" ca="1" si="11"/>
        <v>69</v>
      </c>
      <c r="X50" s="4">
        <v>1</v>
      </c>
      <c r="Y50" s="4">
        <v>0</v>
      </c>
      <c r="Z50" s="4">
        <f t="shared" ca="1" si="1"/>
        <v>286</v>
      </c>
      <c r="AA50" s="10">
        <f t="shared" ca="1" si="12"/>
        <v>69</v>
      </c>
    </row>
    <row r="51" spans="1:27" ht="15.85" customHeight="1" x14ac:dyDescent="0.3">
      <c r="A51" s="8">
        <v>46</v>
      </c>
      <c r="B51" s="11" t="s">
        <v>265</v>
      </c>
      <c r="C51" s="11" t="s">
        <v>266</v>
      </c>
      <c r="D51" s="5">
        <f ca="1">IFERROR(__xludf.DUMMYFUNCTION("IMPORTRANGE(""https://docs.google.com/spreadsheets/d/1rOGZhKHVnDGFqGTO7UNOJSkSJyQwVuEb2-yhWQit7lw/edit?gid=1117406455#gid=1117406455"", address(row($D49),column($D49),,,""DM&amp;GT-N""))"),20)</f>
        <v>20</v>
      </c>
      <c r="E51" s="8">
        <f t="shared" ca="1" si="2"/>
        <v>51.282051282051277</v>
      </c>
      <c r="F51" s="5">
        <f ca="1">IFERROR(__xludf.DUMMYFUNCTION("IMPORTRANGE(""https://docs.google.com/spreadsheets/d/1rOGZhKHVnDGFqGTO7UNOJSkSJyQwVuEb2-yhWQit7lw/edit?gid=1808040716#gid=1808040716"", address(row($D49),column($D49),,,""UHV-N""))"),17)</f>
        <v>17</v>
      </c>
      <c r="G51" s="8">
        <f t="shared" ca="1" si="3"/>
        <v>48.571428571428569</v>
      </c>
      <c r="H51" s="5">
        <f ca="1">IFERROR(__xludf.DUMMYFUNCTION("IMPORTRANGE(""https://docs.google.com/spreadsheets/d/1rOGZhKHVnDGFqGTO7UNOJSkSJyQwVuEb2-yhWQit7lw/edit?gid=1058014760#gid=1058014760"", address(row($D49),column($D49),,,""DL&amp;CO-N""))"),17)</f>
        <v>17</v>
      </c>
      <c r="I51" s="8">
        <f t="shared" ca="1" si="4"/>
        <v>43.589743589743591</v>
      </c>
      <c r="J51" s="5">
        <f ca="1">IFERROR(__xludf.DUMMYFUNCTION("IMPORTRANGE(""https://docs.google.com/spreadsheets/d/1rOGZhKHVnDGFqGTO7UNOJSkSJyQwVuEb2-yhWQit7lw/edit?gid=2007015697#gid=2007015697"", address(row($D49),column($D49),,,""ADSA-N""))"),40)</f>
        <v>40</v>
      </c>
      <c r="K51" s="8">
        <f t="shared" ca="1" si="5"/>
        <v>60.606060606060609</v>
      </c>
      <c r="L51" s="5">
        <f ca="1">IFERROR(__xludf.DUMMYFUNCTION("IMPORTRANGE(""https://docs.google.com/spreadsheets/d/1rOGZhKHVnDGFqGTO7UNOJSkSJyQwVuEb2-yhWQit7lw/edit?gid=1926669029#gid=1926669029"", address(row($D49),column($D49),,,""JAVA-N""))"),36)</f>
        <v>36</v>
      </c>
      <c r="M51" s="8">
        <f t="shared" ca="1" si="6"/>
        <v>52.941176470588239</v>
      </c>
      <c r="N51" s="5">
        <f ca="1">IFERROR(__xludf.DUMMYFUNCTION("IMPORTRANGE(""https://docs.google.com/spreadsheets/d/1rOGZhKHVnDGFqGTO7UNOJSkSJyQwVuEb2-yhWQit7lw/edit?gid=1656401641#gid=1656401641"", address(row($D49),column($D49),,,""FOSS LAB-N""))"),29)</f>
        <v>29</v>
      </c>
      <c r="O51" s="8">
        <f t="shared" ca="1" si="7"/>
        <v>82.857142857142861</v>
      </c>
      <c r="P51" s="5">
        <f ca="1">IFERROR(__xludf.DUMMYFUNCTION("IMPORTRANGE(""https://docs.google.com/spreadsheets/d/1rOGZhKHVnDGFqGTO7UNOJSkSJyQwVuEb2-yhWQit7lw/edit?gid=1022834346#gid=1022834346"", address(row($D49),column($D49),,,""PP-N""))"),17)</f>
        <v>17</v>
      </c>
      <c r="Q51" s="8">
        <f t="shared" ca="1" si="8"/>
        <v>51.515151515151516</v>
      </c>
      <c r="R51" s="5">
        <f ca="1">IFERROR(__xludf.DUMMYFUNCTION("IMPORTRANGE(""https://docs.google.com/spreadsheets/d/1rOGZhKHVnDGFqGTO7UNOJSkSJyQwVuEb2-yhWQit7lw/edit?gid=449441702#gid=449441702"", address(row($D49),column($D49),,,""NPTEL-N""))"),18)</f>
        <v>18</v>
      </c>
      <c r="S51" s="5">
        <f t="shared" ca="1" si="9"/>
        <v>64.285714285714292</v>
      </c>
      <c r="T51" s="6">
        <f ca="1">IFERROR(__xludf.DUMMYFUNCTION("IMPORTRANGE(""https://docs.google.com/spreadsheets/d/1rOGZhKHVnDGFqGTO7UNOJSkSJyQwVuEb2-yhWQit7lw/edit?gid=77662277#gid=77662277"", address(row($D49),column($D49),,,""CRT-N""))"),61)</f>
        <v>61</v>
      </c>
      <c r="U51" s="8">
        <f t="shared" ca="1" si="10"/>
        <v>87.142857142857139</v>
      </c>
      <c r="V51" s="6">
        <f t="shared" ca="1" si="0"/>
        <v>255</v>
      </c>
      <c r="W51" s="4">
        <f t="shared" ca="1" si="11"/>
        <v>62</v>
      </c>
      <c r="X51" s="4">
        <v>0</v>
      </c>
      <c r="Y51" s="4">
        <v>0</v>
      </c>
      <c r="Z51" s="4">
        <f t="shared" ca="1" si="1"/>
        <v>255</v>
      </c>
      <c r="AA51" s="10">
        <f t="shared" ca="1" si="12"/>
        <v>62</v>
      </c>
    </row>
    <row r="52" spans="1:27" ht="15.85" customHeight="1" x14ac:dyDescent="0.3">
      <c r="A52" s="8">
        <v>47</v>
      </c>
      <c r="B52" s="11" t="s">
        <v>267</v>
      </c>
      <c r="C52" s="11" t="s">
        <v>268</v>
      </c>
      <c r="D52" s="5">
        <f ca="1">IFERROR(__xludf.DUMMYFUNCTION("IMPORTRANGE(""https://docs.google.com/spreadsheets/d/1rOGZhKHVnDGFqGTO7UNOJSkSJyQwVuEb2-yhWQit7lw/edit?gid=1117406455#gid=1117406455"", address(row($D50),column($D50),,,""DM&amp;GT-N""))"),33)</f>
        <v>33</v>
      </c>
      <c r="E52" s="8">
        <f t="shared" ca="1" si="2"/>
        <v>84.615384615384613</v>
      </c>
      <c r="F52" s="5">
        <f ca="1">IFERROR(__xludf.DUMMYFUNCTION("IMPORTRANGE(""https://docs.google.com/spreadsheets/d/1rOGZhKHVnDGFqGTO7UNOJSkSJyQwVuEb2-yhWQit7lw/edit?gid=1808040716#gid=1808040716"", address(row($D50),column($D50),,,""UHV-N""))"),35)</f>
        <v>35</v>
      </c>
      <c r="G52" s="8">
        <f t="shared" ca="1" si="3"/>
        <v>100</v>
      </c>
      <c r="H52" s="5">
        <f ca="1">IFERROR(__xludf.DUMMYFUNCTION("IMPORTRANGE(""https://docs.google.com/spreadsheets/d/1rOGZhKHVnDGFqGTO7UNOJSkSJyQwVuEb2-yhWQit7lw/edit?gid=1058014760#gid=1058014760"", address(row($D50),column($D50),,,""DL&amp;CO-N""))"),33)</f>
        <v>33</v>
      </c>
      <c r="I52" s="8">
        <f t="shared" ca="1" si="4"/>
        <v>84.615384615384613</v>
      </c>
      <c r="J52" s="5">
        <f ca="1">IFERROR(__xludf.DUMMYFUNCTION("IMPORTRANGE(""https://docs.google.com/spreadsheets/d/1rOGZhKHVnDGFqGTO7UNOJSkSJyQwVuEb2-yhWQit7lw/edit?gid=2007015697#gid=2007015697"", address(row($D50),column($D50),,,""ADSA-N""))"),48)</f>
        <v>48</v>
      </c>
      <c r="K52" s="8">
        <f t="shared" ca="1" si="5"/>
        <v>72.727272727272734</v>
      </c>
      <c r="L52" s="5">
        <f ca="1">IFERROR(__xludf.DUMMYFUNCTION("IMPORTRANGE(""https://docs.google.com/spreadsheets/d/1rOGZhKHVnDGFqGTO7UNOJSkSJyQwVuEb2-yhWQit7lw/edit?gid=1926669029#gid=1926669029"", address(row($D50),column($D50),,,""JAVA-N""))"),51)</f>
        <v>51</v>
      </c>
      <c r="M52" s="8">
        <f t="shared" ca="1" si="6"/>
        <v>75</v>
      </c>
      <c r="N52" s="5">
        <f ca="1">IFERROR(__xludf.DUMMYFUNCTION("IMPORTRANGE(""https://docs.google.com/spreadsheets/d/1rOGZhKHVnDGFqGTO7UNOJSkSJyQwVuEb2-yhWQit7lw/edit?gid=1656401641#gid=1656401641"", address(row($D50),column($D50),,,""FOSS LAB-N""))"),29)</f>
        <v>29</v>
      </c>
      <c r="O52" s="8">
        <f t="shared" ca="1" si="7"/>
        <v>82.857142857142861</v>
      </c>
      <c r="P52" s="5">
        <f ca="1">IFERROR(__xludf.DUMMYFUNCTION("IMPORTRANGE(""https://docs.google.com/spreadsheets/d/1rOGZhKHVnDGFqGTO7UNOJSkSJyQwVuEb2-yhWQit7lw/edit?gid=1022834346#gid=1022834346"", address(row($D50),column($D50),,,""PP-N""))"),27)</f>
        <v>27</v>
      </c>
      <c r="Q52" s="8">
        <f t="shared" ca="1" si="8"/>
        <v>81.818181818181827</v>
      </c>
      <c r="R52" s="5">
        <f ca="1">IFERROR(__xludf.DUMMYFUNCTION("IMPORTRANGE(""https://docs.google.com/spreadsheets/d/1rOGZhKHVnDGFqGTO7UNOJSkSJyQwVuEb2-yhWQit7lw/edit?gid=449441702#gid=449441702"", address(row($D50),column($D50),,,""NPTEL-N""))"),28)</f>
        <v>28</v>
      </c>
      <c r="S52" s="5">
        <f t="shared" ca="1" si="9"/>
        <v>100</v>
      </c>
      <c r="T52" s="6">
        <f ca="1">IFERROR(__xludf.DUMMYFUNCTION("IMPORTRANGE(""https://docs.google.com/spreadsheets/d/1rOGZhKHVnDGFqGTO7UNOJSkSJyQwVuEb2-yhWQit7lw/edit?gid=77662277#gid=77662277"", address(row($D50),column($D50),,,""CRT-N""))"),63)</f>
        <v>63</v>
      </c>
      <c r="U52" s="8">
        <f t="shared" ca="1" si="10"/>
        <v>90</v>
      </c>
      <c r="V52" s="6">
        <f t="shared" ca="1" si="0"/>
        <v>347</v>
      </c>
      <c r="W52" s="4">
        <f t="shared" ca="1" si="11"/>
        <v>84</v>
      </c>
      <c r="X52" s="4">
        <v>0</v>
      </c>
      <c r="Y52" s="4">
        <v>0</v>
      </c>
      <c r="Z52" s="4">
        <f t="shared" ca="1" si="1"/>
        <v>347</v>
      </c>
      <c r="AA52" s="10">
        <f t="shared" ca="1" si="12"/>
        <v>84</v>
      </c>
    </row>
    <row r="53" spans="1:27" ht="15.85" customHeight="1" x14ac:dyDescent="0.3">
      <c r="A53" s="8">
        <v>48</v>
      </c>
      <c r="B53" s="11" t="s">
        <v>269</v>
      </c>
      <c r="C53" s="11" t="s">
        <v>270</v>
      </c>
      <c r="D53" s="5">
        <f ca="1">IFERROR(__xludf.DUMMYFUNCTION("IMPORTRANGE(""https://docs.google.com/spreadsheets/d/1rOGZhKHVnDGFqGTO7UNOJSkSJyQwVuEb2-yhWQit7lw/edit?gid=1117406455#gid=1117406455"", address(row($D51),column($D51),,,""DM&amp;GT-N""))"),28)</f>
        <v>28</v>
      </c>
      <c r="E53" s="8">
        <f t="shared" ca="1" si="2"/>
        <v>71.794871794871796</v>
      </c>
      <c r="F53" s="5">
        <f ca="1">IFERROR(__xludf.DUMMYFUNCTION("IMPORTRANGE(""https://docs.google.com/spreadsheets/d/1rOGZhKHVnDGFqGTO7UNOJSkSJyQwVuEb2-yhWQit7lw/edit?gid=1808040716#gid=1808040716"", address(row($D51),column($D51),,,""UHV-N""))"),27)</f>
        <v>27</v>
      </c>
      <c r="G53" s="8">
        <f t="shared" ca="1" si="3"/>
        <v>77.142857142857153</v>
      </c>
      <c r="H53" s="5">
        <f ca="1">IFERROR(__xludf.DUMMYFUNCTION("IMPORTRANGE(""https://docs.google.com/spreadsheets/d/1rOGZhKHVnDGFqGTO7UNOJSkSJyQwVuEb2-yhWQit7lw/edit?gid=1058014760#gid=1058014760"", address(row($D51),column($D51),,,""DL&amp;CO-N""))"),27)</f>
        <v>27</v>
      </c>
      <c r="I53" s="8">
        <f t="shared" ca="1" si="4"/>
        <v>69.230769230769226</v>
      </c>
      <c r="J53" s="5">
        <f ca="1">IFERROR(__xludf.DUMMYFUNCTION("IMPORTRANGE(""https://docs.google.com/spreadsheets/d/1rOGZhKHVnDGFqGTO7UNOJSkSJyQwVuEb2-yhWQit7lw/edit?gid=2007015697#gid=2007015697"", address(row($D51),column($D51),,,""ADSA-N""))"),47)</f>
        <v>47</v>
      </c>
      <c r="K53" s="8">
        <f t="shared" ca="1" si="5"/>
        <v>71.212121212121218</v>
      </c>
      <c r="L53" s="5">
        <f ca="1">IFERROR(__xludf.DUMMYFUNCTION("IMPORTRANGE(""https://docs.google.com/spreadsheets/d/1rOGZhKHVnDGFqGTO7UNOJSkSJyQwVuEb2-yhWQit7lw/edit?gid=1926669029#gid=1926669029"", address(row($D51),column($D51),,,""JAVA-N""))"),55)</f>
        <v>55</v>
      </c>
      <c r="M53" s="8">
        <f t="shared" ca="1" si="6"/>
        <v>80.882352941176478</v>
      </c>
      <c r="N53" s="5">
        <f ca="1">IFERROR(__xludf.DUMMYFUNCTION("IMPORTRANGE(""https://docs.google.com/spreadsheets/d/1rOGZhKHVnDGFqGTO7UNOJSkSJyQwVuEb2-yhWQit7lw/edit?gid=1656401641#gid=1656401641"", address(row($D51),column($D51),,,""FOSS LAB-N""))"),26)</f>
        <v>26</v>
      </c>
      <c r="O53" s="8">
        <f t="shared" ca="1" si="7"/>
        <v>74.285714285714292</v>
      </c>
      <c r="P53" s="5">
        <f ca="1">IFERROR(__xludf.DUMMYFUNCTION("IMPORTRANGE(""https://docs.google.com/spreadsheets/d/1rOGZhKHVnDGFqGTO7UNOJSkSJyQwVuEb2-yhWQit7lw/edit?gid=1022834346#gid=1022834346"", address(row($D51),column($D51),,,""PP-N""))"),24)</f>
        <v>24</v>
      </c>
      <c r="Q53" s="8">
        <f t="shared" ca="1" si="8"/>
        <v>72.727272727272734</v>
      </c>
      <c r="R53" s="5">
        <f ca="1">IFERROR(__xludf.DUMMYFUNCTION("IMPORTRANGE(""https://docs.google.com/spreadsheets/d/1rOGZhKHVnDGFqGTO7UNOJSkSJyQwVuEb2-yhWQit7lw/edit?gid=449441702#gid=449441702"", address(row($D51),column($D51),,,""NPTEL-N""))"),20)</f>
        <v>20</v>
      </c>
      <c r="S53" s="5">
        <f t="shared" ca="1" si="9"/>
        <v>71.428571428571431</v>
      </c>
      <c r="T53" s="6">
        <f ca="1">IFERROR(__xludf.DUMMYFUNCTION("IMPORTRANGE(""https://docs.google.com/spreadsheets/d/1rOGZhKHVnDGFqGTO7UNOJSkSJyQwVuEb2-yhWQit7lw/edit?gid=77662277#gid=77662277"", address(row($D51),column($D51),,,""CRT-N""))"),63)</f>
        <v>63</v>
      </c>
      <c r="U53" s="8">
        <f t="shared" ca="1" si="10"/>
        <v>90</v>
      </c>
      <c r="V53" s="6">
        <f t="shared" ca="1" si="0"/>
        <v>317</v>
      </c>
      <c r="W53" s="4">
        <f t="shared" ca="1" si="11"/>
        <v>77</v>
      </c>
      <c r="X53" s="4">
        <v>1</v>
      </c>
      <c r="Y53" s="4">
        <v>0</v>
      </c>
      <c r="Z53" s="4">
        <f t="shared" ca="1" si="1"/>
        <v>318</v>
      </c>
      <c r="AA53" s="10">
        <f t="shared" ca="1" si="12"/>
        <v>77</v>
      </c>
    </row>
    <row r="54" spans="1:27" ht="15.85" customHeight="1" x14ac:dyDescent="0.3">
      <c r="A54" s="8">
        <v>49</v>
      </c>
      <c r="B54" s="11" t="s">
        <v>271</v>
      </c>
      <c r="C54" s="11" t="s">
        <v>272</v>
      </c>
      <c r="D54" s="5">
        <f ca="1">IFERROR(__xludf.DUMMYFUNCTION("IMPORTRANGE(""https://docs.google.com/spreadsheets/d/1rOGZhKHVnDGFqGTO7UNOJSkSJyQwVuEb2-yhWQit7lw/edit?gid=1117406455#gid=1117406455"", address(row($D52),column($D52),,,""DM&amp;GT-N""))"),35)</f>
        <v>35</v>
      </c>
      <c r="E54" s="8">
        <f t="shared" ca="1" si="2"/>
        <v>89.743589743589752</v>
      </c>
      <c r="F54" s="5">
        <f ca="1">IFERROR(__xludf.DUMMYFUNCTION("IMPORTRANGE(""https://docs.google.com/spreadsheets/d/1rOGZhKHVnDGFqGTO7UNOJSkSJyQwVuEb2-yhWQit7lw/edit?gid=1808040716#gid=1808040716"", address(row($D52),column($D52),,,""UHV-N""))"),33)</f>
        <v>33</v>
      </c>
      <c r="G54" s="8">
        <f t="shared" ca="1" si="3"/>
        <v>94.285714285714278</v>
      </c>
      <c r="H54" s="5">
        <f ca="1">IFERROR(__xludf.DUMMYFUNCTION("IMPORTRANGE(""https://docs.google.com/spreadsheets/d/1rOGZhKHVnDGFqGTO7UNOJSkSJyQwVuEb2-yhWQit7lw/edit?gid=1058014760#gid=1058014760"", address(row($D52),column($D52),,,""DL&amp;CO-N""))"),34)</f>
        <v>34</v>
      </c>
      <c r="I54" s="8">
        <f t="shared" ca="1" si="4"/>
        <v>87.179487179487182</v>
      </c>
      <c r="J54" s="5">
        <f ca="1">IFERROR(__xludf.DUMMYFUNCTION("IMPORTRANGE(""https://docs.google.com/spreadsheets/d/1rOGZhKHVnDGFqGTO7UNOJSkSJyQwVuEb2-yhWQit7lw/edit?gid=2007015697#gid=2007015697"", address(row($D52),column($D52),,,""ADSA-N""))"),54)</f>
        <v>54</v>
      </c>
      <c r="K54" s="8">
        <f t="shared" ca="1" si="5"/>
        <v>81.818181818181827</v>
      </c>
      <c r="L54" s="5">
        <f ca="1">IFERROR(__xludf.DUMMYFUNCTION("IMPORTRANGE(""https://docs.google.com/spreadsheets/d/1rOGZhKHVnDGFqGTO7UNOJSkSJyQwVuEb2-yhWQit7lw/edit?gid=1926669029#gid=1926669029"", address(row($D52),column($D52),,,""JAVA-N""))"),54)</f>
        <v>54</v>
      </c>
      <c r="M54" s="8">
        <f t="shared" ca="1" si="6"/>
        <v>79.411764705882348</v>
      </c>
      <c r="N54" s="5">
        <f ca="1">IFERROR(__xludf.DUMMYFUNCTION("IMPORTRANGE(""https://docs.google.com/spreadsheets/d/1rOGZhKHVnDGFqGTO7UNOJSkSJyQwVuEb2-yhWQit7lw/edit?gid=1656401641#gid=1656401641"", address(row($D52),column($D52),,,""FOSS LAB-N""))"),32)</f>
        <v>32</v>
      </c>
      <c r="O54" s="8">
        <f t="shared" ca="1" si="7"/>
        <v>91.428571428571431</v>
      </c>
      <c r="P54" s="5">
        <f ca="1">IFERROR(__xludf.DUMMYFUNCTION("IMPORTRANGE(""https://docs.google.com/spreadsheets/d/1rOGZhKHVnDGFqGTO7UNOJSkSJyQwVuEb2-yhWQit7lw/edit?gid=1022834346#gid=1022834346"", address(row($D52),column($D52),,,""PP-N""))"),29)</f>
        <v>29</v>
      </c>
      <c r="Q54" s="8">
        <f t="shared" ca="1" si="8"/>
        <v>87.878787878787875</v>
      </c>
      <c r="R54" s="5">
        <f ca="1">IFERROR(__xludf.DUMMYFUNCTION("IMPORTRANGE(""https://docs.google.com/spreadsheets/d/1rOGZhKHVnDGFqGTO7UNOJSkSJyQwVuEb2-yhWQit7lw/edit?gid=449441702#gid=449441702"", address(row($D52),column($D52),,,""NPTEL-N""))"),26)</f>
        <v>26</v>
      </c>
      <c r="S54" s="5">
        <f t="shared" ca="1" si="9"/>
        <v>92.857142857142861</v>
      </c>
      <c r="T54" s="6">
        <f ca="1">IFERROR(__xludf.DUMMYFUNCTION("IMPORTRANGE(""https://docs.google.com/spreadsheets/d/1rOGZhKHVnDGFqGTO7UNOJSkSJyQwVuEb2-yhWQit7lw/edit?gid=77662277#gid=77662277"", address(row($D52),column($D52),,,""CRT-N""))"),63)</f>
        <v>63</v>
      </c>
      <c r="U54" s="8">
        <f t="shared" ca="1" si="10"/>
        <v>90</v>
      </c>
      <c r="V54" s="6">
        <f t="shared" ca="1" si="0"/>
        <v>360</v>
      </c>
      <c r="W54" s="4">
        <f t="shared" ca="1" si="11"/>
        <v>87</v>
      </c>
      <c r="X54" s="4">
        <v>0</v>
      </c>
      <c r="Y54" s="4">
        <v>0</v>
      </c>
      <c r="Z54" s="4">
        <f t="shared" ca="1" si="1"/>
        <v>360</v>
      </c>
      <c r="AA54" s="10">
        <f t="shared" ca="1" si="12"/>
        <v>87</v>
      </c>
    </row>
    <row r="55" spans="1:27" ht="15.85" customHeight="1" x14ac:dyDescent="0.3">
      <c r="A55" s="8">
        <v>50</v>
      </c>
      <c r="B55" s="11" t="s">
        <v>273</v>
      </c>
      <c r="C55" s="11" t="s">
        <v>274</v>
      </c>
      <c r="D55" s="5">
        <f ca="1">IFERROR(__xludf.DUMMYFUNCTION("IMPORTRANGE(""https://docs.google.com/spreadsheets/d/1rOGZhKHVnDGFqGTO7UNOJSkSJyQwVuEb2-yhWQit7lw/edit?gid=1117406455#gid=1117406455"", address(row($D53),column($D53),,,""DM&amp;GT-N""))"),24)</f>
        <v>24</v>
      </c>
      <c r="E55" s="8">
        <f t="shared" ca="1" si="2"/>
        <v>61.53846153846154</v>
      </c>
      <c r="F55" s="5">
        <f ca="1">IFERROR(__xludf.DUMMYFUNCTION("IMPORTRANGE(""https://docs.google.com/spreadsheets/d/1rOGZhKHVnDGFqGTO7UNOJSkSJyQwVuEb2-yhWQit7lw/edit?gid=1808040716#gid=1808040716"", address(row($D53),column($D53),,,""UHV-N""))"),24)</f>
        <v>24</v>
      </c>
      <c r="G55" s="8">
        <f t="shared" ca="1" si="3"/>
        <v>68.571428571428569</v>
      </c>
      <c r="H55" s="5">
        <f ca="1">IFERROR(__xludf.DUMMYFUNCTION("IMPORTRANGE(""https://docs.google.com/spreadsheets/d/1rOGZhKHVnDGFqGTO7UNOJSkSJyQwVuEb2-yhWQit7lw/edit?gid=1058014760#gid=1058014760"", address(row($D53),column($D53),,,""DL&amp;CO-N""))"),25)</f>
        <v>25</v>
      </c>
      <c r="I55" s="8">
        <f t="shared" ca="1" si="4"/>
        <v>64.102564102564102</v>
      </c>
      <c r="J55" s="5">
        <f ca="1">IFERROR(__xludf.DUMMYFUNCTION("IMPORTRANGE(""https://docs.google.com/spreadsheets/d/1rOGZhKHVnDGFqGTO7UNOJSkSJyQwVuEb2-yhWQit7lw/edit?gid=2007015697#gid=2007015697"", address(row($D53),column($D53),,,""ADSA-N""))"),46)</f>
        <v>46</v>
      </c>
      <c r="K55" s="8">
        <f t="shared" ca="1" si="5"/>
        <v>69.696969696969703</v>
      </c>
      <c r="L55" s="5">
        <f ca="1">IFERROR(__xludf.DUMMYFUNCTION("IMPORTRANGE(""https://docs.google.com/spreadsheets/d/1rOGZhKHVnDGFqGTO7UNOJSkSJyQwVuEb2-yhWQit7lw/edit?gid=1926669029#gid=1926669029"", address(row($D53),column($D53),,,""JAVA-N""))"),45)</f>
        <v>45</v>
      </c>
      <c r="M55" s="8">
        <f t="shared" ca="1" si="6"/>
        <v>66.17647058823529</v>
      </c>
      <c r="N55" s="5">
        <f ca="1">IFERROR(__xludf.DUMMYFUNCTION("IMPORTRANGE(""https://docs.google.com/spreadsheets/d/1rOGZhKHVnDGFqGTO7UNOJSkSJyQwVuEb2-yhWQit7lw/edit?gid=1656401641#gid=1656401641"", address(row($D53),column($D53),,,""FOSS LAB-N""))"),29)</f>
        <v>29</v>
      </c>
      <c r="O55" s="8">
        <f t="shared" ca="1" si="7"/>
        <v>82.857142857142861</v>
      </c>
      <c r="P55" s="5">
        <f ca="1">IFERROR(__xludf.DUMMYFUNCTION("IMPORTRANGE(""https://docs.google.com/spreadsheets/d/1rOGZhKHVnDGFqGTO7UNOJSkSJyQwVuEb2-yhWQit7lw/edit?gid=1022834346#gid=1022834346"", address(row($D53),column($D53),,,""PP-N""))"),25)</f>
        <v>25</v>
      </c>
      <c r="Q55" s="8">
        <f t="shared" ca="1" si="8"/>
        <v>75.757575757575751</v>
      </c>
      <c r="R55" s="5">
        <f ca="1">IFERROR(__xludf.DUMMYFUNCTION("IMPORTRANGE(""https://docs.google.com/spreadsheets/d/1rOGZhKHVnDGFqGTO7UNOJSkSJyQwVuEb2-yhWQit7lw/edit?gid=449441702#gid=449441702"", address(row($D53),column($D53),,,""NPTEL-N""))"),22)</f>
        <v>22</v>
      </c>
      <c r="S55" s="5">
        <f t="shared" ca="1" si="9"/>
        <v>78.571428571428569</v>
      </c>
      <c r="T55" s="6">
        <f ca="1">IFERROR(__xludf.DUMMYFUNCTION("IMPORTRANGE(""https://docs.google.com/spreadsheets/d/1rOGZhKHVnDGFqGTO7UNOJSkSJyQwVuEb2-yhWQit7lw/edit?gid=77662277#gid=77662277"", address(row($D53),column($D53),,,""CRT-N""))"),56)</f>
        <v>56</v>
      </c>
      <c r="U55" s="8">
        <f t="shared" ca="1" si="10"/>
        <v>80</v>
      </c>
      <c r="V55" s="6">
        <f t="shared" ca="1" si="0"/>
        <v>296</v>
      </c>
      <c r="W55" s="4">
        <f t="shared" ca="1" si="11"/>
        <v>72</v>
      </c>
      <c r="X55" s="4">
        <v>0</v>
      </c>
      <c r="Y55" s="4">
        <v>0</v>
      </c>
      <c r="Z55" s="4">
        <f t="shared" ca="1" si="1"/>
        <v>296</v>
      </c>
      <c r="AA55" s="10">
        <f t="shared" ca="1" si="12"/>
        <v>72</v>
      </c>
    </row>
    <row r="56" spans="1:27" ht="15.85" customHeight="1" x14ac:dyDescent="0.3">
      <c r="A56" s="8">
        <v>51</v>
      </c>
      <c r="B56" s="11" t="s">
        <v>275</v>
      </c>
      <c r="C56" s="11" t="s">
        <v>276</v>
      </c>
      <c r="D56" s="5">
        <f ca="1">IFERROR(__xludf.DUMMYFUNCTION("IMPORTRANGE(""https://docs.google.com/spreadsheets/d/1rOGZhKHVnDGFqGTO7UNOJSkSJyQwVuEb2-yhWQit7lw/edit?gid=1117406455#gid=1117406455"", address(row($D54),column($D54),,,""DM&amp;GT-N""))"),23)</f>
        <v>23</v>
      </c>
      <c r="E56" s="8">
        <f t="shared" ca="1" si="2"/>
        <v>58.974358974358978</v>
      </c>
      <c r="F56" s="5">
        <f ca="1">IFERROR(__xludf.DUMMYFUNCTION("IMPORTRANGE(""https://docs.google.com/spreadsheets/d/1rOGZhKHVnDGFqGTO7UNOJSkSJyQwVuEb2-yhWQit7lw/edit?gid=1808040716#gid=1808040716"", address(row($D54),column($D54),,,""UHV-N""))"),17)</f>
        <v>17</v>
      </c>
      <c r="G56" s="8">
        <f t="shared" ca="1" si="3"/>
        <v>48.571428571428569</v>
      </c>
      <c r="H56" s="5">
        <f ca="1">IFERROR(__xludf.DUMMYFUNCTION("IMPORTRANGE(""https://docs.google.com/spreadsheets/d/1rOGZhKHVnDGFqGTO7UNOJSkSJyQwVuEb2-yhWQit7lw/edit?gid=1058014760#gid=1058014760"", address(row($D54),column($D54),,,""DL&amp;CO-N""))"),19)</f>
        <v>19</v>
      </c>
      <c r="I56" s="8">
        <f t="shared" ca="1" si="4"/>
        <v>48.717948717948715</v>
      </c>
      <c r="J56" s="5">
        <f ca="1">IFERROR(__xludf.DUMMYFUNCTION("IMPORTRANGE(""https://docs.google.com/spreadsheets/d/1rOGZhKHVnDGFqGTO7UNOJSkSJyQwVuEb2-yhWQit7lw/edit?gid=2007015697#gid=2007015697"", address(row($D54),column($D54),,,""ADSA-N""))"),40)</f>
        <v>40</v>
      </c>
      <c r="K56" s="8">
        <f t="shared" ca="1" si="5"/>
        <v>60.606060606060609</v>
      </c>
      <c r="L56" s="5">
        <f ca="1">IFERROR(__xludf.DUMMYFUNCTION("IMPORTRANGE(""https://docs.google.com/spreadsheets/d/1rOGZhKHVnDGFqGTO7UNOJSkSJyQwVuEb2-yhWQit7lw/edit?gid=1926669029#gid=1926669029"", address(row($D54),column($D54),,,""JAVA-N""))"),38)</f>
        <v>38</v>
      </c>
      <c r="M56" s="8">
        <f t="shared" ca="1" si="6"/>
        <v>55.882352941176471</v>
      </c>
      <c r="N56" s="5">
        <f ca="1">IFERROR(__xludf.DUMMYFUNCTION("IMPORTRANGE(""https://docs.google.com/spreadsheets/d/1rOGZhKHVnDGFqGTO7UNOJSkSJyQwVuEb2-yhWQit7lw/edit?gid=1656401641#gid=1656401641"", address(row($D54),column($D54),,,""FOSS LAB-N""))"),26)</f>
        <v>26</v>
      </c>
      <c r="O56" s="8">
        <f t="shared" ca="1" si="7"/>
        <v>74.285714285714292</v>
      </c>
      <c r="P56" s="5">
        <f ca="1">IFERROR(__xludf.DUMMYFUNCTION("IMPORTRANGE(""https://docs.google.com/spreadsheets/d/1rOGZhKHVnDGFqGTO7UNOJSkSJyQwVuEb2-yhWQit7lw/edit?gid=1022834346#gid=1022834346"", address(row($D54),column($D54),,,""PP-N""))"),23)</f>
        <v>23</v>
      </c>
      <c r="Q56" s="8">
        <f t="shared" ca="1" si="8"/>
        <v>69.696969696969703</v>
      </c>
      <c r="R56" s="5">
        <f ca="1">IFERROR(__xludf.DUMMYFUNCTION("IMPORTRANGE(""https://docs.google.com/spreadsheets/d/1rOGZhKHVnDGFqGTO7UNOJSkSJyQwVuEb2-yhWQit7lw/edit?gid=449441702#gid=449441702"", address(row($D54),column($D54),,,""NPTEL-N""))"),22)</f>
        <v>22</v>
      </c>
      <c r="S56" s="5">
        <f t="shared" ca="1" si="9"/>
        <v>78.571428571428569</v>
      </c>
      <c r="T56" s="6">
        <f ca="1">IFERROR(__xludf.DUMMYFUNCTION("IMPORTRANGE(""https://docs.google.com/spreadsheets/d/1rOGZhKHVnDGFqGTO7UNOJSkSJyQwVuEb2-yhWQit7lw/edit?gid=77662277#gid=77662277"", address(row($D54),column($D54),,,""CRT-N""))"),65)</f>
        <v>65</v>
      </c>
      <c r="U56" s="8">
        <f t="shared" ca="1" si="10"/>
        <v>92.857142857142861</v>
      </c>
      <c r="V56" s="6">
        <f t="shared" ca="1" si="0"/>
        <v>273</v>
      </c>
      <c r="W56" s="4">
        <f t="shared" ca="1" si="11"/>
        <v>66</v>
      </c>
      <c r="X56" s="4">
        <v>0</v>
      </c>
      <c r="Y56" s="4">
        <v>0</v>
      </c>
      <c r="Z56" s="4">
        <f t="shared" ca="1" si="1"/>
        <v>273</v>
      </c>
      <c r="AA56" s="10">
        <f t="shared" ca="1" si="12"/>
        <v>66</v>
      </c>
    </row>
    <row r="57" spans="1:27" ht="15.85" customHeight="1" x14ac:dyDescent="0.3">
      <c r="A57" s="8">
        <v>52</v>
      </c>
      <c r="B57" s="11" t="s">
        <v>277</v>
      </c>
      <c r="C57" s="11" t="s">
        <v>278</v>
      </c>
      <c r="D57" s="5">
        <f ca="1">IFERROR(__xludf.DUMMYFUNCTION("IMPORTRANGE(""https://docs.google.com/spreadsheets/d/1rOGZhKHVnDGFqGTO7UNOJSkSJyQwVuEb2-yhWQit7lw/edit?gid=1117406455#gid=1117406455"", address(row($D55),column($D55),,,""DM&amp;GT-N""))"),18)</f>
        <v>18</v>
      </c>
      <c r="E57" s="8">
        <f t="shared" ca="1" si="2"/>
        <v>46.153846153846153</v>
      </c>
      <c r="F57" s="5">
        <f ca="1">IFERROR(__xludf.DUMMYFUNCTION("IMPORTRANGE(""https://docs.google.com/spreadsheets/d/1rOGZhKHVnDGFqGTO7UNOJSkSJyQwVuEb2-yhWQit7lw/edit?gid=1808040716#gid=1808040716"", address(row($D55),column($D55),,,""UHV-N""))"),18)</f>
        <v>18</v>
      </c>
      <c r="G57" s="8">
        <f t="shared" ca="1" si="3"/>
        <v>51.428571428571423</v>
      </c>
      <c r="H57" s="5">
        <f ca="1">IFERROR(__xludf.DUMMYFUNCTION("IMPORTRANGE(""https://docs.google.com/spreadsheets/d/1rOGZhKHVnDGFqGTO7UNOJSkSJyQwVuEb2-yhWQit7lw/edit?gid=1058014760#gid=1058014760"", address(row($D55),column($D55),,,""DL&amp;CO-N""))"),17)</f>
        <v>17</v>
      </c>
      <c r="I57" s="8">
        <f t="shared" ca="1" si="4"/>
        <v>43.589743589743591</v>
      </c>
      <c r="J57" s="5">
        <f ca="1">IFERROR(__xludf.DUMMYFUNCTION("IMPORTRANGE(""https://docs.google.com/spreadsheets/d/1rOGZhKHVnDGFqGTO7UNOJSkSJyQwVuEb2-yhWQit7lw/edit?gid=2007015697#gid=2007015697"", address(row($D55),column($D55),,,""ADSA-N""))"),40)</f>
        <v>40</v>
      </c>
      <c r="K57" s="8">
        <f t="shared" ca="1" si="5"/>
        <v>60.606060606060609</v>
      </c>
      <c r="L57" s="5">
        <f ca="1">IFERROR(__xludf.DUMMYFUNCTION("IMPORTRANGE(""https://docs.google.com/spreadsheets/d/1rOGZhKHVnDGFqGTO7UNOJSkSJyQwVuEb2-yhWQit7lw/edit?gid=1926669029#gid=1926669029"", address(row($D55),column($D55),,,""JAVA-N""))"),38)</f>
        <v>38</v>
      </c>
      <c r="M57" s="8">
        <f t="shared" ca="1" si="6"/>
        <v>55.882352941176471</v>
      </c>
      <c r="N57" s="5">
        <f ca="1">IFERROR(__xludf.DUMMYFUNCTION("IMPORTRANGE(""https://docs.google.com/spreadsheets/d/1rOGZhKHVnDGFqGTO7UNOJSkSJyQwVuEb2-yhWQit7lw/edit?gid=1656401641#gid=1656401641"", address(row($D55),column($D55),,,""FOSS LAB-N""))"),27)</f>
        <v>27</v>
      </c>
      <c r="O57" s="8">
        <f t="shared" ca="1" si="7"/>
        <v>77.142857142857153</v>
      </c>
      <c r="P57" s="5">
        <f ca="1">IFERROR(__xludf.DUMMYFUNCTION("IMPORTRANGE(""https://docs.google.com/spreadsheets/d/1rOGZhKHVnDGFqGTO7UNOJSkSJyQwVuEb2-yhWQit7lw/edit?gid=1022834346#gid=1022834346"", address(row($D55),column($D55),,,""PP-N""))"),16)</f>
        <v>16</v>
      </c>
      <c r="Q57" s="8">
        <f t="shared" ca="1" si="8"/>
        <v>48.484848484848484</v>
      </c>
      <c r="R57" s="5">
        <f ca="1">IFERROR(__xludf.DUMMYFUNCTION("IMPORTRANGE(""https://docs.google.com/spreadsheets/d/1rOGZhKHVnDGFqGTO7UNOJSkSJyQwVuEb2-yhWQit7lw/edit?gid=449441702#gid=449441702"", address(row($D55),column($D55),,,""NPTEL-N""))"),20)</f>
        <v>20</v>
      </c>
      <c r="S57" s="5">
        <f t="shared" ca="1" si="9"/>
        <v>71.428571428571431</v>
      </c>
      <c r="T57" s="6">
        <f ca="1">IFERROR(__xludf.DUMMYFUNCTION("IMPORTRANGE(""https://docs.google.com/spreadsheets/d/1rOGZhKHVnDGFqGTO7UNOJSkSJyQwVuEb2-yhWQit7lw/edit?gid=77662277#gid=77662277"", address(row($D55),column($D55),,,""CRT-N""))"),35)</f>
        <v>35</v>
      </c>
      <c r="U57" s="8">
        <f t="shared" ca="1" si="10"/>
        <v>50</v>
      </c>
      <c r="V57" s="6">
        <f t="shared" ca="1" si="0"/>
        <v>229</v>
      </c>
      <c r="W57" s="4">
        <f t="shared" ca="1" si="11"/>
        <v>55</v>
      </c>
      <c r="X57" s="4">
        <v>0</v>
      </c>
      <c r="Y57" s="4">
        <v>0</v>
      </c>
      <c r="Z57" s="4">
        <f t="shared" ca="1" si="1"/>
        <v>229</v>
      </c>
      <c r="AA57" s="10">
        <f t="shared" ca="1" si="12"/>
        <v>55</v>
      </c>
    </row>
    <row r="58" spans="1:27" ht="15.85" customHeight="1" x14ac:dyDescent="0.3">
      <c r="A58" s="8">
        <v>53</v>
      </c>
      <c r="B58" s="11" t="s">
        <v>279</v>
      </c>
      <c r="C58" s="11" t="s">
        <v>280</v>
      </c>
      <c r="D58" s="5">
        <f ca="1">IFERROR(__xludf.DUMMYFUNCTION("IMPORTRANGE(""https://docs.google.com/spreadsheets/d/1rOGZhKHVnDGFqGTO7UNOJSkSJyQwVuEb2-yhWQit7lw/edit?gid=1117406455#gid=1117406455"", address(row($D56),column($D56),,,""DM&amp;GT-N""))"),28)</f>
        <v>28</v>
      </c>
      <c r="E58" s="8">
        <f t="shared" ca="1" si="2"/>
        <v>71.794871794871796</v>
      </c>
      <c r="F58" s="5">
        <f ca="1">IFERROR(__xludf.DUMMYFUNCTION("IMPORTRANGE(""https://docs.google.com/spreadsheets/d/1rOGZhKHVnDGFqGTO7UNOJSkSJyQwVuEb2-yhWQit7lw/edit?gid=1808040716#gid=1808040716"", address(row($D56),column($D56),,,""UHV-N""))"),26)</f>
        <v>26</v>
      </c>
      <c r="G58" s="8">
        <f t="shared" ca="1" si="3"/>
        <v>74.285714285714292</v>
      </c>
      <c r="H58" s="5">
        <f ca="1">IFERROR(__xludf.DUMMYFUNCTION("IMPORTRANGE(""https://docs.google.com/spreadsheets/d/1rOGZhKHVnDGFqGTO7UNOJSkSJyQwVuEb2-yhWQit7lw/edit?gid=1058014760#gid=1058014760"", address(row($D56),column($D56),,,""DL&amp;CO-N""))"),26)</f>
        <v>26</v>
      </c>
      <c r="I58" s="8">
        <f t="shared" ca="1" si="4"/>
        <v>66.666666666666657</v>
      </c>
      <c r="J58" s="5">
        <f ca="1">IFERROR(__xludf.DUMMYFUNCTION("IMPORTRANGE(""https://docs.google.com/spreadsheets/d/1rOGZhKHVnDGFqGTO7UNOJSkSJyQwVuEb2-yhWQit7lw/edit?gid=2007015697#gid=2007015697"", address(row($D56),column($D56),,,""ADSA-N""))"),46)</f>
        <v>46</v>
      </c>
      <c r="K58" s="8">
        <f t="shared" ca="1" si="5"/>
        <v>69.696969696969703</v>
      </c>
      <c r="L58" s="5">
        <f ca="1">IFERROR(__xludf.DUMMYFUNCTION("IMPORTRANGE(""https://docs.google.com/spreadsheets/d/1rOGZhKHVnDGFqGTO7UNOJSkSJyQwVuEb2-yhWQit7lw/edit?gid=1926669029#gid=1926669029"", address(row($D56),column($D56),,,""JAVA-N""))"),43)</f>
        <v>43</v>
      </c>
      <c r="M58" s="8">
        <f t="shared" ca="1" si="6"/>
        <v>63.235294117647058</v>
      </c>
      <c r="N58" s="5">
        <f ca="1">IFERROR(__xludf.DUMMYFUNCTION("IMPORTRANGE(""https://docs.google.com/spreadsheets/d/1rOGZhKHVnDGFqGTO7UNOJSkSJyQwVuEb2-yhWQit7lw/edit?gid=1656401641#gid=1656401641"", address(row($D56),column($D56),,,""FOSS LAB-N""))"),23)</f>
        <v>23</v>
      </c>
      <c r="O58" s="8">
        <f t="shared" ca="1" si="7"/>
        <v>65.714285714285708</v>
      </c>
      <c r="P58" s="5">
        <f ca="1">IFERROR(__xludf.DUMMYFUNCTION("IMPORTRANGE(""https://docs.google.com/spreadsheets/d/1rOGZhKHVnDGFqGTO7UNOJSkSJyQwVuEb2-yhWQit7lw/edit?gid=1022834346#gid=1022834346"", address(row($D56),column($D56),,,""PP-N""))"),23)</f>
        <v>23</v>
      </c>
      <c r="Q58" s="8">
        <f t="shared" ca="1" si="8"/>
        <v>69.696969696969703</v>
      </c>
      <c r="R58" s="5">
        <f ca="1">IFERROR(__xludf.DUMMYFUNCTION("IMPORTRANGE(""https://docs.google.com/spreadsheets/d/1rOGZhKHVnDGFqGTO7UNOJSkSJyQwVuEb2-yhWQit7lw/edit?gid=449441702#gid=449441702"", address(row($D56),column($D56),,,""NPTEL-N""))"),22)</f>
        <v>22</v>
      </c>
      <c r="S58" s="5">
        <f t="shared" ca="1" si="9"/>
        <v>78.571428571428569</v>
      </c>
      <c r="T58" s="6">
        <f ca="1">IFERROR(__xludf.DUMMYFUNCTION("IMPORTRANGE(""https://docs.google.com/spreadsheets/d/1rOGZhKHVnDGFqGTO7UNOJSkSJyQwVuEb2-yhWQit7lw/edit?gid=77662277#gid=77662277"", address(row($D56),column($D56),,,""CRT-N""))"),56)</f>
        <v>56</v>
      </c>
      <c r="U58" s="8">
        <f t="shared" ca="1" si="10"/>
        <v>80</v>
      </c>
      <c r="V58" s="6">
        <f t="shared" ca="1" si="0"/>
        <v>293</v>
      </c>
      <c r="W58" s="4">
        <f t="shared" ca="1" si="11"/>
        <v>71</v>
      </c>
      <c r="X58" s="4">
        <v>0</v>
      </c>
      <c r="Y58" s="4">
        <v>0</v>
      </c>
      <c r="Z58" s="4">
        <f t="shared" ca="1" si="1"/>
        <v>293</v>
      </c>
      <c r="AA58" s="10">
        <f t="shared" ca="1" si="12"/>
        <v>71</v>
      </c>
    </row>
    <row r="59" spans="1:27" ht="15.85" customHeight="1" x14ac:dyDescent="0.3">
      <c r="A59" s="8">
        <v>54</v>
      </c>
      <c r="B59" s="11" t="s">
        <v>281</v>
      </c>
      <c r="C59" s="11" t="s">
        <v>282</v>
      </c>
      <c r="D59" s="5">
        <f ca="1">IFERROR(__xludf.DUMMYFUNCTION("IMPORTRANGE(""https://docs.google.com/spreadsheets/d/1rOGZhKHVnDGFqGTO7UNOJSkSJyQwVuEb2-yhWQit7lw/edit?gid=1117406455#gid=1117406455"", address(row($D57),column($D57),,,""DM&amp;GT-N""))"),27)</f>
        <v>27</v>
      </c>
      <c r="E59" s="8">
        <f t="shared" ca="1" si="2"/>
        <v>69.230769230769226</v>
      </c>
      <c r="F59" s="5">
        <f ca="1">IFERROR(__xludf.DUMMYFUNCTION("IMPORTRANGE(""https://docs.google.com/spreadsheets/d/1rOGZhKHVnDGFqGTO7UNOJSkSJyQwVuEb2-yhWQit7lw/edit?gid=1808040716#gid=1808040716"", address(row($D57),column($D57),,,""UHV-N""))"),29)</f>
        <v>29</v>
      </c>
      <c r="G59" s="8">
        <f t="shared" ca="1" si="3"/>
        <v>82.857142857142861</v>
      </c>
      <c r="H59" s="5">
        <f ca="1">IFERROR(__xludf.DUMMYFUNCTION("IMPORTRANGE(""https://docs.google.com/spreadsheets/d/1rOGZhKHVnDGFqGTO7UNOJSkSJyQwVuEb2-yhWQit7lw/edit?gid=1058014760#gid=1058014760"", address(row($D57),column($D57),,,""DL&amp;CO-N""))"),27)</f>
        <v>27</v>
      </c>
      <c r="I59" s="8">
        <f t="shared" ca="1" si="4"/>
        <v>69.230769230769226</v>
      </c>
      <c r="J59" s="5">
        <f ca="1">IFERROR(__xludf.DUMMYFUNCTION("IMPORTRANGE(""https://docs.google.com/spreadsheets/d/1rOGZhKHVnDGFqGTO7UNOJSkSJyQwVuEb2-yhWQit7lw/edit?gid=2007015697#gid=2007015697"", address(row($D57),column($D57),,,""ADSA-N""))"),49)</f>
        <v>49</v>
      </c>
      <c r="K59" s="8">
        <f t="shared" ca="1" si="5"/>
        <v>74.242424242424249</v>
      </c>
      <c r="L59" s="5">
        <f ca="1">IFERROR(__xludf.DUMMYFUNCTION("IMPORTRANGE(""https://docs.google.com/spreadsheets/d/1rOGZhKHVnDGFqGTO7UNOJSkSJyQwVuEb2-yhWQit7lw/edit?gid=1926669029#gid=1926669029"", address(row($D57),column($D57),,,""JAVA-N""))"),53)</f>
        <v>53</v>
      </c>
      <c r="M59" s="8">
        <f t="shared" ca="1" si="6"/>
        <v>77.941176470588232</v>
      </c>
      <c r="N59" s="5">
        <f ca="1">IFERROR(__xludf.DUMMYFUNCTION("IMPORTRANGE(""https://docs.google.com/spreadsheets/d/1rOGZhKHVnDGFqGTO7UNOJSkSJyQwVuEb2-yhWQit7lw/edit?gid=1656401641#gid=1656401641"", address(row($D57),column($D57),,,""FOSS LAB-N""))"),18)</f>
        <v>18</v>
      </c>
      <c r="O59" s="8">
        <f t="shared" ca="1" si="7"/>
        <v>51.428571428571423</v>
      </c>
      <c r="P59" s="5">
        <f ca="1">IFERROR(__xludf.DUMMYFUNCTION("IMPORTRANGE(""https://docs.google.com/spreadsheets/d/1rOGZhKHVnDGFqGTO7UNOJSkSJyQwVuEb2-yhWQit7lw/edit?gid=1022834346#gid=1022834346"", address(row($D57),column($D57),,,""PP-N""))"),23)</f>
        <v>23</v>
      </c>
      <c r="Q59" s="8">
        <f t="shared" ca="1" si="8"/>
        <v>69.696969696969703</v>
      </c>
      <c r="R59" s="5">
        <f ca="1">IFERROR(__xludf.DUMMYFUNCTION("IMPORTRANGE(""https://docs.google.com/spreadsheets/d/1rOGZhKHVnDGFqGTO7UNOJSkSJyQwVuEb2-yhWQit7lw/edit?gid=449441702#gid=449441702"", address(row($D57),column($D57),,,""NPTEL-N""))"),22)</f>
        <v>22</v>
      </c>
      <c r="S59" s="5">
        <f t="shared" ca="1" si="9"/>
        <v>78.571428571428569</v>
      </c>
      <c r="T59" s="6">
        <f ca="1">IFERROR(__xludf.DUMMYFUNCTION("IMPORTRANGE(""https://docs.google.com/spreadsheets/d/1rOGZhKHVnDGFqGTO7UNOJSkSJyQwVuEb2-yhWQit7lw/edit?gid=77662277#gid=77662277"", address(row($D57),column($D57),,,""CRT-N""))"),67)</f>
        <v>67</v>
      </c>
      <c r="U59" s="8">
        <f t="shared" ca="1" si="10"/>
        <v>95.714285714285722</v>
      </c>
      <c r="V59" s="6">
        <f t="shared" ca="1" si="0"/>
        <v>315</v>
      </c>
      <c r="W59" s="4">
        <f t="shared" ca="1" si="11"/>
        <v>76</v>
      </c>
      <c r="X59" s="4">
        <v>0</v>
      </c>
      <c r="Y59" s="4">
        <v>0</v>
      </c>
      <c r="Z59" s="4">
        <f t="shared" ca="1" si="1"/>
        <v>315</v>
      </c>
      <c r="AA59" s="10">
        <f t="shared" ca="1" si="12"/>
        <v>76</v>
      </c>
    </row>
    <row r="60" spans="1:27" ht="15.85" customHeight="1" x14ac:dyDescent="0.3">
      <c r="A60" s="8">
        <v>55</v>
      </c>
      <c r="B60" s="11" t="s">
        <v>283</v>
      </c>
      <c r="C60" s="11" t="s">
        <v>284</v>
      </c>
      <c r="D60" s="5">
        <f ca="1">IFERROR(__xludf.DUMMYFUNCTION("IMPORTRANGE(""https://docs.google.com/spreadsheets/d/1rOGZhKHVnDGFqGTO7UNOJSkSJyQwVuEb2-yhWQit7lw/edit?gid=1117406455#gid=1117406455"", address(row($D58),column($D58),,,""DM&amp;GT-N""))"),20)</f>
        <v>20</v>
      </c>
      <c r="E60" s="8">
        <f t="shared" ca="1" si="2"/>
        <v>51.282051282051277</v>
      </c>
      <c r="F60" s="5">
        <f ca="1">IFERROR(__xludf.DUMMYFUNCTION("IMPORTRANGE(""https://docs.google.com/spreadsheets/d/1rOGZhKHVnDGFqGTO7UNOJSkSJyQwVuEb2-yhWQit7lw/edit?gid=1808040716#gid=1808040716"", address(row($D58),column($D58),,,""UHV-N""))"),19)</f>
        <v>19</v>
      </c>
      <c r="G60" s="8">
        <f t="shared" ca="1" si="3"/>
        <v>54.285714285714285</v>
      </c>
      <c r="H60" s="5">
        <f ca="1">IFERROR(__xludf.DUMMYFUNCTION("IMPORTRANGE(""https://docs.google.com/spreadsheets/d/1rOGZhKHVnDGFqGTO7UNOJSkSJyQwVuEb2-yhWQit7lw/edit?gid=1058014760#gid=1058014760"", address(row($D58),column($D58),,,""DL&amp;CO-N""))"),19)</f>
        <v>19</v>
      </c>
      <c r="I60" s="8">
        <f t="shared" ca="1" si="4"/>
        <v>48.717948717948715</v>
      </c>
      <c r="J60" s="5">
        <f ca="1">IFERROR(__xludf.DUMMYFUNCTION("IMPORTRANGE(""https://docs.google.com/spreadsheets/d/1rOGZhKHVnDGFqGTO7UNOJSkSJyQwVuEb2-yhWQit7lw/edit?gid=2007015697#gid=2007015697"", address(row($D58),column($D58),,,""ADSA-N""))"),36)</f>
        <v>36</v>
      </c>
      <c r="K60" s="8">
        <f t="shared" ca="1" si="5"/>
        <v>54.54545454545454</v>
      </c>
      <c r="L60" s="5">
        <f ca="1">IFERROR(__xludf.DUMMYFUNCTION("IMPORTRANGE(""https://docs.google.com/spreadsheets/d/1rOGZhKHVnDGFqGTO7UNOJSkSJyQwVuEb2-yhWQit7lw/edit?gid=1926669029#gid=1926669029"", address(row($D58),column($D58),,,""JAVA-N""))"),35)</f>
        <v>35</v>
      </c>
      <c r="M60" s="8">
        <f t="shared" ca="1" si="6"/>
        <v>51.470588235294116</v>
      </c>
      <c r="N60" s="5">
        <f ca="1">IFERROR(__xludf.DUMMYFUNCTION("IMPORTRANGE(""https://docs.google.com/spreadsheets/d/1rOGZhKHVnDGFqGTO7UNOJSkSJyQwVuEb2-yhWQit7lw/edit?gid=1656401641#gid=1656401641"", address(row($D58),column($D58),,,""FOSS LAB-N""))"),23)</f>
        <v>23</v>
      </c>
      <c r="O60" s="8">
        <f t="shared" ca="1" si="7"/>
        <v>65.714285714285708</v>
      </c>
      <c r="P60" s="5">
        <f ca="1">IFERROR(__xludf.DUMMYFUNCTION("IMPORTRANGE(""https://docs.google.com/spreadsheets/d/1rOGZhKHVnDGFqGTO7UNOJSkSJyQwVuEb2-yhWQit7lw/edit?gid=1022834346#gid=1022834346"", address(row($D58),column($D58),,,""PP-N""))"),14)</f>
        <v>14</v>
      </c>
      <c r="Q60" s="8">
        <f t="shared" ca="1" si="8"/>
        <v>42.424242424242422</v>
      </c>
      <c r="R60" s="5">
        <f ca="1">IFERROR(__xludf.DUMMYFUNCTION("IMPORTRANGE(""https://docs.google.com/spreadsheets/d/1rOGZhKHVnDGFqGTO7UNOJSkSJyQwVuEb2-yhWQit7lw/edit?gid=449441702#gid=449441702"", address(row($D58),column($D58),,,""NPTEL-N""))"),18)</f>
        <v>18</v>
      </c>
      <c r="S60" s="5">
        <f t="shared" ca="1" si="9"/>
        <v>64.285714285714292</v>
      </c>
      <c r="T60" s="6">
        <f ca="1">IFERROR(__xludf.DUMMYFUNCTION("IMPORTRANGE(""https://docs.google.com/spreadsheets/d/1rOGZhKHVnDGFqGTO7UNOJSkSJyQwVuEb2-yhWQit7lw/edit?gid=77662277#gid=77662277"", address(row($D58),column($D58),,,""CRT-N""))"),53)</f>
        <v>53</v>
      </c>
      <c r="U60" s="8">
        <f t="shared" ca="1" si="10"/>
        <v>75.714285714285708</v>
      </c>
      <c r="V60" s="6">
        <f t="shared" ca="1" si="0"/>
        <v>237</v>
      </c>
      <c r="W60" s="4">
        <f t="shared" ca="1" si="11"/>
        <v>57</v>
      </c>
      <c r="X60" s="4">
        <v>0</v>
      </c>
      <c r="Y60" s="4">
        <v>0</v>
      </c>
      <c r="Z60" s="4">
        <f t="shared" ca="1" si="1"/>
        <v>237</v>
      </c>
      <c r="AA60" s="10">
        <f t="shared" ca="1" si="12"/>
        <v>57</v>
      </c>
    </row>
    <row r="61" spans="1:27" ht="15.85" customHeight="1" x14ac:dyDescent="0.3">
      <c r="A61" s="8">
        <v>56</v>
      </c>
      <c r="B61" s="11" t="s">
        <v>285</v>
      </c>
      <c r="C61" s="11" t="s">
        <v>286</v>
      </c>
      <c r="D61" s="5">
        <f ca="1">IFERROR(__xludf.DUMMYFUNCTION("IMPORTRANGE(""https://docs.google.com/spreadsheets/d/1rOGZhKHVnDGFqGTO7UNOJSkSJyQwVuEb2-yhWQit7lw/edit?gid=1117406455#gid=1117406455"", address(row($D59),column($D59),,,""DM&amp;GT-N""))"),29)</f>
        <v>29</v>
      </c>
      <c r="E61" s="8">
        <f t="shared" ca="1" si="2"/>
        <v>74.358974358974365</v>
      </c>
      <c r="F61" s="5">
        <f ca="1">IFERROR(__xludf.DUMMYFUNCTION("IMPORTRANGE(""https://docs.google.com/spreadsheets/d/1rOGZhKHVnDGFqGTO7UNOJSkSJyQwVuEb2-yhWQit7lw/edit?gid=1808040716#gid=1808040716"", address(row($D59),column($D59),,,""UHV-N""))"),30)</f>
        <v>30</v>
      </c>
      <c r="G61" s="8">
        <f t="shared" ca="1" si="3"/>
        <v>85.714285714285708</v>
      </c>
      <c r="H61" s="5">
        <f ca="1">IFERROR(__xludf.DUMMYFUNCTION("IMPORTRANGE(""https://docs.google.com/spreadsheets/d/1rOGZhKHVnDGFqGTO7UNOJSkSJyQwVuEb2-yhWQit7lw/edit?gid=1058014760#gid=1058014760"", address(row($D59),column($D59),,,""DL&amp;CO-N""))"),29)</f>
        <v>29</v>
      </c>
      <c r="I61" s="8">
        <f t="shared" ca="1" si="4"/>
        <v>74.358974358974365</v>
      </c>
      <c r="J61" s="5">
        <f ca="1">IFERROR(__xludf.DUMMYFUNCTION("IMPORTRANGE(""https://docs.google.com/spreadsheets/d/1rOGZhKHVnDGFqGTO7UNOJSkSJyQwVuEb2-yhWQit7lw/edit?gid=2007015697#gid=2007015697"", address(row($D59),column($D59),,,""ADSA-N""))"),48)</f>
        <v>48</v>
      </c>
      <c r="K61" s="8">
        <f t="shared" ca="1" si="5"/>
        <v>72.727272727272734</v>
      </c>
      <c r="L61" s="5">
        <f ca="1">IFERROR(__xludf.DUMMYFUNCTION("IMPORTRANGE(""https://docs.google.com/spreadsheets/d/1rOGZhKHVnDGFqGTO7UNOJSkSJyQwVuEb2-yhWQit7lw/edit?gid=1926669029#gid=1926669029"", address(row($D59),column($D59),,,""JAVA-N""))"),50)</f>
        <v>50</v>
      </c>
      <c r="M61" s="8">
        <f t="shared" ca="1" si="6"/>
        <v>73.529411764705884</v>
      </c>
      <c r="N61" s="5">
        <f ca="1">IFERROR(__xludf.DUMMYFUNCTION("IMPORTRANGE(""https://docs.google.com/spreadsheets/d/1rOGZhKHVnDGFqGTO7UNOJSkSJyQwVuEb2-yhWQit7lw/edit?gid=1656401641#gid=1656401641"", address(row($D59),column($D59),,,""FOSS LAB-N""))"),26)</f>
        <v>26</v>
      </c>
      <c r="O61" s="8">
        <f t="shared" ca="1" si="7"/>
        <v>74.285714285714292</v>
      </c>
      <c r="P61" s="5">
        <f ca="1">IFERROR(__xludf.DUMMYFUNCTION("IMPORTRANGE(""https://docs.google.com/spreadsheets/d/1rOGZhKHVnDGFqGTO7UNOJSkSJyQwVuEb2-yhWQit7lw/edit?gid=1022834346#gid=1022834346"", address(row($D59),column($D59),,,""PP-N""))"),25)</f>
        <v>25</v>
      </c>
      <c r="Q61" s="8">
        <f t="shared" ca="1" si="8"/>
        <v>75.757575757575751</v>
      </c>
      <c r="R61" s="5">
        <f ca="1">IFERROR(__xludf.DUMMYFUNCTION("IMPORTRANGE(""https://docs.google.com/spreadsheets/d/1rOGZhKHVnDGFqGTO7UNOJSkSJyQwVuEb2-yhWQit7lw/edit?gid=449441702#gid=449441702"", address(row($D59),column($D59),,,""NPTEL-N""))"),28)</f>
        <v>28</v>
      </c>
      <c r="S61" s="5">
        <f t="shared" ca="1" si="9"/>
        <v>100</v>
      </c>
      <c r="T61" s="6">
        <f ca="1">IFERROR(__xludf.DUMMYFUNCTION("IMPORTRANGE(""https://docs.google.com/spreadsheets/d/1rOGZhKHVnDGFqGTO7UNOJSkSJyQwVuEb2-yhWQit7lw/edit?gid=77662277#gid=77662277"", address(row($D59),column($D59),,,""CRT-N""))"),70)</f>
        <v>70</v>
      </c>
      <c r="U61" s="8">
        <f t="shared" ca="1" si="10"/>
        <v>100</v>
      </c>
      <c r="V61" s="6">
        <f t="shared" ca="1" si="0"/>
        <v>335</v>
      </c>
      <c r="W61" s="4">
        <f t="shared" ca="1" si="11"/>
        <v>81</v>
      </c>
      <c r="X61" s="4">
        <v>0</v>
      </c>
      <c r="Y61" s="4">
        <v>0</v>
      </c>
      <c r="Z61" s="4">
        <f t="shared" ca="1" si="1"/>
        <v>335</v>
      </c>
      <c r="AA61" s="10">
        <f t="shared" ca="1" si="12"/>
        <v>81</v>
      </c>
    </row>
    <row r="62" spans="1:27" ht="15.85" customHeight="1" x14ac:dyDescent="0.3">
      <c r="A62" s="8">
        <v>57</v>
      </c>
      <c r="B62" s="11" t="s">
        <v>287</v>
      </c>
      <c r="C62" s="11" t="s">
        <v>288</v>
      </c>
      <c r="D62" s="5">
        <f ca="1">IFERROR(__xludf.DUMMYFUNCTION("IMPORTRANGE(""https://docs.google.com/spreadsheets/d/1rOGZhKHVnDGFqGTO7UNOJSkSJyQwVuEb2-yhWQit7lw/edit?gid=1117406455#gid=1117406455"", address(row($D60),column($D60),,,""DM&amp;GT-N""))"),30)</f>
        <v>30</v>
      </c>
      <c r="E62" s="8">
        <f t="shared" ca="1" si="2"/>
        <v>76.923076923076934</v>
      </c>
      <c r="F62" s="5">
        <f ca="1">IFERROR(__xludf.DUMMYFUNCTION("IMPORTRANGE(""https://docs.google.com/spreadsheets/d/1rOGZhKHVnDGFqGTO7UNOJSkSJyQwVuEb2-yhWQit7lw/edit?gid=1808040716#gid=1808040716"", address(row($D60),column($D60),,,""UHV-N""))"),33)</f>
        <v>33</v>
      </c>
      <c r="G62" s="8">
        <f t="shared" ca="1" si="3"/>
        <v>94.285714285714278</v>
      </c>
      <c r="H62" s="5">
        <f ca="1">IFERROR(__xludf.DUMMYFUNCTION("IMPORTRANGE(""https://docs.google.com/spreadsheets/d/1rOGZhKHVnDGFqGTO7UNOJSkSJyQwVuEb2-yhWQit7lw/edit?gid=1058014760#gid=1058014760"", address(row($D60),column($D60),,,""DL&amp;CO-N""))"),30)</f>
        <v>30</v>
      </c>
      <c r="I62" s="8">
        <f t="shared" ca="1" si="4"/>
        <v>76.923076923076934</v>
      </c>
      <c r="J62" s="5">
        <f ca="1">IFERROR(__xludf.DUMMYFUNCTION("IMPORTRANGE(""https://docs.google.com/spreadsheets/d/1rOGZhKHVnDGFqGTO7UNOJSkSJyQwVuEb2-yhWQit7lw/edit?gid=2007015697#gid=2007015697"", address(row($D60),column($D60),,,""ADSA-N""))"),44)</f>
        <v>44</v>
      </c>
      <c r="K62" s="8">
        <f t="shared" ca="1" si="5"/>
        <v>66.666666666666657</v>
      </c>
      <c r="L62" s="5">
        <f ca="1">IFERROR(__xludf.DUMMYFUNCTION("IMPORTRANGE(""https://docs.google.com/spreadsheets/d/1rOGZhKHVnDGFqGTO7UNOJSkSJyQwVuEb2-yhWQit7lw/edit?gid=1926669029#gid=1926669029"", address(row($D60),column($D60),,,""JAVA-N""))"),46)</f>
        <v>46</v>
      </c>
      <c r="M62" s="8">
        <f t="shared" ca="1" si="6"/>
        <v>67.64705882352942</v>
      </c>
      <c r="N62" s="5">
        <f ca="1">IFERROR(__xludf.DUMMYFUNCTION("IMPORTRANGE(""https://docs.google.com/spreadsheets/d/1rOGZhKHVnDGFqGTO7UNOJSkSJyQwVuEb2-yhWQit7lw/edit?gid=1656401641#gid=1656401641"", address(row($D60),column($D60),,,""FOSS LAB-N""))"),26)</f>
        <v>26</v>
      </c>
      <c r="O62" s="8">
        <f t="shared" ca="1" si="7"/>
        <v>74.285714285714292</v>
      </c>
      <c r="P62" s="5">
        <f ca="1">IFERROR(__xludf.DUMMYFUNCTION("IMPORTRANGE(""https://docs.google.com/spreadsheets/d/1rOGZhKHVnDGFqGTO7UNOJSkSJyQwVuEb2-yhWQit7lw/edit?gid=1022834346#gid=1022834346"", address(row($D60),column($D60),,,""PP-N""))"),27)</f>
        <v>27</v>
      </c>
      <c r="Q62" s="8">
        <f t="shared" ca="1" si="8"/>
        <v>81.818181818181827</v>
      </c>
      <c r="R62" s="5">
        <f ca="1">IFERROR(__xludf.DUMMYFUNCTION("IMPORTRANGE(""https://docs.google.com/spreadsheets/d/1rOGZhKHVnDGFqGTO7UNOJSkSJyQwVuEb2-yhWQit7lw/edit?gid=449441702#gid=449441702"", address(row($D60),column($D60),,,""NPTEL-N""))"),28)</f>
        <v>28</v>
      </c>
      <c r="S62" s="5">
        <f t="shared" ca="1" si="9"/>
        <v>100</v>
      </c>
      <c r="T62" s="6">
        <f ca="1">IFERROR(__xludf.DUMMYFUNCTION("IMPORTRANGE(""https://docs.google.com/spreadsheets/d/1rOGZhKHVnDGFqGTO7UNOJSkSJyQwVuEb2-yhWQit7lw/edit?gid=77662277#gid=77662277"", address(row($D60),column($D60),,,""CRT-N""))"),63)</f>
        <v>63</v>
      </c>
      <c r="U62" s="8">
        <f t="shared" ca="1" si="10"/>
        <v>90</v>
      </c>
      <c r="V62" s="6">
        <f t="shared" ca="1" si="0"/>
        <v>327</v>
      </c>
      <c r="W62" s="4">
        <f t="shared" ca="1" si="11"/>
        <v>79</v>
      </c>
      <c r="X62" s="4">
        <v>0</v>
      </c>
      <c r="Y62" s="4">
        <v>0</v>
      </c>
      <c r="Z62" s="4">
        <f t="shared" ca="1" si="1"/>
        <v>327</v>
      </c>
      <c r="AA62" s="10">
        <f t="shared" ca="1" si="12"/>
        <v>79</v>
      </c>
    </row>
    <row r="63" spans="1:27" ht="15.85" customHeight="1" x14ac:dyDescent="0.3">
      <c r="A63" s="8">
        <v>58</v>
      </c>
      <c r="B63" s="11" t="s">
        <v>289</v>
      </c>
      <c r="C63" s="11" t="s">
        <v>290</v>
      </c>
      <c r="D63" s="5">
        <f ca="1">IFERROR(__xludf.DUMMYFUNCTION("IMPORTRANGE(""https://docs.google.com/spreadsheets/d/1rOGZhKHVnDGFqGTO7UNOJSkSJyQwVuEb2-yhWQit7lw/edit?gid=1117406455#gid=1117406455"", address(row($D61),column($D61),,,""DM&amp;GT-N""))"),36)</f>
        <v>36</v>
      </c>
      <c r="E63" s="8">
        <f t="shared" ca="1" si="2"/>
        <v>92.307692307692307</v>
      </c>
      <c r="F63" s="5">
        <f ca="1">IFERROR(__xludf.DUMMYFUNCTION("IMPORTRANGE(""https://docs.google.com/spreadsheets/d/1rOGZhKHVnDGFqGTO7UNOJSkSJyQwVuEb2-yhWQit7lw/edit?gid=1808040716#gid=1808040716"", address(row($D61),column($D61),,,""UHV-N""))"),34)</f>
        <v>34</v>
      </c>
      <c r="G63" s="8">
        <f t="shared" ca="1" si="3"/>
        <v>97.142857142857139</v>
      </c>
      <c r="H63" s="5">
        <f ca="1">IFERROR(__xludf.DUMMYFUNCTION("IMPORTRANGE(""https://docs.google.com/spreadsheets/d/1rOGZhKHVnDGFqGTO7UNOJSkSJyQwVuEb2-yhWQit7lw/edit?gid=1058014760#gid=1058014760"", address(row($D61),column($D61),,,""DL&amp;CO-N""))"),35)</f>
        <v>35</v>
      </c>
      <c r="I63" s="8">
        <f t="shared" ca="1" si="4"/>
        <v>89.743589743589752</v>
      </c>
      <c r="J63" s="5">
        <f ca="1">IFERROR(__xludf.DUMMYFUNCTION("IMPORTRANGE(""https://docs.google.com/spreadsheets/d/1rOGZhKHVnDGFqGTO7UNOJSkSJyQwVuEb2-yhWQit7lw/edit?gid=2007015697#gid=2007015697"", address(row($D61),column($D61),,,""ADSA-N""))"),53)</f>
        <v>53</v>
      </c>
      <c r="K63" s="8">
        <f t="shared" ca="1" si="5"/>
        <v>80.303030303030297</v>
      </c>
      <c r="L63" s="5">
        <f ca="1">IFERROR(__xludf.DUMMYFUNCTION("IMPORTRANGE(""https://docs.google.com/spreadsheets/d/1rOGZhKHVnDGFqGTO7UNOJSkSJyQwVuEb2-yhWQit7lw/edit?gid=1926669029#gid=1926669029"", address(row($D61),column($D61),,,""JAVA-N""))"),60)</f>
        <v>60</v>
      </c>
      <c r="M63" s="8">
        <f t="shared" ca="1" si="6"/>
        <v>88.235294117647058</v>
      </c>
      <c r="N63" s="5">
        <f ca="1">IFERROR(__xludf.DUMMYFUNCTION("IMPORTRANGE(""https://docs.google.com/spreadsheets/d/1rOGZhKHVnDGFqGTO7UNOJSkSJyQwVuEb2-yhWQit7lw/edit?gid=1656401641#gid=1656401641"", address(row($D61),column($D61),,,""FOSS LAB-N""))"),26)</f>
        <v>26</v>
      </c>
      <c r="O63" s="8">
        <f t="shared" ca="1" si="7"/>
        <v>74.285714285714292</v>
      </c>
      <c r="P63" s="5">
        <f ca="1">IFERROR(__xludf.DUMMYFUNCTION("IMPORTRANGE(""https://docs.google.com/spreadsheets/d/1rOGZhKHVnDGFqGTO7UNOJSkSJyQwVuEb2-yhWQit7lw/edit?gid=1022834346#gid=1022834346"", address(row($D61),column($D61),,,""PP-N""))"),29)</f>
        <v>29</v>
      </c>
      <c r="Q63" s="8">
        <f t="shared" ca="1" si="8"/>
        <v>87.878787878787875</v>
      </c>
      <c r="R63" s="5">
        <f ca="1">IFERROR(__xludf.DUMMYFUNCTION("IMPORTRANGE(""https://docs.google.com/spreadsheets/d/1rOGZhKHVnDGFqGTO7UNOJSkSJyQwVuEb2-yhWQit7lw/edit?gid=449441702#gid=449441702"", address(row($D61),column($D61),,,""NPTEL-N""))"),28)</f>
        <v>28</v>
      </c>
      <c r="S63" s="5">
        <f t="shared" ca="1" si="9"/>
        <v>100</v>
      </c>
      <c r="T63" s="6">
        <f ca="1">IFERROR(__xludf.DUMMYFUNCTION("IMPORTRANGE(""https://docs.google.com/spreadsheets/d/1rOGZhKHVnDGFqGTO7UNOJSkSJyQwVuEb2-yhWQit7lw/edit?gid=77662277#gid=77662277"", address(row($D61),column($D61),,,""CRT-N""))"),70)</f>
        <v>70</v>
      </c>
      <c r="U63" s="8">
        <f t="shared" ca="1" si="10"/>
        <v>100</v>
      </c>
      <c r="V63" s="6">
        <f t="shared" ca="1" si="0"/>
        <v>371</v>
      </c>
      <c r="W63" s="4">
        <f t="shared" ca="1" si="11"/>
        <v>90</v>
      </c>
      <c r="X63" s="4">
        <v>0</v>
      </c>
      <c r="Y63" s="4">
        <v>0</v>
      </c>
      <c r="Z63" s="4">
        <f t="shared" ca="1" si="1"/>
        <v>371</v>
      </c>
      <c r="AA63" s="10">
        <f t="shared" ca="1" si="12"/>
        <v>90</v>
      </c>
    </row>
    <row r="64" spans="1:27" ht="15.85" customHeight="1" x14ac:dyDescent="0.3">
      <c r="A64" s="8">
        <v>59</v>
      </c>
      <c r="B64" s="11" t="s">
        <v>291</v>
      </c>
      <c r="C64" s="11" t="s">
        <v>292</v>
      </c>
      <c r="D64" s="5">
        <f ca="1">IFERROR(__xludf.DUMMYFUNCTION("IMPORTRANGE(""https://docs.google.com/spreadsheets/d/1rOGZhKHVnDGFqGTO7UNOJSkSJyQwVuEb2-yhWQit7lw/edit?gid=1117406455#gid=1117406455"", address(row($D62),column($D62),,,""DM&amp;GT-N""))"),26)</f>
        <v>26</v>
      </c>
      <c r="E64" s="8">
        <f t="shared" ca="1" si="2"/>
        <v>66.666666666666657</v>
      </c>
      <c r="F64" s="5">
        <f ca="1">IFERROR(__xludf.DUMMYFUNCTION("IMPORTRANGE(""https://docs.google.com/spreadsheets/d/1rOGZhKHVnDGFqGTO7UNOJSkSJyQwVuEb2-yhWQit7lw/edit?gid=1808040716#gid=1808040716"", address(row($D62),column($D62),,,""UHV-N""))"),29)</f>
        <v>29</v>
      </c>
      <c r="G64" s="8">
        <f t="shared" ca="1" si="3"/>
        <v>82.857142857142861</v>
      </c>
      <c r="H64" s="5">
        <f ca="1">IFERROR(__xludf.DUMMYFUNCTION("IMPORTRANGE(""https://docs.google.com/spreadsheets/d/1rOGZhKHVnDGFqGTO7UNOJSkSJyQwVuEb2-yhWQit7lw/edit?gid=1058014760#gid=1058014760"", address(row($D62),column($D62),,,""DL&amp;CO-N""))"),25)</f>
        <v>25</v>
      </c>
      <c r="I64" s="8">
        <f t="shared" ca="1" si="4"/>
        <v>64.102564102564102</v>
      </c>
      <c r="J64" s="5">
        <f ca="1">IFERROR(__xludf.DUMMYFUNCTION("IMPORTRANGE(""https://docs.google.com/spreadsheets/d/1rOGZhKHVnDGFqGTO7UNOJSkSJyQwVuEb2-yhWQit7lw/edit?gid=2007015697#gid=2007015697"", address(row($D62),column($D62),,,""ADSA-N""))"),45)</f>
        <v>45</v>
      </c>
      <c r="K64" s="8">
        <f t="shared" ca="1" si="5"/>
        <v>68.181818181818173</v>
      </c>
      <c r="L64" s="5">
        <f ca="1">IFERROR(__xludf.DUMMYFUNCTION("IMPORTRANGE(""https://docs.google.com/spreadsheets/d/1rOGZhKHVnDGFqGTO7UNOJSkSJyQwVuEb2-yhWQit7lw/edit?gid=1926669029#gid=1926669029"", address(row($D62),column($D62),,,""JAVA-N""))"),50)</f>
        <v>50</v>
      </c>
      <c r="M64" s="8">
        <f t="shared" ca="1" si="6"/>
        <v>73.529411764705884</v>
      </c>
      <c r="N64" s="5">
        <f ca="1">IFERROR(__xludf.DUMMYFUNCTION("IMPORTRANGE(""https://docs.google.com/spreadsheets/d/1rOGZhKHVnDGFqGTO7UNOJSkSJyQwVuEb2-yhWQit7lw/edit?gid=1656401641#gid=1656401641"", address(row($D62),column($D62),,,""FOSS LAB-N""))"),20)</f>
        <v>20</v>
      </c>
      <c r="O64" s="8">
        <f t="shared" ca="1" si="7"/>
        <v>57.142857142857139</v>
      </c>
      <c r="P64" s="5">
        <f ca="1">IFERROR(__xludf.DUMMYFUNCTION("IMPORTRANGE(""https://docs.google.com/spreadsheets/d/1rOGZhKHVnDGFqGTO7UNOJSkSJyQwVuEb2-yhWQit7lw/edit?gid=1022834346#gid=1022834346"", address(row($D62),column($D62),,,""PP-N""))"),25)</f>
        <v>25</v>
      </c>
      <c r="Q64" s="8">
        <f t="shared" ca="1" si="8"/>
        <v>75.757575757575751</v>
      </c>
      <c r="R64" s="5">
        <f ca="1">IFERROR(__xludf.DUMMYFUNCTION("IMPORTRANGE(""https://docs.google.com/spreadsheets/d/1rOGZhKHVnDGFqGTO7UNOJSkSJyQwVuEb2-yhWQit7lw/edit?gid=449441702#gid=449441702"", address(row($D62),column($D62),,,""NPTEL-N""))"),22)</f>
        <v>22</v>
      </c>
      <c r="S64" s="5">
        <f t="shared" ca="1" si="9"/>
        <v>78.571428571428569</v>
      </c>
      <c r="T64" s="6">
        <f ca="1">IFERROR(__xludf.DUMMYFUNCTION("IMPORTRANGE(""https://docs.google.com/spreadsheets/d/1rOGZhKHVnDGFqGTO7UNOJSkSJyQwVuEb2-yhWQit7lw/edit?gid=77662277#gid=77662277"", address(row($D62),column($D62),,,""CRT-N""))"),63)</f>
        <v>63</v>
      </c>
      <c r="U64" s="8">
        <f t="shared" ca="1" si="10"/>
        <v>90</v>
      </c>
      <c r="V64" s="6">
        <f t="shared" ca="1" si="0"/>
        <v>305</v>
      </c>
      <c r="W64" s="4">
        <f t="shared" ca="1" si="11"/>
        <v>74</v>
      </c>
      <c r="X64" s="4">
        <v>0</v>
      </c>
      <c r="Y64" s="4">
        <v>0</v>
      </c>
      <c r="Z64" s="4">
        <f t="shared" ca="1" si="1"/>
        <v>305</v>
      </c>
      <c r="AA64" s="10">
        <f t="shared" ca="1" si="12"/>
        <v>74</v>
      </c>
    </row>
    <row r="65" spans="1:27" ht="15.85" customHeight="1" x14ac:dyDescent="0.3">
      <c r="A65" s="8">
        <v>60</v>
      </c>
      <c r="B65" s="11" t="s">
        <v>293</v>
      </c>
      <c r="C65" s="11" t="s">
        <v>294</v>
      </c>
      <c r="D65" s="5">
        <f ca="1">IFERROR(__xludf.DUMMYFUNCTION("IMPORTRANGE(""https://docs.google.com/spreadsheets/d/1rOGZhKHVnDGFqGTO7UNOJSkSJyQwVuEb2-yhWQit7lw/edit?gid=1117406455#gid=1117406455"", address(row($D63),column($D63),,,""DM&amp;GT-N""))"),27)</f>
        <v>27</v>
      </c>
      <c r="E65" s="8">
        <f t="shared" ca="1" si="2"/>
        <v>69.230769230769226</v>
      </c>
      <c r="F65" s="5">
        <f ca="1">IFERROR(__xludf.DUMMYFUNCTION("IMPORTRANGE(""https://docs.google.com/spreadsheets/d/1rOGZhKHVnDGFqGTO7UNOJSkSJyQwVuEb2-yhWQit7lw/edit?gid=1808040716#gid=1808040716"", address(row($D63),column($D63),,,""UHV-N""))"),25)</f>
        <v>25</v>
      </c>
      <c r="G65" s="8">
        <f t="shared" ca="1" si="3"/>
        <v>71.428571428571431</v>
      </c>
      <c r="H65" s="5">
        <f ca="1">IFERROR(__xludf.DUMMYFUNCTION("IMPORTRANGE(""https://docs.google.com/spreadsheets/d/1rOGZhKHVnDGFqGTO7UNOJSkSJyQwVuEb2-yhWQit7lw/edit?gid=1058014760#gid=1058014760"", address(row($D63),column($D63),,,""DL&amp;CO-N""))"),26)</f>
        <v>26</v>
      </c>
      <c r="I65" s="8">
        <f t="shared" ca="1" si="4"/>
        <v>66.666666666666657</v>
      </c>
      <c r="J65" s="5">
        <f ca="1">IFERROR(__xludf.DUMMYFUNCTION("IMPORTRANGE(""https://docs.google.com/spreadsheets/d/1rOGZhKHVnDGFqGTO7UNOJSkSJyQwVuEb2-yhWQit7lw/edit?gid=2007015697#gid=2007015697"", address(row($D63),column($D63),,,""ADSA-N""))"),44)</f>
        <v>44</v>
      </c>
      <c r="K65" s="8">
        <f t="shared" ca="1" si="5"/>
        <v>66.666666666666657</v>
      </c>
      <c r="L65" s="5">
        <f ca="1">IFERROR(__xludf.DUMMYFUNCTION("IMPORTRANGE(""https://docs.google.com/spreadsheets/d/1rOGZhKHVnDGFqGTO7UNOJSkSJyQwVuEb2-yhWQit7lw/edit?gid=1926669029#gid=1926669029"", address(row($D63),column($D63),,,""JAVA-N""))"),43)</f>
        <v>43</v>
      </c>
      <c r="M65" s="8">
        <f t="shared" ca="1" si="6"/>
        <v>63.235294117647058</v>
      </c>
      <c r="N65" s="5">
        <f ca="1">IFERROR(__xludf.DUMMYFUNCTION("IMPORTRANGE(""https://docs.google.com/spreadsheets/d/1rOGZhKHVnDGFqGTO7UNOJSkSJyQwVuEb2-yhWQit7lw/edit?gid=1656401641#gid=1656401641"", address(row($D63),column($D63),,,""FOSS LAB-N""))"),24)</f>
        <v>24</v>
      </c>
      <c r="O65" s="8">
        <f t="shared" ca="1" si="7"/>
        <v>68.571428571428569</v>
      </c>
      <c r="P65" s="5">
        <f ca="1">IFERROR(__xludf.DUMMYFUNCTION("IMPORTRANGE(""https://docs.google.com/spreadsheets/d/1rOGZhKHVnDGFqGTO7UNOJSkSJyQwVuEb2-yhWQit7lw/edit?gid=1022834346#gid=1022834346"", address(row($D63),column($D63),,,""PP-N""))"),21)</f>
        <v>21</v>
      </c>
      <c r="Q65" s="8">
        <f t="shared" ca="1" si="8"/>
        <v>63.636363636363633</v>
      </c>
      <c r="R65" s="5">
        <f ca="1">IFERROR(__xludf.DUMMYFUNCTION("IMPORTRANGE(""https://docs.google.com/spreadsheets/d/1rOGZhKHVnDGFqGTO7UNOJSkSJyQwVuEb2-yhWQit7lw/edit?gid=449441702#gid=449441702"", address(row($D63),column($D63),,,""NPTEL-N""))"),24)</f>
        <v>24</v>
      </c>
      <c r="S65" s="5">
        <f t="shared" ca="1" si="9"/>
        <v>85.714285714285708</v>
      </c>
      <c r="T65" s="6">
        <f ca="1">IFERROR(__xludf.DUMMYFUNCTION("IMPORTRANGE(""https://docs.google.com/spreadsheets/d/1rOGZhKHVnDGFqGTO7UNOJSkSJyQwVuEb2-yhWQit7lw/edit?gid=77662277#gid=77662277"", address(row($D63),column($D63),,,""CRT-N""))"),56)</f>
        <v>56</v>
      </c>
      <c r="U65" s="8">
        <f t="shared" ca="1" si="10"/>
        <v>80</v>
      </c>
      <c r="V65" s="6">
        <f t="shared" ca="1" si="0"/>
        <v>290</v>
      </c>
      <c r="W65" s="4">
        <f t="shared" ca="1" si="11"/>
        <v>70</v>
      </c>
      <c r="X65" s="4">
        <v>0</v>
      </c>
      <c r="Y65" s="4">
        <v>0</v>
      </c>
      <c r="Z65" s="4">
        <f t="shared" ca="1" si="1"/>
        <v>290</v>
      </c>
      <c r="AA65" s="10">
        <f t="shared" ca="1" si="12"/>
        <v>70</v>
      </c>
    </row>
    <row r="66" spans="1:27" ht="15.85" customHeight="1" x14ac:dyDescent="0.3">
      <c r="A66" s="8">
        <v>61</v>
      </c>
      <c r="B66" s="11" t="s">
        <v>295</v>
      </c>
      <c r="C66" s="11" t="s">
        <v>296</v>
      </c>
      <c r="D66" s="5">
        <f ca="1">IFERROR(__xludf.DUMMYFUNCTION("IMPORTRANGE(""https://docs.google.com/spreadsheets/d/1rOGZhKHVnDGFqGTO7UNOJSkSJyQwVuEb2-yhWQit7lw/edit?gid=1117406455#gid=1117406455"", address(row($D64),column($D64),,,""DM&amp;GT-N""))"),10)</f>
        <v>10</v>
      </c>
      <c r="E66" s="8">
        <f t="shared" ca="1" si="2"/>
        <v>25.641025641025639</v>
      </c>
      <c r="F66" s="5">
        <f ca="1">IFERROR(__xludf.DUMMYFUNCTION("IMPORTRANGE(""https://docs.google.com/spreadsheets/d/1rOGZhKHVnDGFqGTO7UNOJSkSJyQwVuEb2-yhWQit7lw/edit?gid=1808040716#gid=1808040716"", address(row($D64),column($D64),,,""UHV-N""))"),10)</f>
        <v>10</v>
      </c>
      <c r="G66" s="8">
        <f t="shared" ca="1" si="3"/>
        <v>28.571428571428569</v>
      </c>
      <c r="H66" s="5">
        <f ca="1">IFERROR(__xludf.DUMMYFUNCTION("IMPORTRANGE(""https://docs.google.com/spreadsheets/d/1rOGZhKHVnDGFqGTO7UNOJSkSJyQwVuEb2-yhWQit7lw/edit?gid=1058014760#gid=1058014760"", address(row($D64),column($D64),,,""DL&amp;CO-N""))"),9)</f>
        <v>9</v>
      </c>
      <c r="I66" s="8">
        <f t="shared" ca="1" si="4"/>
        <v>23.076923076923077</v>
      </c>
      <c r="J66" s="5">
        <f ca="1">IFERROR(__xludf.DUMMYFUNCTION("IMPORTRANGE(""https://docs.google.com/spreadsheets/d/1rOGZhKHVnDGFqGTO7UNOJSkSJyQwVuEb2-yhWQit7lw/edit?gid=2007015697#gid=2007015697"", address(row($D64),column($D64),,,""ADSA-N""))"),16)</f>
        <v>16</v>
      </c>
      <c r="K66" s="8">
        <f t="shared" ca="1" si="5"/>
        <v>24.242424242424242</v>
      </c>
      <c r="L66" s="5">
        <f ca="1">IFERROR(__xludf.DUMMYFUNCTION("IMPORTRANGE(""https://docs.google.com/spreadsheets/d/1rOGZhKHVnDGFqGTO7UNOJSkSJyQwVuEb2-yhWQit7lw/edit?gid=1926669029#gid=1926669029"", address(row($D64),column($D64),,,""JAVA-N""))"),20)</f>
        <v>20</v>
      </c>
      <c r="M66" s="8">
        <f t="shared" ca="1" si="6"/>
        <v>29.411764705882355</v>
      </c>
      <c r="N66" s="5">
        <f ca="1">IFERROR(__xludf.DUMMYFUNCTION("IMPORTRANGE(""https://docs.google.com/spreadsheets/d/1rOGZhKHVnDGFqGTO7UNOJSkSJyQwVuEb2-yhWQit7lw/edit?gid=1656401641#gid=1656401641"", address(row($D64),column($D64),,,""FOSS LAB-N""))"),6)</f>
        <v>6</v>
      </c>
      <c r="O66" s="8">
        <f t="shared" ca="1" si="7"/>
        <v>17.142857142857142</v>
      </c>
      <c r="P66" s="5">
        <f ca="1">IFERROR(__xludf.DUMMYFUNCTION("IMPORTRANGE(""https://docs.google.com/spreadsheets/d/1rOGZhKHVnDGFqGTO7UNOJSkSJyQwVuEb2-yhWQit7lw/edit?gid=1022834346#gid=1022834346"", address(row($D64),column($D64),,,""PP-N""))"),6)</f>
        <v>6</v>
      </c>
      <c r="Q66" s="8">
        <f t="shared" ca="1" si="8"/>
        <v>18.181818181818183</v>
      </c>
      <c r="R66" s="5">
        <f ca="1">IFERROR(__xludf.DUMMYFUNCTION("IMPORTRANGE(""https://docs.google.com/spreadsheets/d/1rOGZhKHVnDGFqGTO7UNOJSkSJyQwVuEb2-yhWQit7lw/edit?gid=449441702#gid=449441702"", address(row($D64),column($D64),,,""NPTEL-N""))"),2)</f>
        <v>2</v>
      </c>
      <c r="S66" s="5">
        <f t="shared" ca="1" si="9"/>
        <v>7.1428571428571423</v>
      </c>
      <c r="T66" s="6">
        <f ca="1">IFERROR(__xludf.DUMMYFUNCTION("IMPORTRANGE(""https://docs.google.com/spreadsheets/d/1rOGZhKHVnDGFqGTO7UNOJSkSJyQwVuEb2-yhWQit7lw/edit?gid=77662277#gid=77662277"", address(row($D64),column($D64),,,""CRT-N""))"),30)</f>
        <v>30</v>
      </c>
      <c r="U66" s="8">
        <f t="shared" ca="1" si="10"/>
        <v>42.857142857142854</v>
      </c>
      <c r="V66" s="6">
        <f t="shared" ca="1" si="0"/>
        <v>109</v>
      </c>
      <c r="W66" s="4">
        <f t="shared" ca="1" si="11"/>
        <v>26</v>
      </c>
      <c r="X66" s="4">
        <v>0</v>
      </c>
      <c r="Y66" s="4">
        <v>0</v>
      </c>
      <c r="Z66" s="4">
        <f t="shared" ca="1" si="1"/>
        <v>109</v>
      </c>
      <c r="AA66" s="10">
        <f t="shared" ca="1" si="12"/>
        <v>26</v>
      </c>
    </row>
    <row r="67" spans="1:27" ht="15.85" customHeight="1" x14ac:dyDescent="0.3">
      <c r="A67" s="8">
        <v>62</v>
      </c>
      <c r="B67" s="11" t="s">
        <v>297</v>
      </c>
      <c r="C67" s="11" t="s">
        <v>298</v>
      </c>
      <c r="D67" s="5">
        <f ca="1">IFERROR(__xludf.DUMMYFUNCTION("IMPORTRANGE(""https://docs.google.com/spreadsheets/d/1rOGZhKHVnDGFqGTO7UNOJSkSJyQwVuEb2-yhWQit7lw/edit?gid=1117406455#gid=1117406455"", address(row($D65),column($D65),,,""DM&amp;GT-N""))"),19)</f>
        <v>19</v>
      </c>
      <c r="E67" s="8">
        <f t="shared" ca="1" si="2"/>
        <v>48.717948717948715</v>
      </c>
      <c r="F67" s="5">
        <f ca="1">IFERROR(__xludf.DUMMYFUNCTION("IMPORTRANGE(""https://docs.google.com/spreadsheets/d/1rOGZhKHVnDGFqGTO7UNOJSkSJyQwVuEb2-yhWQit7lw/edit?gid=1808040716#gid=1808040716"", address(row($D65),column($D65),,,""UHV-N""))"),19)</f>
        <v>19</v>
      </c>
      <c r="G67" s="8">
        <f t="shared" ca="1" si="3"/>
        <v>54.285714285714285</v>
      </c>
      <c r="H67" s="5">
        <f ca="1">IFERROR(__xludf.DUMMYFUNCTION("IMPORTRANGE(""https://docs.google.com/spreadsheets/d/1rOGZhKHVnDGFqGTO7UNOJSkSJyQwVuEb2-yhWQit7lw/edit?gid=1058014760#gid=1058014760"", address(row($D65),column($D65),,,""DL&amp;CO-N""))"),18)</f>
        <v>18</v>
      </c>
      <c r="I67" s="8">
        <f t="shared" ca="1" si="4"/>
        <v>46.153846153846153</v>
      </c>
      <c r="J67" s="5">
        <f ca="1">IFERROR(__xludf.DUMMYFUNCTION("IMPORTRANGE(""https://docs.google.com/spreadsheets/d/1rOGZhKHVnDGFqGTO7UNOJSkSJyQwVuEb2-yhWQit7lw/edit?gid=2007015697#gid=2007015697"", address(row($D65),column($D65),,,""ADSA-N""))"),20)</f>
        <v>20</v>
      </c>
      <c r="K67" s="8">
        <f t="shared" ca="1" si="5"/>
        <v>30.303030303030305</v>
      </c>
      <c r="L67" s="5">
        <f ca="1">IFERROR(__xludf.DUMMYFUNCTION("IMPORTRANGE(""https://docs.google.com/spreadsheets/d/1rOGZhKHVnDGFqGTO7UNOJSkSJyQwVuEb2-yhWQit7lw/edit?gid=1926669029#gid=1926669029"", address(row($D65),column($D65),,,""JAVA-N""))"),34)</f>
        <v>34</v>
      </c>
      <c r="M67" s="8">
        <f t="shared" ca="1" si="6"/>
        <v>50</v>
      </c>
      <c r="N67" s="5">
        <f ca="1">IFERROR(__xludf.DUMMYFUNCTION("IMPORTRANGE(""https://docs.google.com/spreadsheets/d/1rOGZhKHVnDGFqGTO7UNOJSkSJyQwVuEb2-yhWQit7lw/edit?gid=1656401641#gid=1656401641"", address(row($D65),column($D65),,,""FOSS LAB-N""))"),26)</f>
        <v>26</v>
      </c>
      <c r="O67" s="8">
        <f t="shared" ca="1" si="7"/>
        <v>74.285714285714292</v>
      </c>
      <c r="P67" s="5">
        <f ca="1">IFERROR(__xludf.DUMMYFUNCTION("IMPORTRANGE(""https://docs.google.com/spreadsheets/d/1rOGZhKHVnDGFqGTO7UNOJSkSJyQwVuEb2-yhWQit7lw/edit?gid=1022834346#gid=1022834346"", address(row($D65),column($D65),,,""PP-N""))"),16)</f>
        <v>16</v>
      </c>
      <c r="Q67" s="8">
        <f t="shared" ca="1" si="8"/>
        <v>48.484848484848484</v>
      </c>
      <c r="R67" s="5">
        <f ca="1">IFERROR(__xludf.DUMMYFUNCTION("IMPORTRANGE(""https://docs.google.com/spreadsheets/d/1rOGZhKHVnDGFqGTO7UNOJSkSJyQwVuEb2-yhWQit7lw/edit?gid=449441702#gid=449441702"", address(row($D65),column($D65),,,""NPTEL-N""))"),14)</f>
        <v>14</v>
      </c>
      <c r="S67" s="5">
        <f t="shared" ca="1" si="9"/>
        <v>50</v>
      </c>
      <c r="T67" s="6">
        <f ca="1">IFERROR(__xludf.DUMMYFUNCTION("IMPORTRANGE(""https://docs.google.com/spreadsheets/d/1rOGZhKHVnDGFqGTO7UNOJSkSJyQwVuEb2-yhWQit7lw/edit?gid=77662277#gid=77662277"", address(row($D65),column($D65),,,""CRT-N""))"),43)</f>
        <v>43</v>
      </c>
      <c r="U67" s="8">
        <f t="shared" ca="1" si="10"/>
        <v>61.428571428571431</v>
      </c>
      <c r="V67" s="6">
        <f t="shared" ca="1" si="0"/>
        <v>209</v>
      </c>
      <c r="W67" s="4">
        <f t="shared" ca="1" si="11"/>
        <v>51</v>
      </c>
      <c r="X67" s="4">
        <v>0</v>
      </c>
      <c r="Y67" s="4">
        <v>0</v>
      </c>
      <c r="Z67" s="4">
        <f t="shared" ca="1" si="1"/>
        <v>209</v>
      </c>
      <c r="AA67" s="10">
        <f t="shared" ca="1" si="12"/>
        <v>51</v>
      </c>
    </row>
    <row r="68" spans="1:27" ht="15.85" customHeight="1" x14ac:dyDescent="0.3">
      <c r="A68" s="8">
        <v>63</v>
      </c>
      <c r="B68" s="11" t="s">
        <v>299</v>
      </c>
      <c r="C68" s="11" t="s">
        <v>300</v>
      </c>
      <c r="D68" s="5">
        <f ca="1">IFERROR(__xludf.DUMMYFUNCTION("IMPORTRANGE(""https://docs.google.com/spreadsheets/d/1rOGZhKHVnDGFqGTO7UNOJSkSJyQwVuEb2-yhWQit7lw/edit?gid=1117406455#gid=1117406455"", address(row($D66),column($D66),,,""DM&amp;GT-N""))"),13)</f>
        <v>13</v>
      </c>
      <c r="E68" s="8">
        <f t="shared" ca="1" si="2"/>
        <v>33.333333333333329</v>
      </c>
      <c r="F68" s="5">
        <f ca="1">IFERROR(__xludf.DUMMYFUNCTION("IMPORTRANGE(""https://docs.google.com/spreadsheets/d/1rOGZhKHVnDGFqGTO7UNOJSkSJyQwVuEb2-yhWQit7lw/edit?gid=1808040716#gid=1808040716"", address(row($D66),column($D66),,,""UHV-N""))"),16)</f>
        <v>16</v>
      </c>
      <c r="G68" s="8">
        <f t="shared" ca="1" si="3"/>
        <v>45.714285714285715</v>
      </c>
      <c r="H68" s="5">
        <f ca="1">IFERROR(__xludf.DUMMYFUNCTION("IMPORTRANGE(""https://docs.google.com/spreadsheets/d/1rOGZhKHVnDGFqGTO7UNOJSkSJyQwVuEb2-yhWQit7lw/edit?gid=1058014760#gid=1058014760"", address(row($D66),column($D66),,,""DL&amp;CO-N""))"),13)</f>
        <v>13</v>
      </c>
      <c r="I68" s="8">
        <f t="shared" ca="1" si="4"/>
        <v>33.333333333333329</v>
      </c>
      <c r="J68" s="5">
        <f ca="1">IFERROR(__xludf.DUMMYFUNCTION("IMPORTRANGE(""https://docs.google.com/spreadsheets/d/1rOGZhKHVnDGFqGTO7UNOJSkSJyQwVuEb2-yhWQit7lw/edit?gid=2007015697#gid=2007015697"", address(row($D66),column($D66),,,""ADSA-N""))"),26)</f>
        <v>26</v>
      </c>
      <c r="K68" s="8">
        <f t="shared" ca="1" si="5"/>
        <v>39.393939393939391</v>
      </c>
      <c r="L68" s="5">
        <f ca="1">IFERROR(__xludf.DUMMYFUNCTION("IMPORTRANGE(""https://docs.google.com/spreadsheets/d/1rOGZhKHVnDGFqGTO7UNOJSkSJyQwVuEb2-yhWQit7lw/edit?gid=1926669029#gid=1926669029"", address(row($D66),column($D66),,,""JAVA-N""))"),21)</f>
        <v>21</v>
      </c>
      <c r="M68" s="8">
        <f t="shared" ca="1" si="6"/>
        <v>30.882352941176471</v>
      </c>
      <c r="N68" s="5">
        <f ca="1">IFERROR(__xludf.DUMMYFUNCTION("IMPORTRANGE(""https://docs.google.com/spreadsheets/d/1rOGZhKHVnDGFqGTO7UNOJSkSJyQwVuEb2-yhWQit7lw/edit?gid=1656401641#gid=1656401641"", address(row($D66),column($D66),,,""FOSS LAB-N""))"),20)</f>
        <v>20</v>
      </c>
      <c r="O68" s="8">
        <f t="shared" ca="1" si="7"/>
        <v>57.142857142857139</v>
      </c>
      <c r="P68" s="5">
        <f ca="1">IFERROR(__xludf.DUMMYFUNCTION("IMPORTRANGE(""https://docs.google.com/spreadsheets/d/1rOGZhKHVnDGFqGTO7UNOJSkSJyQwVuEb2-yhWQit7lw/edit?gid=1022834346#gid=1022834346"", address(row($D66),column($D66),,,""PP-N""))"),13)</f>
        <v>13</v>
      </c>
      <c r="Q68" s="8">
        <f t="shared" ca="1" si="8"/>
        <v>39.393939393939391</v>
      </c>
      <c r="R68" s="5">
        <f ca="1">IFERROR(__xludf.DUMMYFUNCTION("IMPORTRANGE(""https://docs.google.com/spreadsheets/d/1rOGZhKHVnDGFqGTO7UNOJSkSJyQwVuEb2-yhWQit7lw/edit?gid=449441702#gid=449441702"", address(row($D66),column($D66),,,""NPTEL-N""))"),6)</f>
        <v>6</v>
      </c>
      <c r="S68" s="5">
        <f t="shared" ca="1" si="9"/>
        <v>21.428571428571427</v>
      </c>
      <c r="T68" s="6">
        <f ca="1">IFERROR(__xludf.DUMMYFUNCTION("IMPORTRANGE(""https://docs.google.com/spreadsheets/d/1rOGZhKHVnDGFqGTO7UNOJSkSJyQwVuEb2-yhWQit7lw/edit?gid=77662277#gid=77662277"", address(row($D66),column($D66),,,""CRT-N""))"),40)</f>
        <v>40</v>
      </c>
      <c r="U68" s="8">
        <f t="shared" ca="1" si="10"/>
        <v>57.142857142857139</v>
      </c>
      <c r="V68" s="6">
        <f t="shared" ca="1" si="0"/>
        <v>168</v>
      </c>
      <c r="W68" s="4">
        <f t="shared" ca="1" si="11"/>
        <v>41</v>
      </c>
      <c r="X68" s="4">
        <v>0</v>
      </c>
      <c r="Y68" s="4">
        <v>0</v>
      </c>
      <c r="Z68" s="4">
        <f t="shared" ca="1" si="1"/>
        <v>168</v>
      </c>
      <c r="AA68" s="10">
        <f t="shared" ca="1" si="12"/>
        <v>41</v>
      </c>
    </row>
    <row r="69" spans="1:27" ht="15.85" customHeight="1" x14ac:dyDescent="0.3">
      <c r="A69" s="8">
        <v>64</v>
      </c>
      <c r="B69" s="11" t="s">
        <v>301</v>
      </c>
      <c r="C69" s="11" t="s">
        <v>302</v>
      </c>
      <c r="D69" s="5">
        <f ca="1">IFERROR(__xludf.DUMMYFUNCTION("IMPORTRANGE(""https://docs.google.com/spreadsheets/d/1rOGZhKHVnDGFqGTO7UNOJSkSJyQwVuEb2-yhWQit7lw/edit?gid=1117406455#gid=1117406455"", address(row($D67),column($D67),,,""DM&amp;GT-N""))"),29)</f>
        <v>29</v>
      </c>
      <c r="E69" s="8">
        <f t="shared" ca="1" si="2"/>
        <v>74.358974358974365</v>
      </c>
      <c r="F69" s="5">
        <f ca="1">IFERROR(__xludf.DUMMYFUNCTION("IMPORTRANGE(""https://docs.google.com/spreadsheets/d/1rOGZhKHVnDGFqGTO7UNOJSkSJyQwVuEb2-yhWQit7lw/edit?gid=1808040716#gid=1808040716"", address(row($D67),column($D67),,,""UHV-N""))"),25)</f>
        <v>25</v>
      </c>
      <c r="G69" s="8">
        <f t="shared" ca="1" si="3"/>
        <v>71.428571428571431</v>
      </c>
      <c r="H69" s="5">
        <f ca="1">IFERROR(__xludf.DUMMYFUNCTION("IMPORTRANGE(""https://docs.google.com/spreadsheets/d/1rOGZhKHVnDGFqGTO7UNOJSkSJyQwVuEb2-yhWQit7lw/edit?gid=1058014760#gid=1058014760"", address(row($D67),column($D67),,,""DL&amp;CO-N""))"),29)</f>
        <v>29</v>
      </c>
      <c r="I69" s="8">
        <f t="shared" ca="1" si="4"/>
        <v>74.358974358974365</v>
      </c>
      <c r="J69" s="5">
        <f ca="1">IFERROR(__xludf.DUMMYFUNCTION("IMPORTRANGE(""https://docs.google.com/spreadsheets/d/1rOGZhKHVnDGFqGTO7UNOJSkSJyQwVuEb2-yhWQit7lw/edit?gid=2007015697#gid=2007015697"", address(row($D67),column($D67),,,""ADSA-N""))"),50)</f>
        <v>50</v>
      </c>
      <c r="K69" s="8">
        <f t="shared" ca="1" si="5"/>
        <v>75.757575757575751</v>
      </c>
      <c r="L69" s="5">
        <f ca="1">IFERROR(__xludf.DUMMYFUNCTION("IMPORTRANGE(""https://docs.google.com/spreadsheets/d/1rOGZhKHVnDGFqGTO7UNOJSkSJyQwVuEb2-yhWQit7lw/edit?gid=1926669029#gid=1926669029"", address(row($D67),column($D67),,,""JAVA-N""))"),52)</f>
        <v>52</v>
      </c>
      <c r="M69" s="8">
        <f t="shared" ca="1" si="6"/>
        <v>76.470588235294116</v>
      </c>
      <c r="N69" s="5">
        <f ca="1">IFERROR(__xludf.DUMMYFUNCTION("IMPORTRANGE(""https://docs.google.com/spreadsheets/d/1rOGZhKHVnDGFqGTO7UNOJSkSJyQwVuEb2-yhWQit7lw/edit?gid=1656401641#gid=1656401641"", address(row($D67),column($D67),,,""FOSS LAB-N""))"),20)</f>
        <v>20</v>
      </c>
      <c r="O69" s="8">
        <f t="shared" ca="1" si="7"/>
        <v>57.142857142857139</v>
      </c>
      <c r="P69" s="5">
        <f ca="1">IFERROR(__xludf.DUMMYFUNCTION("IMPORTRANGE(""https://docs.google.com/spreadsheets/d/1rOGZhKHVnDGFqGTO7UNOJSkSJyQwVuEb2-yhWQit7lw/edit?gid=1022834346#gid=1022834346"", address(row($D67),column($D67),,,""PP-N""))"),27)</f>
        <v>27</v>
      </c>
      <c r="Q69" s="8">
        <f t="shared" ca="1" si="8"/>
        <v>81.818181818181827</v>
      </c>
      <c r="R69" s="5">
        <f ca="1">IFERROR(__xludf.DUMMYFUNCTION("IMPORTRANGE(""https://docs.google.com/spreadsheets/d/1rOGZhKHVnDGFqGTO7UNOJSkSJyQwVuEb2-yhWQit7lw/edit?gid=449441702#gid=449441702"", address(row($D67),column($D67),,,""NPTEL-N""))"),22)</f>
        <v>22</v>
      </c>
      <c r="S69" s="5">
        <f t="shared" ca="1" si="9"/>
        <v>78.571428571428569</v>
      </c>
      <c r="T69" s="6">
        <f ca="1">IFERROR(__xludf.DUMMYFUNCTION("IMPORTRANGE(""https://docs.google.com/spreadsheets/d/1rOGZhKHVnDGFqGTO7UNOJSkSJyQwVuEb2-yhWQit7lw/edit?gid=77662277#gid=77662277"", address(row($D67),column($D67),,,""CRT-N""))"),70)</f>
        <v>70</v>
      </c>
      <c r="U69" s="8">
        <f t="shared" ca="1" si="10"/>
        <v>100</v>
      </c>
      <c r="V69" s="6">
        <f t="shared" ca="1" si="0"/>
        <v>324</v>
      </c>
      <c r="W69" s="4">
        <f t="shared" ca="1" si="11"/>
        <v>78</v>
      </c>
      <c r="X69" s="4">
        <v>0</v>
      </c>
      <c r="Y69" s="4">
        <v>0</v>
      </c>
      <c r="Z69" s="4">
        <f t="shared" ca="1" si="1"/>
        <v>324</v>
      </c>
      <c r="AA69" s="10">
        <f t="shared" ca="1" si="12"/>
        <v>78</v>
      </c>
    </row>
    <row r="70" spans="1:27" ht="15.05" customHeight="1" x14ac:dyDescent="0.3">
      <c r="A70" s="8">
        <v>65</v>
      </c>
      <c r="B70" s="11" t="s">
        <v>303</v>
      </c>
      <c r="C70" s="11" t="s">
        <v>304</v>
      </c>
      <c r="D70" s="5">
        <f ca="1">IFERROR(__xludf.DUMMYFUNCTION("IMPORTRANGE(""https://docs.google.com/spreadsheets/d/1rOGZhKHVnDGFqGTO7UNOJSkSJyQwVuEb2-yhWQit7lw/edit?gid=1117406455#gid=1117406455"", address(row($D68),column($D68),,,""DM&amp;GT-N""))"),19)</f>
        <v>19</v>
      </c>
      <c r="E70" s="8">
        <f t="shared" ca="1" si="2"/>
        <v>48.717948717948715</v>
      </c>
      <c r="F70" s="5">
        <f ca="1">IFERROR(__xludf.DUMMYFUNCTION("IMPORTRANGE(""https://docs.google.com/spreadsheets/d/1rOGZhKHVnDGFqGTO7UNOJSkSJyQwVuEb2-yhWQit7lw/edit?gid=1808040716#gid=1808040716"", address(row($D68),column($D68),,,""UHV-N""))"),22)</f>
        <v>22</v>
      </c>
      <c r="G70" s="8">
        <f t="shared" ca="1" si="3"/>
        <v>62.857142857142854</v>
      </c>
      <c r="H70" s="5">
        <f ca="1">IFERROR(__xludf.DUMMYFUNCTION("IMPORTRANGE(""https://docs.google.com/spreadsheets/d/1rOGZhKHVnDGFqGTO7UNOJSkSJyQwVuEb2-yhWQit7lw/edit?gid=1058014760#gid=1058014760"", address(row($D68),column($D68),,,""DL&amp;CO-N""))"),18)</f>
        <v>18</v>
      </c>
      <c r="I70" s="8">
        <f t="shared" ca="1" si="4"/>
        <v>46.153846153846153</v>
      </c>
      <c r="J70" s="5">
        <f ca="1">IFERROR(__xludf.DUMMYFUNCTION("IMPORTRANGE(""https://docs.google.com/spreadsheets/d/1rOGZhKHVnDGFqGTO7UNOJSkSJyQwVuEb2-yhWQit7lw/edit?gid=2007015697#gid=2007015697"", address(row($D68),column($D68),,,""ADSA-N""))"),38)</f>
        <v>38</v>
      </c>
      <c r="K70" s="8">
        <f t="shared" ca="1" si="5"/>
        <v>57.575757575757578</v>
      </c>
      <c r="L70" s="5">
        <f ca="1">IFERROR(__xludf.DUMMYFUNCTION("IMPORTRANGE(""https://docs.google.com/spreadsheets/d/1rOGZhKHVnDGFqGTO7UNOJSkSJyQwVuEb2-yhWQit7lw/edit?gid=1926669029#gid=1926669029"", address(row($D68),column($D68),,,""JAVA-N""))"),41)</f>
        <v>41</v>
      </c>
      <c r="M70" s="8">
        <f t="shared" ca="1" si="6"/>
        <v>60.294117647058819</v>
      </c>
      <c r="N70" s="5">
        <f ca="1">IFERROR(__xludf.DUMMYFUNCTION("IMPORTRANGE(""https://docs.google.com/spreadsheets/d/1rOGZhKHVnDGFqGTO7UNOJSkSJyQwVuEb2-yhWQit7lw/edit?gid=1656401641#gid=1656401641"", address(row($D68),column($D68),,,""FOSS LAB-N""))"),20)</f>
        <v>20</v>
      </c>
      <c r="O70" s="8">
        <f t="shared" ca="1" si="7"/>
        <v>57.142857142857139</v>
      </c>
      <c r="P70" s="5">
        <f ca="1">IFERROR(__xludf.DUMMYFUNCTION("IMPORTRANGE(""https://docs.google.com/spreadsheets/d/1rOGZhKHVnDGFqGTO7UNOJSkSJyQwVuEb2-yhWQit7lw/edit?gid=1022834346#gid=1022834346"", address(row($D68),column($D68),,,""PP-N""))"),19)</f>
        <v>19</v>
      </c>
      <c r="Q70" s="8">
        <f t="shared" ca="1" si="8"/>
        <v>57.575757575757578</v>
      </c>
      <c r="R70" s="5">
        <f ca="1">IFERROR(__xludf.DUMMYFUNCTION("IMPORTRANGE(""https://docs.google.com/spreadsheets/d/1rOGZhKHVnDGFqGTO7UNOJSkSJyQwVuEb2-yhWQit7lw/edit?gid=449441702#gid=449441702"", address(row($D68),column($D68),,,""NPTEL-N""))"),22)</f>
        <v>22</v>
      </c>
      <c r="S70" s="5">
        <f t="shared" ca="1" si="9"/>
        <v>78.571428571428569</v>
      </c>
      <c r="T70" s="6">
        <f ca="1">IFERROR(__xludf.DUMMYFUNCTION("IMPORTRANGE(""https://docs.google.com/spreadsheets/d/1rOGZhKHVnDGFqGTO7UNOJSkSJyQwVuEb2-yhWQit7lw/edit?gid=77662277#gid=77662277"", address(row($D68),column($D68),,,""CRT-N""))"),49)</f>
        <v>49</v>
      </c>
      <c r="U70" s="8">
        <f t="shared" ca="1" si="10"/>
        <v>70</v>
      </c>
      <c r="V70" s="6">
        <f t="shared" ca="1" si="0"/>
        <v>248</v>
      </c>
      <c r="W70" s="4">
        <f t="shared" ca="1" si="11"/>
        <v>60</v>
      </c>
      <c r="X70" s="4">
        <v>0</v>
      </c>
      <c r="Y70" s="4">
        <v>0</v>
      </c>
      <c r="Z70" s="4">
        <f t="shared" ca="1" si="1"/>
        <v>248</v>
      </c>
      <c r="AA70" s="10">
        <f t="shared" ca="1" si="12"/>
        <v>60</v>
      </c>
    </row>
    <row r="71" spans="1:27" ht="15.05" customHeight="1" x14ac:dyDescent="0.3">
      <c r="A71" s="8">
        <v>66</v>
      </c>
      <c r="B71" s="9" t="s">
        <v>305</v>
      </c>
      <c r="C71" s="9" t="s">
        <v>306</v>
      </c>
      <c r="D71" s="5">
        <f ca="1">IFERROR(__xludf.DUMMYFUNCTION("IMPORTRANGE(""https://docs.google.com/spreadsheets/d/1rOGZhKHVnDGFqGTO7UNOJSkSJyQwVuEb2-yhWQit7lw/edit?gid=1117406455#gid=1117406455"", address(row($D69),column($D69),,,""DM&amp;GT-N""))"),27)</f>
        <v>27</v>
      </c>
      <c r="E71" s="8">
        <f t="shared" ca="1" si="2"/>
        <v>69.230769230769226</v>
      </c>
      <c r="F71" s="5">
        <f ca="1">IFERROR(__xludf.DUMMYFUNCTION("IMPORTRANGE(""https://docs.google.com/spreadsheets/d/1rOGZhKHVnDGFqGTO7UNOJSkSJyQwVuEb2-yhWQit7lw/edit?gid=1808040716#gid=1808040716"", address(row($D69),column($D69),,,""UHV-N""))"),26)</f>
        <v>26</v>
      </c>
      <c r="G71" s="8">
        <f t="shared" ca="1" si="3"/>
        <v>74.285714285714292</v>
      </c>
      <c r="H71" s="5">
        <f ca="1">IFERROR(__xludf.DUMMYFUNCTION("IMPORTRANGE(""https://docs.google.com/spreadsheets/d/1rOGZhKHVnDGFqGTO7UNOJSkSJyQwVuEb2-yhWQit7lw/edit?gid=1058014760#gid=1058014760"", address(row($D69),column($D69),,,""DL&amp;CO-N""))"),26)</f>
        <v>26</v>
      </c>
      <c r="I71" s="8">
        <f t="shared" ca="1" si="4"/>
        <v>66.666666666666657</v>
      </c>
      <c r="J71" s="5">
        <f ca="1">IFERROR(__xludf.DUMMYFUNCTION("IMPORTRANGE(""https://docs.google.com/spreadsheets/d/1rOGZhKHVnDGFqGTO7UNOJSkSJyQwVuEb2-yhWQit7lw/edit?gid=2007015697#gid=2007015697"", address(row($D69),column($D69),,,""ADSA-N""))"),44)</f>
        <v>44</v>
      </c>
      <c r="K71" s="8">
        <f t="shared" ca="1" si="5"/>
        <v>66.666666666666657</v>
      </c>
      <c r="L71" s="5">
        <f ca="1">IFERROR(__xludf.DUMMYFUNCTION("IMPORTRANGE(""https://docs.google.com/spreadsheets/d/1rOGZhKHVnDGFqGTO7UNOJSkSJyQwVuEb2-yhWQit7lw/edit?gid=1926669029#gid=1926669029"", address(row($D69),column($D69),,,""JAVA-N""))"),48)</f>
        <v>48</v>
      </c>
      <c r="M71" s="8">
        <f t="shared" ca="1" si="6"/>
        <v>70.588235294117652</v>
      </c>
      <c r="N71" s="5">
        <f ca="1">IFERROR(__xludf.DUMMYFUNCTION("IMPORTRANGE(""https://docs.google.com/spreadsheets/d/1rOGZhKHVnDGFqGTO7UNOJSkSJyQwVuEb2-yhWQit7lw/edit?gid=1656401641#gid=1656401641"", address(row($D69),column($D69),,,""FOSS LAB-N""))"),17)</f>
        <v>17</v>
      </c>
      <c r="O71" s="8">
        <f t="shared" ca="1" si="7"/>
        <v>48.571428571428569</v>
      </c>
      <c r="P71" s="5">
        <f ca="1">IFERROR(__xludf.DUMMYFUNCTION("IMPORTRANGE(""https://docs.google.com/spreadsheets/d/1rOGZhKHVnDGFqGTO7UNOJSkSJyQwVuEb2-yhWQit7lw/edit?gid=1022834346#gid=1022834346"", address(row($D69),column($D69),,,""PP-N""))"),25)</f>
        <v>25</v>
      </c>
      <c r="Q71" s="8">
        <f t="shared" ca="1" si="8"/>
        <v>75.757575757575751</v>
      </c>
      <c r="R71" s="5">
        <f ca="1">IFERROR(__xludf.DUMMYFUNCTION("IMPORTRANGE(""https://docs.google.com/spreadsheets/d/1rOGZhKHVnDGFqGTO7UNOJSkSJyQwVuEb2-yhWQit7lw/edit?gid=449441702#gid=449441702"", address(row($D69),column($D69),,,""NPTEL-N""))"),20)</f>
        <v>20</v>
      </c>
      <c r="S71" s="5">
        <f t="shared" ca="1" si="9"/>
        <v>71.428571428571431</v>
      </c>
      <c r="T71" s="6">
        <f ca="1">IFERROR(__xludf.DUMMYFUNCTION("IMPORTRANGE(""https://docs.google.com/spreadsheets/d/1rOGZhKHVnDGFqGTO7UNOJSkSJyQwVuEb2-yhWQit7lw/edit?gid=77662277#gid=77662277"", address(row($D69),column($D69),,,""CRT-N""))"),49)</f>
        <v>49</v>
      </c>
      <c r="U71" s="8">
        <f t="shared" ca="1" si="10"/>
        <v>70</v>
      </c>
      <c r="V71" s="6">
        <f t="shared" ca="1" si="0"/>
        <v>282</v>
      </c>
      <c r="W71" s="4">
        <f t="shared" ca="1" si="11"/>
        <v>68</v>
      </c>
      <c r="X71" s="4">
        <v>0</v>
      </c>
      <c r="Y71" s="4">
        <v>0</v>
      </c>
      <c r="Z71" s="4">
        <f t="shared" ca="1" si="1"/>
        <v>282</v>
      </c>
      <c r="AA71" s="10">
        <f t="shared" ca="1" si="12"/>
        <v>68</v>
      </c>
    </row>
    <row r="72" spans="1:27" ht="15.05" customHeight="1" x14ac:dyDescent="0.3">
      <c r="A72" s="8">
        <v>67</v>
      </c>
      <c r="B72" s="9" t="s">
        <v>307</v>
      </c>
      <c r="C72" s="9"/>
      <c r="D72" s="5">
        <f ca="1">IFERROR(__xludf.DUMMYFUNCTION("IMPORTRANGE(""https://docs.google.com/spreadsheets/d/1rOGZhKHVnDGFqGTO7UNOJSkSJyQwVuEb2-yhWQit7lw/edit?gid=1117406455#gid=1117406455"", address(row($D70),column($D70),,,""DM&amp;GT-N""))"),7)</f>
        <v>7</v>
      </c>
      <c r="E72" s="8">
        <f t="shared" ca="1" si="2"/>
        <v>17.948717948717949</v>
      </c>
      <c r="F72" s="5">
        <f ca="1">IFERROR(__xludf.DUMMYFUNCTION("IMPORTRANGE(""https://docs.google.com/spreadsheets/d/1rOGZhKHVnDGFqGTO7UNOJSkSJyQwVuEb2-yhWQit7lw/edit?gid=1808040716#gid=1808040716"", address(row($D70),column($D70),,,""UHV-N""))"),7)</f>
        <v>7</v>
      </c>
      <c r="G72" s="8">
        <f t="shared" ca="1" si="3"/>
        <v>20</v>
      </c>
      <c r="H72" s="5">
        <f ca="1">IFERROR(__xludf.DUMMYFUNCTION("IMPORTRANGE(""https://docs.google.com/spreadsheets/d/1rOGZhKHVnDGFqGTO7UNOJSkSJyQwVuEb2-yhWQit7lw/edit?gid=1058014760#gid=1058014760"", address(row($D70),column($D70),,,""DL&amp;CO-N""))"),7)</f>
        <v>7</v>
      </c>
      <c r="I72" s="8">
        <f t="shared" ca="1" si="4"/>
        <v>17.948717948717949</v>
      </c>
      <c r="J72" s="5">
        <f ca="1">IFERROR(__xludf.DUMMYFUNCTION("IMPORTRANGE(""https://docs.google.com/spreadsheets/d/1rOGZhKHVnDGFqGTO7UNOJSkSJyQwVuEb2-yhWQit7lw/edit?gid=2007015697#gid=2007015697"", address(row($D70),column($D70),,,""ADSA-N""))"),14)</f>
        <v>14</v>
      </c>
      <c r="K72" s="8">
        <f t="shared" ca="1" si="5"/>
        <v>21.212121212121211</v>
      </c>
      <c r="L72" s="5">
        <f ca="1">IFERROR(__xludf.DUMMYFUNCTION("IMPORTRANGE(""https://docs.google.com/spreadsheets/d/1rOGZhKHVnDGFqGTO7UNOJSkSJyQwVuEb2-yhWQit7lw/edit?gid=1926669029#gid=1926669029"", address(row($D70),column($D70),,,""JAVA-N""))"),19)</f>
        <v>19</v>
      </c>
      <c r="M72" s="8">
        <f t="shared" ca="1" si="6"/>
        <v>27.941176470588236</v>
      </c>
      <c r="N72" s="5">
        <f ca="1">IFERROR(__xludf.DUMMYFUNCTION("IMPORTRANGE(""https://docs.google.com/spreadsheets/d/1rOGZhKHVnDGFqGTO7UNOJSkSJyQwVuEb2-yhWQit7lw/edit?gid=1656401641#gid=1656401641"", address(row($D70),column($D70),,,""FOSS LAB-N""))"),5)</f>
        <v>5</v>
      </c>
      <c r="O72" s="8">
        <f t="shared" ca="1" si="7"/>
        <v>14.285714285714285</v>
      </c>
      <c r="P72" s="5">
        <f ca="1">IFERROR(__xludf.DUMMYFUNCTION("IMPORTRANGE(""https://docs.google.com/spreadsheets/d/1rOGZhKHVnDGFqGTO7UNOJSkSJyQwVuEb2-yhWQit7lw/edit?gid=1022834346#gid=1022834346"", address(row($D70),column($D70),,,""PP-N""))"),9)</f>
        <v>9</v>
      </c>
      <c r="Q72" s="8">
        <f t="shared" ca="1" si="8"/>
        <v>27.27272727272727</v>
      </c>
      <c r="R72" s="5">
        <f ca="1">IFERROR(__xludf.DUMMYFUNCTION("IMPORTRANGE(""https://docs.google.com/spreadsheets/d/1rOGZhKHVnDGFqGTO7UNOJSkSJyQwVuEb2-yhWQit7lw/edit?gid=449441702#gid=449441702"", address(row($D70),column($D70),,,""NPTEL-N""))"),4)</f>
        <v>4</v>
      </c>
      <c r="S72" s="5">
        <f t="shared" ca="1" si="9"/>
        <v>14.285714285714285</v>
      </c>
      <c r="T72" s="6">
        <f ca="1">IFERROR(__xludf.DUMMYFUNCTION("IMPORTRANGE(""https://docs.google.com/spreadsheets/d/1rOGZhKHVnDGFqGTO7UNOJSkSJyQwVuEb2-yhWQit7lw/edit?gid=77662277#gid=77662277"", address(row($D70),column($D70),,,""CRT-N""))"),0)</f>
        <v>0</v>
      </c>
      <c r="U72" s="8">
        <f t="shared" ca="1" si="10"/>
        <v>0</v>
      </c>
      <c r="V72" s="6">
        <f t="shared" ca="1" si="0"/>
        <v>72</v>
      </c>
      <c r="W72" s="4">
        <f t="shared" ca="1" si="11"/>
        <v>17</v>
      </c>
      <c r="X72" s="4">
        <v>300</v>
      </c>
      <c r="Y72" s="4">
        <v>0</v>
      </c>
      <c r="Z72" s="4">
        <f t="shared" ca="1" si="1"/>
        <v>372</v>
      </c>
      <c r="AA72" s="10">
        <f t="shared" ca="1" si="12"/>
        <v>90</v>
      </c>
    </row>
    <row r="73" spans="1:27" ht="15.05" customHeight="1" x14ac:dyDescent="0.3">
      <c r="A73" s="8">
        <v>68</v>
      </c>
      <c r="B73" s="9" t="s">
        <v>308</v>
      </c>
      <c r="C73" s="9"/>
      <c r="D73" s="5">
        <f ca="1">IFERROR(__xludf.DUMMYFUNCTION("IMPORTRANGE(""https://docs.google.com/spreadsheets/d/1rOGZhKHVnDGFqGTO7UNOJSkSJyQwVuEb2-yhWQit7lw/edit?gid=1117406455#gid=1117406455"", address(row($D71),column($D71),,,""DM&amp;GT-N""))"),6)</f>
        <v>6</v>
      </c>
      <c r="E73" s="8">
        <f t="shared" ca="1" si="2"/>
        <v>15.384615384615385</v>
      </c>
      <c r="F73" s="5">
        <f ca="1">IFERROR(__xludf.DUMMYFUNCTION("IMPORTRANGE(""https://docs.google.com/spreadsheets/d/1rOGZhKHVnDGFqGTO7UNOJSkSJyQwVuEb2-yhWQit7lw/edit?gid=1808040716#gid=1808040716"", address(row($D71),column($D71),,,""UHV-N""))"),6)</f>
        <v>6</v>
      </c>
      <c r="G73" s="8">
        <f t="shared" ca="1" si="3"/>
        <v>17.142857142857142</v>
      </c>
      <c r="H73" s="5">
        <f ca="1">IFERROR(__xludf.DUMMYFUNCTION("IMPORTRANGE(""https://docs.google.com/spreadsheets/d/1rOGZhKHVnDGFqGTO7UNOJSkSJyQwVuEb2-yhWQit7lw/edit?gid=1058014760#gid=1058014760"", address(row($D71),column($D71),,,""DL&amp;CO-N""))"),6)</f>
        <v>6</v>
      </c>
      <c r="I73" s="8">
        <f t="shared" ca="1" si="4"/>
        <v>15.384615384615385</v>
      </c>
      <c r="J73" s="5">
        <f ca="1">IFERROR(__xludf.DUMMYFUNCTION("IMPORTRANGE(""https://docs.google.com/spreadsheets/d/1rOGZhKHVnDGFqGTO7UNOJSkSJyQwVuEb2-yhWQit7lw/edit?gid=2007015697#gid=2007015697"", address(row($D71),column($D71),,,""ADSA-N""))"),14)</f>
        <v>14</v>
      </c>
      <c r="K73" s="8">
        <f t="shared" ca="1" si="5"/>
        <v>21.212121212121211</v>
      </c>
      <c r="L73" s="5">
        <f ca="1">IFERROR(__xludf.DUMMYFUNCTION("IMPORTRANGE(""https://docs.google.com/spreadsheets/d/1rOGZhKHVnDGFqGTO7UNOJSkSJyQwVuEb2-yhWQit7lw/edit?gid=1926669029#gid=1926669029"", address(row($D71),column($D71),,,""JAVA-N""))"),15)</f>
        <v>15</v>
      </c>
      <c r="M73" s="8">
        <f t="shared" ca="1" si="6"/>
        <v>22.058823529411764</v>
      </c>
      <c r="N73" s="5">
        <f ca="1">IFERROR(__xludf.DUMMYFUNCTION("IMPORTRANGE(""https://docs.google.com/spreadsheets/d/1rOGZhKHVnDGFqGTO7UNOJSkSJyQwVuEb2-yhWQit7lw/edit?gid=1656401641#gid=1656401641"", address(row($D71),column($D71),,,""FOSS LAB-N""))"),6)</f>
        <v>6</v>
      </c>
      <c r="O73" s="8">
        <f t="shared" ca="1" si="7"/>
        <v>17.142857142857142</v>
      </c>
      <c r="P73" s="5">
        <f ca="1">IFERROR(__xludf.DUMMYFUNCTION("IMPORTRANGE(""https://docs.google.com/spreadsheets/d/1rOGZhKHVnDGFqGTO7UNOJSkSJyQwVuEb2-yhWQit7lw/edit?gid=1022834346#gid=1022834346"", address(row($D71),column($D71),,,""PP-N""))"),5)</f>
        <v>5</v>
      </c>
      <c r="Q73" s="8">
        <f t="shared" ca="1" si="8"/>
        <v>15.151515151515152</v>
      </c>
      <c r="R73" s="5">
        <f ca="1">IFERROR(__xludf.DUMMYFUNCTION("IMPORTRANGE(""https://docs.google.com/spreadsheets/d/1rOGZhKHVnDGFqGTO7UNOJSkSJyQwVuEb2-yhWQit7lw/edit?gid=449441702#gid=449441702"", address(row($D71),column($D71),,,""NPTEL-N""))"),4)</f>
        <v>4</v>
      </c>
      <c r="S73" s="5">
        <f t="shared" ca="1" si="9"/>
        <v>14.285714285714285</v>
      </c>
      <c r="T73" s="6">
        <f ca="1">IFERROR(__xludf.DUMMYFUNCTION("IMPORTRANGE(""https://docs.google.com/spreadsheets/d/1rOGZhKHVnDGFqGTO7UNOJSkSJyQwVuEb2-yhWQit7lw/edit?gid=77662277#gid=77662277"", address(row($D71),column($D71),,,""CRT-N""))"),0)</f>
        <v>0</v>
      </c>
      <c r="U73" s="8">
        <f t="shared" ca="1" si="10"/>
        <v>0</v>
      </c>
      <c r="V73" s="6">
        <f t="shared" ca="1" si="0"/>
        <v>62</v>
      </c>
      <c r="W73" s="4">
        <f t="shared" ca="1" si="11"/>
        <v>15</v>
      </c>
      <c r="X73" s="4">
        <v>300</v>
      </c>
      <c r="Y73" s="4">
        <v>0</v>
      </c>
      <c r="Z73" s="4">
        <f t="shared" ca="1" si="1"/>
        <v>362</v>
      </c>
      <c r="AA73" s="10">
        <f t="shared" ca="1" si="12"/>
        <v>88</v>
      </c>
    </row>
    <row r="74" spans="1:27" ht="15.05" customHeight="1" x14ac:dyDescent="0.3">
      <c r="A74" s="8">
        <v>69</v>
      </c>
      <c r="B74" s="9" t="s">
        <v>309</v>
      </c>
      <c r="C74" s="9"/>
      <c r="D74" s="5">
        <f ca="1">IFERROR(__xludf.DUMMYFUNCTION("IMPORTRANGE(""https://docs.google.com/spreadsheets/d/1rOGZhKHVnDGFqGTO7UNOJSkSJyQwVuEb2-yhWQit7lw/edit?gid=1117406455#gid=1117406455"", address(row($D72),column($D72),,,""DM&amp;GT-N""))"),8)</f>
        <v>8</v>
      </c>
      <c r="E74" s="8">
        <f t="shared" ca="1" si="2"/>
        <v>20.512820512820511</v>
      </c>
      <c r="F74" s="5">
        <f ca="1">IFERROR(__xludf.DUMMYFUNCTION("IMPORTRANGE(""https://docs.google.com/spreadsheets/d/1rOGZhKHVnDGFqGTO7UNOJSkSJyQwVuEb2-yhWQit7lw/edit?gid=1808040716#gid=1808040716"", address(row($D72),column($D72),,,""UHV-N""))"),8)</f>
        <v>8</v>
      </c>
      <c r="G74" s="8">
        <f t="shared" ca="1" si="3"/>
        <v>22.857142857142858</v>
      </c>
      <c r="H74" s="5">
        <f ca="1">IFERROR(__xludf.DUMMYFUNCTION("IMPORTRANGE(""https://docs.google.com/spreadsheets/d/1rOGZhKHVnDGFqGTO7UNOJSkSJyQwVuEb2-yhWQit7lw/edit?gid=1058014760#gid=1058014760"", address(row($D72),column($D72),,,""DL&amp;CO-N""))"),7)</f>
        <v>7</v>
      </c>
      <c r="I74" s="8">
        <f t="shared" ca="1" si="4"/>
        <v>17.948717948717949</v>
      </c>
      <c r="J74" s="5">
        <f ca="1">IFERROR(__xludf.DUMMYFUNCTION("IMPORTRANGE(""https://docs.google.com/spreadsheets/d/1rOGZhKHVnDGFqGTO7UNOJSkSJyQwVuEb2-yhWQit7lw/edit?gid=2007015697#gid=2007015697"", address(row($D72),column($D72),,,""ADSA-N""))"),16)</f>
        <v>16</v>
      </c>
      <c r="K74" s="8">
        <f t="shared" ca="1" si="5"/>
        <v>24.242424242424242</v>
      </c>
      <c r="L74" s="5">
        <f ca="1">IFERROR(__xludf.DUMMYFUNCTION("IMPORTRANGE(""https://docs.google.com/spreadsheets/d/1rOGZhKHVnDGFqGTO7UNOJSkSJyQwVuEb2-yhWQit7lw/edit?gid=1926669029#gid=1926669029"", address(row($D72),column($D72),,,""JAVA-N""))"),17)</f>
        <v>17</v>
      </c>
      <c r="M74" s="8">
        <f t="shared" ca="1" si="6"/>
        <v>25</v>
      </c>
      <c r="N74" s="5">
        <f ca="1">IFERROR(__xludf.DUMMYFUNCTION("IMPORTRANGE(""https://docs.google.com/spreadsheets/d/1rOGZhKHVnDGFqGTO7UNOJSkSJyQwVuEb2-yhWQit7lw/edit?gid=1656401641#gid=1656401641"", address(row($D72),column($D72),,,""FOSS LAB-N""))"),8)</f>
        <v>8</v>
      </c>
      <c r="O74" s="8">
        <f t="shared" ca="1" si="7"/>
        <v>22.857142857142858</v>
      </c>
      <c r="P74" s="5">
        <f ca="1">IFERROR(__xludf.DUMMYFUNCTION("IMPORTRANGE(""https://docs.google.com/spreadsheets/d/1rOGZhKHVnDGFqGTO7UNOJSkSJyQwVuEb2-yhWQit7lw/edit?gid=1022834346#gid=1022834346"", address(row($D72),column($D72),,,""PP-N""))"),9)</f>
        <v>9</v>
      </c>
      <c r="Q74" s="8">
        <f t="shared" ca="1" si="8"/>
        <v>27.27272727272727</v>
      </c>
      <c r="R74" s="5">
        <f ca="1">IFERROR(__xludf.DUMMYFUNCTION("IMPORTRANGE(""https://docs.google.com/spreadsheets/d/1rOGZhKHVnDGFqGTO7UNOJSkSJyQwVuEb2-yhWQit7lw/edit?gid=449441702#gid=449441702"", address(row($D72),column($D72),,,""NPTEL-N""))"),4)</f>
        <v>4</v>
      </c>
      <c r="S74" s="5">
        <f t="shared" ca="1" si="9"/>
        <v>14.285714285714285</v>
      </c>
      <c r="T74" s="6">
        <f ca="1">IFERROR(__xludf.DUMMYFUNCTION("IMPORTRANGE(""https://docs.google.com/spreadsheets/d/1rOGZhKHVnDGFqGTO7UNOJSkSJyQwVuEb2-yhWQit7lw/edit?gid=77662277#gid=77662277"", address(row($D72),column($D72),,,""CRT-N""))"),0)</f>
        <v>0</v>
      </c>
      <c r="U74" s="8">
        <f t="shared" ca="1" si="10"/>
        <v>0</v>
      </c>
      <c r="V74" s="6">
        <f t="shared" ca="1" si="0"/>
        <v>77</v>
      </c>
      <c r="W74" s="4">
        <f t="shared" ca="1" si="11"/>
        <v>19</v>
      </c>
      <c r="X74" s="4">
        <v>300</v>
      </c>
      <c r="Y74" s="4">
        <v>0</v>
      </c>
      <c r="Z74" s="4">
        <f t="shared" ca="1" si="1"/>
        <v>377</v>
      </c>
      <c r="AA74" s="10">
        <f t="shared" ca="1" si="12"/>
        <v>91</v>
      </c>
    </row>
    <row r="75" spans="1:27" ht="15.05" customHeight="1" x14ac:dyDescent="0.3">
      <c r="A75" s="8">
        <v>70</v>
      </c>
      <c r="B75" s="9" t="s">
        <v>310</v>
      </c>
      <c r="C75" s="9"/>
      <c r="D75" s="5">
        <f ca="1">IFERROR(__xludf.DUMMYFUNCTION("IMPORTRANGE(""https://docs.google.com/spreadsheets/d/1rOGZhKHVnDGFqGTO7UNOJSkSJyQwVuEb2-yhWQit7lw/edit?gid=1117406455#gid=1117406455"", address(row($D73),column($D73),,,""DM&amp;GT-N""))"),6)</f>
        <v>6</v>
      </c>
      <c r="E75" s="8">
        <f t="shared" ca="1" si="2"/>
        <v>15.384615384615385</v>
      </c>
      <c r="F75" s="5">
        <f ca="1">IFERROR(__xludf.DUMMYFUNCTION("IMPORTRANGE(""https://docs.google.com/spreadsheets/d/1rOGZhKHVnDGFqGTO7UNOJSkSJyQwVuEb2-yhWQit7lw/edit?gid=1808040716#gid=1808040716"", address(row($D73),column($D73),,,""UHV-N""))"),6)</f>
        <v>6</v>
      </c>
      <c r="G75" s="8">
        <f t="shared" ca="1" si="3"/>
        <v>17.142857142857142</v>
      </c>
      <c r="H75" s="5">
        <f ca="1">IFERROR(__xludf.DUMMYFUNCTION("IMPORTRANGE(""https://docs.google.com/spreadsheets/d/1rOGZhKHVnDGFqGTO7UNOJSkSJyQwVuEb2-yhWQit7lw/edit?gid=1058014760#gid=1058014760"", address(row($D73),column($D73),,,""DL&amp;CO-N""))"),6)</f>
        <v>6</v>
      </c>
      <c r="I75" s="8">
        <f t="shared" ca="1" si="4"/>
        <v>15.384615384615385</v>
      </c>
      <c r="J75" s="5">
        <f ca="1">IFERROR(__xludf.DUMMYFUNCTION("IMPORTRANGE(""https://docs.google.com/spreadsheets/d/1rOGZhKHVnDGFqGTO7UNOJSkSJyQwVuEb2-yhWQit7lw/edit?gid=2007015697#gid=2007015697"", address(row($D73),column($D73),,,""ADSA-N""))"),12)</f>
        <v>12</v>
      </c>
      <c r="K75" s="8">
        <f t="shared" ca="1" si="5"/>
        <v>18.181818181818183</v>
      </c>
      <c r="L75" s="5">
        <f ca="1">IFERROR(__xludf.DUMMYFUNCTION("IMPORTRANGE(""https://docs.google.com/spreadsheets/d/1rOGZhKHVnDGFqGTO7UNOJSkSJyQwVuEb2-yhWQit7lw/edit?gid=1926669029#gid=1926669029"", address(row($D73),column($D73),,,""JAVA-N""))"),17)</f>
        <v>17</v>
      </c>
      <c r="M75" s="8">
        <f t="shared" ca="1" si="6"/>
        <v>25</v>
      </c>
      <c r="N75" s="5">
        <f ca="1">IFERROR(__xludf.DUMMYFUNCTION("IMPORTRANGE(""https://docs.google.com/spreadsheets/d/1rOGZhKHVnDGFqGTO7UNOJSkSJyQwVuEb2-yhWQit7lw/edit?gid=1656401641#gid=1656401641"", address(row($D73),column($D73),,,""FOSS LAB-N""))"),5)</f>
        <v>5</v>
      </c>
      <c r="O75" s="8">
        <f t="shared" ca="1" si="7"/>
        <v>14.285714285714285</v>
      </c>
      <c r="P75" s="5">
        <f ca="1">IFERROR(__xludf.DUMMYFUNCTION("IMPORTRANGE(""https://docs.google.com/spreadsheets/d/1rOGZhKHVnDGFqGTO7UNOJSkSJyQwVuEb2-yhWQit7lw/edit?gid=1022834346#gid=1022834346"", address(row($D73),column($D73),,,""PP-N""))"),9)</f>
        <v>9</v>
      </c>
      <c r="Q75" s="8">
        <f t="shared" ca="1" si="8"/>
        <v>27.27272727272727</v>
      </c>
      <c r="R75" s="5">
        <f ca="1">IFERROR(__xludf.DUMMYFUNCTION("IMPORTRANGE(""https://docs.google.com/spreadsheets/d/1rOGZhKHVnDGFqGTO7UNOJSkSJyQwVuEb2-yhWQit7lw/edit?gid=449441702#gid=449441702"", address(row($D73),column($D73),,,""NPTEL-N""))"),4)</f>
        <v>4</v>
      </c>
      <c r="S75" s="5">
        <f t="shared" ca="1" si="9"/>
        <v>14.285714285714285</v>
      </c>
      <c r="T75" s="6">
        <f ca="1">IFERROR(__xludf.DUMMYFUNCTION("IMPORTRANGE(""https://docs.google.com/spreadsheets/d/1rOGZhKHVnDGFqGTO7UNOJSkSJyQwVuEb2-yhWQit7lw/edit?gid=77662277#gid=77662277"", address(row($D73),column($D73),,,""CRT-N""))"),0)</f>
        <v>0</v>
      </c>
      <c r="U75" s="8">
        <f t="shared" ca="1" si="10"/>
        <v>0</v>
      </c>
      <c r="V75" s="6">
        <f t="shared" ca="1" si="0"/>
        <v>65</v>
      </c>
      <c r="W75" s="4">
        <f t="shared" ca="1" si="11"/>
        <v>16</v>
      </c>
      <c r="X75" s="4">
        <v>300</v>
      </c>
      <c r="Y75" s="4">
        <v>0</v>
      </c>
      <c r="Z75" s="4">
        <f t="shared" ca="1" si="1"/>
        <v>365</v>
      </c>
      <c r="AA75" s="10">
        <f t="shared" ca="1" si="12"/>
        <v>88</v>
      </c>
    </row>
    <row r="76" spans="1:27" ht="15.05" customHeight="1" x14ac:dyDescent="0.3">
      <c r="A76" s="8">
        <v>71</v>
      </c>
      <c r="B76" s="9" t="s">
        <v>311</v>
      </c>
      <c r="C76" s="9"/>
      <c r="D76" s="5">
        <f ca="1">IFERROR(__xludf.DUMMYFUNCTION("IMPORTRANGE(""https://docs.google.com/spreadsheets/d/1rOGZhKHVnDGFqGTO7UNOJSkSJyQwVuEb2-yhWQit7lw/edit?gid=1117406455#gid=1117406455"", address(row($D74),column($D74),,,""DM&amp;GT-N""))"),9)</f>
        <v>9</v>
      </c>
      <c r="E76" s="8">
        <f t="shared" ca="1" si="2"/>
        <v>23.076923076923077</v>
      </c>
      <c r="F76" s="5">
        <f ca="1">IFERROR(__xludf.DUMMYFUNCTION("IMPORTRANGE(""https://docs.google.com/spreadsheets/d/1rOGZhKHVnDGFqGTO7UNOJSkSJyQwVuEb2-yhWQit7lw/edit?gid=1808040716#gid=1808040716"", address(row($D74),column($D74),,,""UHV-N""))"),8)</f>
        <v>8</v>
      </c>
      <c r="G76" s="8">
        <f t="shared" ca="1" si="3"/>
        <v>22.857142857142858</v>
      </c>
      <c r="H76" s="5">
        <f ca="1">IFERROR(__xludf.DUMMYFUNCTION("IMPORTRANGE(""https://docs.google.com/spreadsheets/d/1rOGZhKHVnDGFqGTO7UNOJSkSJyQwVuEb2-yhWQit7lw/edit?gid=1058014760#gid=1058014760"", address(row($D74),column($D74),,,""DL&amp;CO-N""))"),8)</f>
        <v>8</v>
      </c>
      <c r="I76" s="8">
        <f t="shared" ca="1" si="4"/>
        <v>20.512820512820511</v>
      </c>
      <c r="J76" s="5">
        <f ca="1">IFERROR(__xludf.DUMMYFUNCTION("IMPORTRANGE(""https://docs.google.com/spreadsheets/d/1rOGZhKHVnDGFqGTO7UNOJSkSJyQwVuEb2-yhWQit7lw/edit?gid=2007015697#gid=2007015697"", address(row($D74),column($D74),,,""ADSA-N""))"),16)</f>
        <v>16</v>
      </c>
      <c r="K76" s="8">
        <f t="shared" ca="1" si="5"/>
        <v>24.242424242424242</v>
      </c>
      <c r="L76" s="5">
        <f ca="1">IFERROR(__xludf.DUMMYFUNCTION("IMPORTRANGE(""https://docs.google.com/spreadsheets/d/1rOGZhKHVnDGFqGTO7UNOJSkSJyQwVuEb2-yhWQit7lw/edit?gid=1926669029#gid=1926669029"", address(row($D74),column($D74),,,""JAVA-N""))"),17)</f>
        <v>17</v>
      </c>
      <c r="M76" s="8">
        <f t="shared" ca="1" si="6"/>
        <v>25</v>
      </c>
      <c r="N76" s="5">
        <f ca="1">IFERROR(__xludf.DUMMYFUNCTION("IMPORTRANGE(""https://docs.google.com/spreadsheets/d/1rOGZhKHVnDGFqGTO7UNOJSkSJyQwVuEb2-yhWQit7lw/edit?gid=1656401641#gid=1656401641"", address(row($D74),column($D74),,,""FOSS LAB-N""))"),8)</f>
        <v>8</v>
      </c>
      <c r="O76" s="8">
        <f t="shared" ca="1" si="7"/>
        <v>22.857142857142858</v>
      </c>
      <c r="P76" s="5">
        <f ca="1">IFERROR(__xludf.DUMMYFUNCTION("IMPORTRANGE(""https://docs.google.com/spreadsheets/d/1rOGZhKHVnDGFqGTO7UNOJSkSJyQwVuEb2-yhWQit7lw/edit?gid=1022834346#gid=1022834346"", address(row($D74),column($D74),,,""PP-N""))"),9)</f>
        <v>9</v>
      </c>
      <c r="Q76" s="8">
        <f t="shared" ca="1" si="8"/>
        <v>27.27272727272727</v>
      </c>
      <c r="R76" s="5">
        <f ca="1">IFERROR(__xludf.DUMMYFUNCTION("IMPORTRANGE(""https://docs.google.com/spreadsheets/d/1rOGZhKHVnDGFqGTO7UNOJSkSJyQwVuEb2-yhWQit7lw/edit?gid=449441702#gid=449441702"", address(row($D74),column($D74),,,""NPTEL-N""))"),4)</f>
        <v>4</v>
      </c>
      <c r="S76" s="5">
        <f t="shared" ca="1" si="9"/>
        <v>14.285714285714285</v>
      </c>
      <c r="T76" s="6">
        <f ca="1">IFERROR(__xludf.DUMMYFUNCTION("IMPORTRANGE(""https://docs.google.com/spreadsheets/d/1rOGZhKHVnDGFqGTO7UNOJSkSJyQwVuEb2-yhWQit7lw/edit?gid=77662277#gid=77662277"", address(row($D74),column($D74),,,""CRT-N""))"),0)</f>
        <v>0</v>
      </c>
      <c r="U76" s="8">
        <f t="shared" ca="1" si="10"/>
        <v>0</v>
      </c>
      <c r="V76" s="6">
        <f t="shared" ca="1" si="0"/>
        <v>79</v>
      </c>
      <c r="W76" s="4">
        <f t="shared" ca="1" si="11"/>
        <v>19</v>
      </c>
      <c r="X76" s="4">
        <v>300</v>
      </c>
      <c r="Y76" s="4">
        <v>0</v>
      </c>
      <c r="Z76" s="4">
        <f t="shared" ca="1" si="1"/>
        <v>379</v>
      </c>
      <c r="AA76" s="10">
        <f t="shared" ca="1" si="12"/>
        <v>92</v>
      </c>
    </row>
    <row r="77" spans="1:27" ht="15.05" customHeight="1" x14ac:dyDescent="0.3">
      <c r="A77" s="8">
        <v>72</v>
      </c>
      <c r="B77" s="9" t="s">
        <v>312</v>
      </c>
      <c r="C77" s="9"/>
      <c r="D77" s="5">
        <f ca="1">IFERROR(__xludf.DUMMYFUNCTION("IMPORTRANGE(""https://docs.google.com/spreadsheets/d/1rOGZhKHVnDGFqGTO7UNOJSkSJyQwVuEb2-yhWQit7lw/edit?gid=1117406455#gid=1117406455"", address(row($D75),column($D75),,,""DM&amp;GT-N""))"),8)</f>
        <v>8</v>
      </c>
      <c r="E77" s="8">
        <f t="shared" ca="1" si="2"/>
        <v>20.512820512820511</v>
      </c>
      <c r="F77" s="5">
        <f ca="1">IFERROR(__xludf.DUMMYFUNCTION("IMPORTRANGE(""https://docs.google.com/spreadsheets/d/1rOGZhKHVnDGFqGTO7UNOJSkSJyQwVuEb2-yhWQit7lw/edit?gid=1808040716#gid=1808040716"", address(row($D75),column($D75),,,""UHV-N""))"),4)</f>
        <v>4</v>
      </c>
      <c r="G77" s="8">
        <f t="shared" ca="1" si="3"/>
        <v>11.428571428571429</v>
      </c>
      <c r="H77" s="5">
        <f ca="1">IFERROR(__xludf.DUMMYFUNCTION("IMPORTRANGE(""https://docs.google.com/spreadsheets/d/1rOGZhKHVnDGFqGTO7UNOJSkSJyQwVuEb2-yhWQit7lw/edit?gid=1058014760#gid=1058014760"", address(row($D75),column($D75),,,""DL&amp;CO-N""))"),7)</f>
        <v>7</v>
      </c>
      <c r="I77" s="8">
        <f t="shared" ca="1" si="4"/>
        <v>17.948717948717949</v>
      </c>
      <c r="J77" s="5">
        <f ca="1">IFERROR(__xludf.DUMMYFUNCTION("IMPORTRANGE(""https://docs.google.com/spreadsheets/d/1rOGZhKHVnDGFqGTO7UNOJSkSJyQwVuEb2-yhWQit7lw/edit?gid=2007015697#gid=2007015697"", address(row($D75),column($D75),,,""ADSA-N""))"),14)</f>
        <v>14</v>
      </c>
      <c r="K77" s="8">
        <f t="shared" ca="1" si="5"/>
        <v>21.212121212121211</v>
      </c>
      <c r="L77" s="5">
        <f ca="1">IFERROR(__xludf.DUMMYFUNCTION("IMPORTRANGE(""https://docs.google.com/spreadsheets/d/1rOGZhKHVnDGFqGTO7UNOJSkSJyQwVuEb2-yhWQit7lw/edit?gid=1926669029#gid=1926669029"", address(row($D75),column($D75),,,""JAVA-N""))"),17)</f>
        <v>17</v>
      </c>
      <c r="M77" s="8">
        <f t="shared" ca="1" si="6"/>
        <v>25</v>
      </c>
      <c r="N77" s="5">
        <f ca="1">IFERROR(__xludf.DUMMYFUNCTION("IMPORTRANGE(""https://docs.google.com/spreadsheets/d/1rOGZhKHVnDGFqGTO7UNOJSkSJyQwVuEb2-yhWQit7lw/edit?gid=1656401641#gid=1656401641"", address(row($D75),column($D75),,,""FOSS LAB-N""))"),8)</f>
        <v>8</v>
      </c>
      <c r="O77" s="8">
        <f t="shared" ca="1" si="7"/>
        <v>22.857142857142858</v>
      </c>
      <c r="P77" s="5">
        <f ca="1">IFERROR(__xludf.DUMMYFUNCTION("IMPORTRANGE(""https://docs.google.com/spreadsheets/d/1rOGZhKHVnDGFqGTO7UNOJSkSJyQwVuEb2-yhWQit7lw/edit?gid=1022834346#gid=1022834346"", address(row($D75),column($D75),,,""PP-N""))"),9)</f>
        <v>9</v>
      </c>
      <c r="Q77" s="8">
        <f t="shared" ca="1" si="8"/>
        <v>27.27272727272727</v>
      </c>
      <c r="R77" s="5">
        <f ca="1">IFERROR(__xludf.DUMMYFUNCTION("IMPORTRANGE(""https://docs.google.com/spreadsheets/d/1rOGZhKHVnDGFqGTO7UNOJSkSJyQwVuEb2-yhWQit7lw/edit?gid=449441702#gid=449441702"", address(row($D75),column($D75),,,""NPTEL-N""))"),4)</f>
        <v>4</v>
      </c>
      <c r="S77" s="5">
        <f t="shared" ca="1" si="9"/>
        <v>14.285714285714285</v>
      </c>
      <c r="T77" s="6">
        <f ca="1">IFERROR(__xludf.DUMMYFUNCTION("IMPORTRANGE(""https://docs.google.com/spreadsheets/d/1rOGZhKHVnDGFqGTO7UNOJSkSJyQwVuEb2-yhWQit7lw/edit?gid=77662277#gid=77662277"", address(row($D75),column($D75),,,""CRT-N""))"),0)</f>
        <v>0</v>
      </c>
      <c r="U77" s="8">
        <f t="shared" ca="1" si="10"/>
        <v>0</v>
      </c>
      <c r="V77" s="6">
        <f t="shared" ca="1" si="0"/>
        <v>71</v>
      </c>
      <c r="W77" s="4">
        <f t="shared" ca="1" si="11"/>
        <v>17</v>
      </c>
      <c r="X77" s="4">
        <v>300</v>
      </c>
      <c r="Y77" s="4">
        <v>0</v>
      </c>
      <c r="Z77" s="4">
        <f t="shared" ca="1" si="1"/>
        <v>371</v>
      </c>
      <c r="AA77" s="10">
        <f t="shared" ca="1" si="12"/>
        <v>90</v>
      </c>
    </row>
    <row r="78" spans="1:27" ht="15.85" customHeight="1" x14ac:dyDescent="0.3">
      <c r="Y78" s="12"/>
      <c r="Z78" s="12"/>
      <c r="AA78" s="12"/>
    </row>
    <row r="79" spans="1:27" ht="15.85" customHeight="1" x14ac:dyDescent="0.3">
      <c r="B79" s="26" t="s">
        <v>313</v>
      </c>
      <c r="C79" s="24"/>
      <c r="Y79" s="12"/>
      <c r="Z79" s="12"/>
      <c r="AA79" s="12"/>
    </row>
    <row r="80" spans="1:27" ht="15.85" customHeight="1" x14ac:dyDescent="0.3">
      <c r="B80" s="13" t="s">
        <v>170</v>
      </c>
      <c r="C80" s="14">
        <f ca="1">COUNTIF(AA6:AA77,"&gt;=75")</f>
        <v>29</v>
      </c>
      <c r="Y80" s="12"/>
      <c r="Z80" s="12"/>
      <c r="AA80" s="12"/>
    </row>
    <row r="81" spans="2:27" ht="15.85" customHeight="1" x14ac:dyDescent="0.3">
      <c r="B81" s="13" t="s">
        <v>171</v>
      </c>
      <c r="C81" s="14">
        <f ca="1">COUNTIFS(AA6:AA77,"&gt;=65",AA6:AA77,"&lt;75")</f>
        <v>14</v>
      </c>
      <c r="Y81" s="12"/>
      <c r="Z81" s="12"/>
      <c r="AA81" s="12"/>
    </row>
    <row r="82" spans="2:27" ht="15.85" customHeight="1" x14ac:dyDescent="0.3">
      <c r="B82" s="13" t="s">
        <v>172</v>
      </c>
      <c r="C82" s="14">
        <f ca="1">COUNTIFS(AA6:AA77,"&gt;=50",AA6:AA77,"&lt;65")</f>
        <v>20</v>
      </c>
      <c r="Y82" s="12"/>
      <c r="Z82" s="12"/>
      <c r="AA82" s="12"/>
    </row>
    <row r="83" spans="2:27" ht="15.85" customHeight="1" x14ac:dyDescent="0.3">
      <c r="B83" s="13" t="s">
        <v>173</v>
      </c>
      <c r="C83" s="14">
        <f ca="1">COUNTIFS(AA6:AA77,"&gt;=25",AA6:AA77,"&lt;50")</f>
        <v>8</v>
      </c>
      <c r="Y83" s="12"/>
      <c r="Z83" s="12"/>
      <c r="AA83" s="12"/>
    </row>
    <row r="84" spans="2:27" ht="15.85" customHeight="1" x14ac:dyDescent="0.3">
      <c r="B84" s="13" t="s">
        <v>174</v>
      </c>
      <c r="C84" s="14">
        <f ca="1">COUNTIFS(AA6:AA77,"&gt;=1",AA6:AA77,"&lt;25")</f>
        <v>1</v>
      </c>
      <c r="Y84" s="12"/>
      <c r="Z84" s="12"/>
      <c r="AA84" s="12"/>
    </row>
    <row r="85" spans="2:27" ht="15.85" customHeight="1" x14ac:dyDescent="0.3">
      <c r="B85" s="13">
        <f>0</f>
        <v>0</v>
      </c>
      <c r="C85" s="15">
        <f ca="1">COUNTIFS(AA6:AA77,"=0")</f>
        <v>0</v>
      </c>
      <c r="Y85" s="12"/>
      <c r="Z85" s="12"/>
      <c r="AA85" s="12"/>
    </row>
    <row r="86" spans="2:27" ht="15.85" customHeight="1" x14ac:dyDescent="0.3">
      <c r="B86" s="16"/>
      <c r="C86" s="16">
        <f ca="1">SUM(C80:C85)</f>
        <v>72</v>
      </c>
      <c r="Y86" s="12"/>
      <c r="Z86" s="12"/>
      <c r="AA86" s="12"/>
    </row>
    <row r="87" spans="2:27" ht="15.85" customHeight="1" x14ac:dyDescent="0.3">
      <c r="Y87" s="12"/>
      <c r="Z87" s="12"/>
      <c r="AA87" s="12"/>
    </row>
    <row r="88" spans="2:27" ht="15.85" customHeight="1" x14ac:dyDescent="0.3">
      <c r="Y88" s="12"/>
      <c r="Z88" s="12"/>
      <c r="AA88" s="12"/>
    </row>
    <row r="89" spans="2:27" ht="15.85" customHeight="1" x14ac:dyDescent="0.3">
      <c r="Y89" s="12"/>
      <c r="Z89" s="12"/>
      <c r="AA89" s="12"/>
    </row>
    <row r="90" spans="2:27" ht="15.85" customHeight="1" x14ac:dyDescent="0.3">
      <c r="Y90" s="12"/>
      <c r="Z90" s="12"/>
      <c r="AA90" s="12"/>
    </row>
    <row r="91" spans="2:27" ht="15.85" customHeight="1" x14ac:dyDescent="0.3">
      <c r="Y91" s="12"/>
      <c r="Z91" s="12"/>
      <c r="AA91" s="12"/>
    </row>
    <row r="92" spans="2:27" ht="15.85" customHeight="1" x14ac:dyDescent="0.3">
      <c r="Y92" s="12"/>
      <c r="Z92" s="12"/>
      <c r="AA92" s="12"/>
    </row>
    <row r="93" spans="2:27" ht="15.85" customHeight="1" x14ac:dyDescent="0.3">
      <c r="Y93" s="12"/>
      <c r="Z93" s="12"/>
      <c r="AA93" s="12"/>
    </row>
    <row r="94" spans="2:27" ht="15.85" customHeight="1" x14ac:dyDescent="0.3">
      <c r="Y94" s="12"/>
      <c r="Z94" s="12"/>
      <c r="AA94" s="12"/>
    </row>
    <row r="95" spans="2:27" ht="15.85" customHeight="1" x14ac:dyDescent="0.3">
      <c r="Y95" s="12"/>
      <c r="Z95" s="12"/>
      <c r="AA95" s="12"/>
    </row>
    <row r="96" spans="2:27" ht="15.85" customHeight="1" x14ac:dyDescent="0.3">
      <c r="Y96" s="12"/>
      <c r="Z96" s="12"/>
      <c r="AA96" s="12"/>
    </row>
    <row r="97" spans="25:27" ht="15.85" customHeight="1" x14ac:dyDescent="0.3">
      <c r="Y97" s="12"/>
      <c r="Z97" s="12"/>
      <c r="AA97" s="12"/>
    </row>
    <row r="98" spans="25:27" ht="15.85" customHeight="1" x14ac:dyDescent="0.3">
      <c r="Y98" s="12"/>
      <c r="Z98" s="12"/>
      <c r="AA98" s="12"/>
    </row>
    <row r="99" spans="25:27" ht="15.85" customHeight="1" x14ac:dyDescent="0.3">
      <c r="Y99" s="12"/>
      <c r="Z99" s="12"/>
      <c r="AA99" s="12"/>
    </row>
    <row r="100" spans="25:27" ht="15.85" customHeight="1" x14ac:dyDescent="0.3">
      <c r="Y100" s="12"/>
      <c r="Z100" s="12"/>
      <c r="AA100" s="12"/>
    </row>
    <row r="101" spans="25:27" ht="15.85" customHeight="1" x14ac:dyDescent="0.3">
      <c r="Y101" s="12"/>
      <c r="Z101" s="12"/>
      <c r="AA101" s="12"/>
    </row>
    <row r="102" spans="25:27" ht="15.85" customHeight="1" x14ac:dyDescent="0.3">
      <c r="Y102" s="12"/>
      <c r="Z102" s="12"/>
      <c r="AA102" s="12"/>
    </row>
    <row r="103" spans="25:27" ht="15.85" customHeight="1" x14ac:dyDescent="0.3">
      <c r="Y103" s="12"/>
      <c r="Z103" s="12"/>
      <c r="AA103" s="12"/>
    </row>
    <row r="104" spans="25:27" ht="15.85" customHeight="1" x14ac:dyDescent="0.3">
      <c r="Y104" s="12"/>
      <c r="Z104" s="12"/>
      <c r="AA104" s="12"/>
    </row>
    <row r="105" spans="25:27" ht="15.85" customHeight="1" x14ac:dyDescent="0.3">
      <c r="Y105" s="12"/>
      <c r="Z105" s="12"/>
      <c r="AA105" s="12"/>
    </row>
    <row r="106" spans="25:27" ht="15.85" customHeight="1" x14ac:dyDescent="0.3">
      <c r="Y106" s="12"/>
      <c r="Z106" s="12"/>
      <c r="AA106" s="12"/>
    </row>
    <row r="107" spans="25:27" ht="15.85" customHeight="1" x14ac:dyDescent="0.3">
      <c r="Y107" s="12"/>
      <c r="Z107" s="12"/>
      <c r="AA107" s="12"/>
    </row>
    <row r="108" spans="25:27" ht="15.85" customHeight="1" x14ac:dyDescent="0.3">
      <c r="Y108" s="12"/>
      <c r="Z108" s="12"/>
      <c r="AA108" s="12"/>
    </row>
    <row r="109" spans="25:27" ht="15.85" customHeight="1" x14ac:dyDescent="0.3">
      <c r="Y109" s="12"/>
      <c r="Z109" s="12"/>
      <c r="AA109" s="12"/>
    </row>
    <row r="110" spans="25:27" ht="15.85" customHeight="1" x14ac:dyDescent="0.3">
      <c r="Y110" s="12"/>
      <c r="Z110" s="12"/>
      <c r="AA110" s="12"/>
    </row>
    <row r="111" spans="25:27" ht="15.85" customHeight="1" x14ac:dyDescent="0.3">
      <c r="Y111" s="12"/>
      <c r="Z111" s="12"/>
      <c r="AA111" s="12"/>
    </row>
    <row r="112" spans="25:27" ht="15.85" customHeight="1" x14ac:dyDescent="0.3">
      <c r="Y112" s="12"/>
      <c r="Z112" s="12"/>
      <c r="AA112" s="12"/>
    </row>
    <row r="113" spans="25:27" ht="15.85" customHeight="1" x14ac:dyDescent="0.3">
      <c r="Y113" s="12"/>
      <c r="Z113" s="12"/>
      <c r="AA113" s="12"/>
    </row>
    <row r="114" spans="25:27" ht="15.85" customHeight="1" x14ac:dyDescent="0.3">
      <c r="Y114" s="12"/>
      <c r="Z114" s="12"/>
      <c r="AA114" s="12"/>
    </row>
    <row r="115" spans="25:27" ht="15.85" customHeight="1" x14ac:dyDescent="0.3">
      <c r="Y115" s="12"/>
      <c r="Z115" s="12"/>
      <c r="AA115" s="12"/>
    </row>
    <row r="116" spans="25:27" ht="15.85" customHeight="1" x14ac:dyDescent="0.3">
      <c r="Y116" s="12"/>
      <c r="Z116" s="12"/>
      <c r="AA116" s="12"/>
    </row>
    <row r="117" spans="25:27" ht="15.85" customHeight="1" x14ac:dyDescent="0.3">
      <c r="Y117" s="12"/>
      <c r="Z117" s="12"/>
      <c r="AA117" s="12"/>
    </row>
    <row r="118" spans="25:27" ht="15.85" customHeight="1" x14ac:dyDescent="0.3">
      <c r="Y118" s="12"/>
      <c r="Z118" s="12"/>
      <c r="AA118" s="12"/>
    </row>
    <row r="119" spans="25:27" ht="15.85" customHeight="1" x14ac:dyDescent="0.3">
      <c r="Y119" s="12"/>
      <c r="Z119" s="12"/>
      <c r="AA119" s="12"/>
    </row>
    <row r="120" spans="25:27" ht="15.85" customHeight="1" x14ac:dyDescent="0.3">
      <c r="Y120" s="12"/>
      <c r="Z120" s="12"/>
      <c r="AA120" s="12"/>
    </row>
    <row r="121" spans="25:27" ht="15.85" customHeight="1" x14ac:dyDescent="0.3">
      <c r="Y121" s="12"/>
      <c r="Z121" s="12"/>
      <c r="AA121" s="12"/>
    </row>
    <row r="122" spans="25:27" ht="15.85" customHeight="1" x14ac:dyDescent="0.3">
      <c r="Y122" s="12"/>
      <c r="Z122" s="12"/>
      <c r="AA122" s="12"/>
    </row>
    <row r="123" spans="25:27" ht="15.85" customHeight="1" x14ac:dyDescent="0.3">
      <c r="Y123" s="12"/>
      <c r="Z123" s="12"/>
      <c r="AA123" s="12"/>
    </row>
    <row r="124" spans="25:27" ht="15.85" customHeight="1" x14ac:dyDescent="0.3">
      <c r="Y124" s="12"/>
      <c r="Z124" s="12"/>
      <c r="AA124" s="12"/>
    </row>
    <row r="125" spans="25:27" ht="15.85" customHeight="1" x14ac:dyDescent="0.3">
      <c r="Y125" s="12"/>
      <c r="Z125" s="12"/>
      <c r="AA125" s="12"/>
    </row>
    <row r="126" spans="25:27" ht="15.85" customHeight="1" x14ac:dyDescent="0.3">
      <c r="Y126" s="12"/>
      <c r="Z126" s="12"/>
      <c r="AA126" s="12"/>
    </row>
    <row r="127" spans="25:27" ht="15.85" customHeight="1" x14ac:dyDescent="0.3">
      <c r="Y127" s="12"/>
      <c r="Z127" s="12"/>
      <c r="AA127" s="12"/>
    </row>
    <row r="128" spans="25:27" ht="15.85" customHeight="1" x14ac:dyDescent="0.3">
      <c r="Y128" s="12"/>
      <c r="Z128" s="12"/>
      <c r="AA128" s="12"/>
    </row>
    <row r="129" spans="25:27" ht="15.85" customHeight="1" x14ac:dyDescent="0.3">
      <c r="Y129" s="12"/>
      <c r="Z129" s="12"/>
      <c r="AA129" s="12"/>
    </row>
    <row r="130" spans="25:27" ht="15.85" customHeight="1" x14ac:dyDescent="0.3">
      <c r="Y130" s="12"/>
      <c r="Z130" s="12"/>
      <c r="AA130" s="12"/>
    </row>
    <row r="131" spans="25:27" ht="15.85" customHeight="1" x14ac:dyDescent="0.3">
      <c r="Y131" s="12"/>
      <c r="Z131" s="12"/>
      <c r="AA131" s="12"/>
    </row>
    <row r="132" spans="25:27" ht="15.85" customHeight="1" x14ac:dyDescent="0.3">
      <c r="Y132" s="12"/>
      <c r="Z132" s="12"/>
      <c r="AA132" s="12"/>
    </row>
    <row r="133" spans="25:27" ht="15.85" customHeight="1" x14ac:dyDescent="0.3">
      <c r="Y133" s="12"/>
      <c r="Z133" s="12"/>
      <c r="AA133" s="12"/>
    </row>
    <row r="134" spans="25:27" ht="15.85" customHeight="1" x14ac:dyDescent="0.3">
      <c r="Y134" s="12"/>
      <c r="Z134" s="12"/>
      <c r="AA134" s="12"/>
    </row>
    <row r="135" spans="25:27" ht="15.85" customHeight="1" x14ac:dyDescent="0.3">
      <c r="Y135" s="12"/>
      <c r="Z135" s="12"/>
      <c r="AA135" s="12"/>
    </row>
    <row r="136" spans="25:27" ht="15.85" customHeight="1" x14ac:dyDescent="0.3">
      <c r="Y136" s="12"/>
      <c r="Z136" s="12"/>
      <c r="AA136" s="12"/>
    </row>
    <row r="137" spans="25:27" ht="15.85" customHeight="1" x14ac:dyDescent="0.3">
      <c r="Y137" s="12"/>
      <c r="Z137" s="12"/>
      <c r="AA137" s="12"/>
    </row>
    <row r="138" spans="25:27" ht="15.85" customHeight="1" x14ac:dyDescent="0.3">
      <c r="Y138" s="12"/>
      <c r="Z138" s="12"/>
      <c r="AA138" s="12"/>
    </row>
    <row r="139" spans="25:27" ht="15.85" customHeight="1" x14ac:dyDescent="0.3">
      <c r="Y139" s="12"/>
      <c r="Z139" s="12"/>
      <c r="AA139" s="12"/>
    </row>
    <row r="140" spans="25:27" ht="15.85" customHeight="1" x14ac:dyDescent="0.3">
      <c r="Y140" s="12"/>
      <c r="Z140" s="12"/>
      <c r="AA140" s="12"/>
    </row>
    <row r="141" spans="25:27" ht="15.85" customHeight="1" x14ac:dyDescent="0.3">
      <c r="Y141" s="12"/>
      <c r="Z141" s="12"/>
      <c r="AA141" s="12"/>
    </row>
    <row r="142" spans="25:27" ht="15.85" customHeight="1" x14ac:dyDescent="0.3">
      <c r="Y142" s="12"/>
      <c r="Z142" s="12"/>
      <c r="AA142" s="12"/>
    </row>
    <row r="143" spans="25:27" ht="15.85" customHeight="1" x14ac:dyDescent="0.3">
      <c r="Y143" s="12"/>
      <c r="Z143" s="12"/>
      <c r="AA143" s="12"/>
    </row>
    <row r="144" spans="25:27" ht="15.85" customHeight="1" x14ac:dyDescent="0.3">
      <c r="Y144" s="12"/>
      <c r="Z144" s="12"/>
      <c r="AA144" s="12"/>
    </row>
    <row r="145" spans="25:27" ht="15.85" customHeight="1" x14ac:dyDescent="0.3">
      <c r="Y145" s="12"/>
      <c r="Z145" s="12"/>
      <c r="AA145" s="12"/>
    </row>
    <row r="146" spans="25:27" ht="15.85" customHeight="1" x14ac:dyDescent="0.3">
      <c r="Y146" s="12"/>
      <c r="Z146" s="12"/>
      <c r="AA146" s="12"/>
    </row>
    <row r="147" spans="25:27" ht="15.85" customHeight="1" x14ac:dyDescent="0.3">
      <c r="Y147" s="12"/>
      <c r="Z147" s="12"/>
      <c r="AA147" s="12"/>
    </row>
    <row r="148" spans="25:27" ht="15.85" customHeight="1" x14ac:dyDescent="0.3">
      <c r="Y148" s="12"/>
      <c r="Z148" s="12"/>
      <c r="AA148" s="12"/>
    </row>
    <row r="149" spans="25:27" ht="15.85" customHeight="1" x14ac:dyDescent="0.3">
      <c r="Y149" s="12"/>
      <c r="Z149" s="12"/>
      <c r="AA149" s="12"/>
    </row>
    <row r="150" spans="25:27" ht="15.85" customHeight="1" x14ac:dyDescent="0.3">
      <c r="Y150" s="12"/>
      <c r="Z150" s="12"/>
      <c r="AA150" s="12"/>
    </row>
    <row r="151" spans="25:27" ht="15.85" customHeight="1" x14ac:dyDescent="0.3">
      <c r="Y151" s="12"/>
      <c r="Z151" s="12"/>
      <c r="AA151" s="12"/>
    </row>
    <row r="152" spans="25:27" ht="15.85" customHeight="1" x14ac:dyDescent="0.3">
      <c r="Y152" s="12"/>
      <c r="Z152" s="12"/>
      <c r="AA152" s="12"/>
    </row>
    <row r="153" spans="25:27" ht="15.85" customHeight="1" x14ac:dyDescent="0.3">
      <c r="Y153" s="12"/>
      <c r="Z153" s="12"/>
      <c r="AA153" s="12"/>
    </row>
    <row r="154" spans="25:27" ht="15.85" customHeight="1" x14ac:dyDescent="0.3">
      <c r="Y154" s="12"/>
      <c r="Z154" s="12"/>
      <c r="AA154" s="12"/>
    </row>
    <row r="155" spans="25:27" ht="15.85" customHeight="1" x14ac:dyDescent="0.3">
      <c r="Y155" s="12"/>
      <c r="Z155" s="12"/>
      <c r="AA155" s="12"/>
    </row>
    <row r="156" spans="25:27" ht="15.85" customHeight="1" x14ac:dyDescent="0.3">
      <c r="Y156" s="12"/>
      <c r="Z156" s="12"/>
      <c r="AA156" s="12"/>
    </row>
    <row r="157" spans="25:27" ht="15.85" customHeight="1" x14ac:dyDescent="0.3">
      <c r="Y157" s="12"/>
      <c r="Z157" s="12"/>
      <c r="AA157" s="12"/>
    </row>
    <row r="158" spans="25:27" ht="15.85" customHeight="1" x14ac:dyDescent="0.3">
      <c r="Y158" s="12"/>
      <c r="Z158" s="12"/>
      <c r="AA158" s="12"/>
    </row>
    <row r="159" spans="25:27" ht="15.85" customHeight="1" x14ac:dyDescent="0.3">
      <c r="Y159" s="12"/>
      <c r="Z159" s="12"/>
      <c r="AA159" s="12"/>
    </row>
    <row r="160" spans="25:27" ht="15.85" customHeight="1" x14ac:dyDescent="0.3">
      <c r="Y160" s="12"/>
      <c r="Z160" s="12"/>
      <c r="AA160" s="12"/>
    </row>
    <row r="161" spans="25:27" ht="15.85" customHeight="1" x14ac:dyDescent="0.3">
      <c r="Y161" s="12"/>
      <c r="Z161" s="12"/>
      <c r="AA161" s="12"/>
    </row>
    <row r="162" spans="25:27" ht="15.85" customHeight="1" x14ac:dyDescent="0.3">
      <c r="Y162" s="12"/>
      <c r="Z162" s="12"/>
      <c r="AA162" s="12"/>
    </row>
    <row r="163" spans="25:27" ht="15.85" customHeight="1" x14ac:dyDescent="0.3">
      <c r="Y163" s="12"/>
      <c r="Z163" s="12"/>
      <c r="AA163" s="12"/>
    </row>
    <row r="164" spans="25:27" ht="15.85" customHeight="1" x14ac:dyDescent="0.3">
      <c r="Y164" s="12"/>
      <c r="Z164" s="12"/>
      <c r="AA164" s="12"/>
    </row>
    <row r="165" spans="25:27" ht="15.85" customHeight="1" x14ac:dyDescent="0.3">
      <c r="Y165" s="12"/>
      <c r="Z165" s="12"/>
      <c r="AA165" s="12"/>
    </row>
    <row r="166" spans="25:27" ht="15.85" customHeight="1" x14ac:dyDescent="0.3">
      <c r="Y166" s="12"/>
      <c r="Z166" s="12"/>
      <c r="AA166" s="12"/>
    </row>
    <row r="167" spans="25:27" ht="15.85" customHeight="1" x14ac:dyDescent="0.3">
      <c r="Y167" s="12"/>
      <c r="Z167" s="12"/>
      <c r="AA167" s="12"/>
    </row>
    <row r="168" spans="25:27" ht="15.85" customHeight="1" x14ac:dyDescent="0.3">
      <c r="Y168" s="12"/>
      <c r="Z168" s="12"/>
      <c r="AA168" s="12"/>
    </row>
    <row r="169" spans="25:27" ht="15.85" customHeight="1" x14ac:dyDescent="0.3">
      <c r="Y169" s="12"/>
      <c r="Z169" s="12"/>
      <c r="AA169" s="12"/>
    </row>
    <row r="170" spans="25:27" ht="15.85" customHeight="1" x14ac:dyDescent="0.3">
      <c r="Y170" s="12"/>
      <c r="Z170" s="12"/>
      <c r="AA170" s="12"/>
    </row>
    <row r="171" spans="25:27" ht="15.85" customHeight="1" x14ac:dyDescent="0.3">
      <c r="Y171" s="12"/>
      <c r="Z171" s="12"/>
      <c r="AA171" s="12"/>
    </row>
    <row r="172" spans="25:27" ht="15.85" customHeight="1" x14ac:dyDescent="0.3">
      <c r="Y172" s="12"/>
      <c r="Z172" s="12"/>
      <c r="AA172" s="12"/>
    </row>
    <row r="173" spans="25:27" ht="15.85" customHeight="1" x14ac:dyDescent="0.3">
      <c r="Y173" s="12"/>
      <c r="Z173" s="12"/>
      <c r="AA173" s="12"/>
    </row>
    <row r="174" spans="25:27" ht="15.85" customHeight="1" x14ac:dyDescent="0.3">
      <c r="Y174" s="12"/>
      <c r="Z174" s="12"/>
      <c r="AA174" s="12"/>
    </row>
    <row r="175" spans="25:27" ht="15.85" customHeight="1" x14ac:dyDescent="0.3">
      <c r="Y175" s="12"/>
      <c r="Z175" s="12"/>
      <c r="AA175" s="12"/>
    </row>
    <row r="176" spans="25:27" ht="15.85" customHeight="1" x14ac:dyDescent="0.3">
      <c r="Y176" s="12"/>
      <c r="Z176" s="12"/>
      <c r="AA176" s="12"/>
    </row>
    <row r="177" spans="25:27" ht="15.85" customHeight="1" x14ac:dyDescent="0.3">
      <c r="Y177" s="12"/>
      <c r="Z177" s="12"/>
      <c r="AA177" s="12"/>
    </row>
    <row r="178" spans="25:27" ht="15.85" customHeight="1" x14ac:dyDescent="0.3">
      <c r="Y178" s="12"/>
      <c r="Z178" s="12"/>
      <c r="AA178" s="12"/>
    </row>
    <row r="179" spans="25:27" ht="15.85" customHeight="1" x14ac:dyDescent="0.3">
      <c r="Y179" s="12"/>
      <c r="Z179" s="12"/>
      <c r="AA179" s="12"/>
    </row>
    <row r="180" spans="25:27" ht="15.85" customHeight="1" x14ac:dyDescent="0.3">
      <c r="Y180" s="12"/>
      <c r="Z180" s="12"/>
      <c r="AA180" s="12"/>
    </row>
    <row r="181" spans="25:27" ht="15.85" customHeight="1" x14ac:dyDescent="0.3">
      <c r="Y181" s="12"/>
      <c r="Z181" s="12"/>
      <c r="AA181" s="12"/>
    </row>
    <row r="182" spans="25:27" ht="15.85" customHeight="1" x14ac:dyDescent="0.3">
      <c r="Y182" s="12"/>
      <c r="Z182" s="12"/>
      <c r="AA182" s="12"/>
    </row>
    <row r="183" spans="25:27" ht="15.85" customHeight="1" x14ac:dyDescent="0.3">
      <c r="Y183" s="12"/>
      <c r="Z183" s="12"/>
      <c r="AA183" s="12"/>
    </row>
    <row r="184" spans="25:27" ht="15.85" customHeight="1" x14ac:dyDescent="0.3">
      <c r="Y184" s="12"/>
      <c r="Z184" s="12"/>
      <c r="AA184" s="12"/>
    </row>
    <row r="185" spans="25:27" ht="15.85" customHeight="1" x14ac:dyDescent="0.3">
      <c r="Y185" s="12"/>
      <c r="Z185" s="12"/>
      <c r="AA185" s="12"/>
    </row>
    <row r="186" spans="25:27" ht="15.85" customHeight="1" x14ac:dyDescent="0.3">
      <c r="Y186" s="12"/>
      <c r="Z186" s="12"/>
      <c r="AA186" s="12"/>
    </row>
    <row r="187" spans="25:27" ht="15.85" customHeight="1" x14ac:dyDescent="0.3">
      <c r="Y187" s="12"/>
      <c r="Z187" s="12"/>
      <c r="AA187" s="12"/>
    </row>
    <row r="188" spans="25:27" ht="15.85" customHeight="1" x14ac:dyDescent="0.3">
      <c r="Y188" s="12"/>
      <c r="Z188" s="12"/>
      <c r="AA188" s="12"/>
    </row>
    <row r="189" spans="25:27" ht="15.85" customHeight="1" x14ac:dyDescent="0.3">
      <c r="Y189" s="12"/>
      <c r="Z189" s="12"/>
      <c r="AA189" s="12"/>
    </row>
    <row r="190" spans="25:27" ht="15.85" customHeight="1" x14ac:dyDescent="0.3">
      <c r="Y190" s="12"/>
      <c r="Z190" s="12"/>
      <c r="AA190" s="12"/>
    </row>
    <row r="191" spans="25:27" ht="15.85" customHeight="1" x14ac:dyDescent="0.3">
      <c r="Y191" s="12"/>
      <c r="Z191" s="12"/>
      <c r="AA191" s="12"/>
    </row>
    <row r="192" spans="25:27" ht="15.85" customHeight="1" x14ac:dyDescent="0.3">
      <c r="Y192" s="12"/>
      <c r="Z192" s="12"/>
      <c r="AA192" s="12"/>
    </row>
    <row r="193" spans="25:27" ht="15.85" customHeight="1" x14ac:dyDescent="0.3">
      <c r="Y193" s="12"/>
      <c r="Z193" s="12"/>
      <c r="AA193" s="12"/>
    </row>
    <row r="194" spans="25:27" ht="15.85" customHeight="1" x14ac:dyDescent="0.3">
      <c r="Y194" s="12"/>
      <c r="Z194" s="12"/>
      <c r="AA194" s="12"/>
    </row>
    <row r="195" spans="25:27" ht="15.85" customHeight="1" x14ac:dyDescent="0.3">
      <c r="Y195" s="12"/>
      <c r="Z195" s="12"/>
      <c r="AA195" s="12"/>
    </row>
    <row r="196" spans="25:27" ht="15.85" customHeight="1" x14ac:dyDescent="0.3">
      <c r="Y196" s="12"/>
      <c r="Z196" s="12"/>
      <c r="AA196" s="12"/>
    </row>
    <row r="197" spans="25:27" ht="15.85" customHeight="1" x14ac:dyDescent="0.3">
      <c r="Y197" s="12"/>
      <c r="Z197" s="12"/>
      <c r="AA197" s="12"/>
    </row>
    <row r="198" spans="25:27" ht="15.85" customHeight="1" x14ac:dyDescent="0.3">
      <c r="Y198" s="12"/>
      <c r="Z198" s="12"/>
      <c r="AA198" s="12"/>
    </row>
    <row r="199" spans="25:27" ht="15.85" customHeight="1" x14ac:dyDescent="0.3">
      <c r="Y199" s="12"/>
      <c r="Z199" s="12"/>
      <c r="AA199" s="12"/>
    </row>
    <row r="200" spans="25:27" ht="15.85" customHeight="1" x14ac:dyDescent="0.3">
      <c r="Y200" s="12"/>
      <c r="Z200" s="12"/>
      <c r="AA200" s="12"/>
    </row>
    <row r="201" spans="25:27" ht="15.85" customHeight="1" x14ac:dyDescent="0.3">
      <c r="Y201" s="12"/>
      <c r="Z201" s="12"/>
      <c r="AA201" s="12"/>
    </row>
    <row r="202" spans="25:27" ht="15.85" customHeight="1" x14ac:dyDescent="0.3">
      <c r="Y202" s="12"/>
      <c r="Z202" s="12"/>
      <c r="AA202" s="12"/>
    </row>
    <row r="203" spans="25:27" ht="15.85" customHeight="1" x14ac:dyDescent="0.3">
      <c r="Y203" s="12"/>
      <c r="Z203" s="12"/>
      <c r="AA203" s="12"/>
    </row>
    <row r="204" spans="25:27" ht="15.85" customHeight="1" x14ac:dyDescent="0.3">
      <c r="Y204" s="12"/>
      <c r="Z204" s="12"/>
      <c r="AA204" s="12"/>
    </row>
    <row r="205" spans="25:27" ht="15.85" customHeight="1" x14ac:dyDescent="0.3">
      <c r="Y205" s="12"/>
      <c r="Z205" s="12"/>
      <c r="AA205" s="12"/>
    </row>
    <row r="206" spans="25:27" ht="15.85" customHeight="1" x14ac:dyDescent="0.3">
      <c r="Y206" s="12"/>
      <c r="Z206" s="12"/>
      <c r="AA206" s="12"/>
    </row>
    <row r="207" spans="25:27" ht="15.85" customHeight="1" x14ac:dyDescent="0.3">
      <c r="Y207" s="12"/>
      <c r="Z207" s="12"/>
      <c r="AA207" s="12"/>
    </row>
    <row r="208" spans="25:27" ht="15.85" customHeight="1" x14ac:dyDescent="0.3">
      <c r="Y208" s="12"/>
      <c r="Z208" s="12"/>
      <c r="AA208" s="12"/>
    </row>
    <row r="209" spans="25:27" ht="15.85" customHeight="1" x14ac:dyDescent="0.3">
      <c r="Y209" s="12"/>
      <c r="Z209" s="12"/>
      <c r="AA209" s="12"/>
    </row>
    <row r="210" spans="25:27" ht="15.85" customHeight="1" x14ac:dyDescent="0.3">
      <c r="Y210" s="12"/>
      <c r="Z210" s="12"/>
      <c r="AA210" s="12"/>
    </row>
    <row r="211" spans="25:27" ht="15.85" customHeight="1" x14ac:dyDescent="0.3">
      <c r="Y211" s="12"/>
      <c r="Z211" s="12"/>
      <c r="AA211" s="12"/>
    </row>
    <row r="212" spans="25:27" ht="15.85" customHeight="1" x14ac:dyDescent="0.3">
      <c r="Y212" s="12"/>
      <c r="Z212" s="12"/>
      <c r="AA212" s="12"/>
    </row>
    <row r="213" spans="25:27" ht="15.85" customHeight="1" x14ac:dyDescent="0.3">
      <c r="Y213" s="12"/>
      <c r="Z213" s="12"/>
      <c r="AA213" s="12"/>
    </row>
    <row r="214" spans="25:27" ht="15.85" customHeight="1" x14ac:dyDescent="0.3">
      <c r="Y214" s="12"/>
      <c r="Z214" s="12"/>
      <c r="AA214" s="12"/>
    </row>
    <row r="215" spans="25:27" ht="15.85" customHeight="1" x14ac:dyDescent="0.3">
      <c r="Y215" s="12"/>
      <c r="Z215" s="12"/>
      <c r="AA215" s="12"/>
    </row>
    <row r="216" spans="25:27" ht="15.85" customHeight="1" x14ac:dyDescent="0.3">
      <c r="Y216" s="12"/>
      <c r="Z216" s="12"/>
      <c r="AA216" s="12"/>
    </row>
    <row r="217" spans="25:27" ht="15.85" customHeight="1" x14ac:dyDescent="0.3">
      <c r="Y217" s="12"/>
      <c r="Z217" s="12"/>
      <c r="AA217" s="12"/>
    </row>
    <row r="218" spans="25:27" ht="15.85" customHeight="1" x14ac:dyDescent="0.3">
      <c r="Y218" s="12"/>
      <c r="Z218" s="12"/>
      <c r="AA218" s="12"/>
    </row>
    <row r="219" spans="25:27" ht="15.85" customHeight="1" x14ac:dyDescent="0.3">
      <c r="Y219" s="12"/>
      <c r="Z219" s="12"/>
      <c r="AA219" s="12"/>
    </row>
    <row r="220" spans="25:27" ht="15.85" customHeight="1" x14ac:dyDescent="0.3">
      <c r="Y220" s="12"/>
      <c r="Z220" s="12"/>
      <c r="AA220" s="12"/>
    </row>
    <row r="221" spans="25:27" ht="15.85" customHeight="1" x14ac:dyDescent="0.3">
      <c r="Y221" s="12"/>
      <c r="Z221" s="12"/>
      <c r="AA221" s="12"/>
    </row>
    <row r="222" spans="25:27" ht="15.85" customHeight="1" x14ac:dyDescent="0.3">
      <c r="Y222" s="12"/>
      <c r="Z222" s="12"/>
      <c r="AA222" s="12"/>
    </row>
    <row r="223" spans="25:27" ht="15.85" customHeight="1" x14ac:dyDescent="0.3">
      <c r="Y223" s="12"/>
      <c r="Z223" s="12"/>
      <c r="AA223" s="12"/>
    </row>
    <row r="224" spans="25:27" ht="15.85" customHeight="1" x14ac:dyDescent="0.3">
      <c r="Y224" s="12"/>
      <c r="Z224" s="12"/>
      <c r="AA224" s="12"/>
    </row>
    <row r="225" spans="25:27" ht="15.85" customHeight="1" x14ac:dyDescent="0.3">
      <c r="Y225" s="12"/>
      <c r="Z225" s="12"/>
      <c r="AA225" s="12"/>
    </row>
    <row r="226" spans="25:27" ht="15.85" customHeight="1" x14ac:dyDescent="0.3">
      <c r="Y226" s="12"/>
      <c r="Z226" s="12"/>
      <c r="AA226" s="12"/>
    </row>
    <row r="227" spans="25:27" ht="15.85" customHeight="1" x14ac:dyDescent="0.3">
      <c r="Y227" s="12"/>
      <c r="Z227" s="12"/>
      <c r="AA227" s="12"/>
    </row>
    <row r="228" spans="25:27" ht="15.85" customHeight="1" x14ac:dyDescent="0.3">
      <c r="Y228" s="12"/>
      <c r="Z228" s="12"/>
      <c r="AA228" s="12"/>
    </row>
    <row r="229" spans="25:27" ht="15.85" customHeight="1" x14ac:dyDescent="0.3">
      <c r="Y229" s="12"/>
      <c r="Z229" s="12"/>
      <c r="AA229" s="12"/>
    </row>
    <row r="230" spans="25:27" ht="15.85" customHeight="1" x14ac:dyDescent="0.3">
      <c r="Y230" s="12"/>
      <c r="Z230" s="12"/>
      <c r="AA230" s="12"/>
    </row>
    <row r="231" spans="25:27" ht="15.85" customHeight="1" x14ac:dyDescent="0.3">
      <c r="Y231" s="12"/>
      <c r="Z231" s="12"/>
      <c r="AA231" s="12"/>
    </row>
    <row r="232" spans="25:27" ht="15.85" customHeight="1" x14ac:dyDescent="0.3">
      <c r="Y232" s="12"/>
      <c r="Z232" s="12"/>
      <c r="AA232" s="12"/>
    </row>
    <row r="233" spans="25:27" ht="15.85" customHeight="1" x14ac:dyDescent="0.3">
      <c r="Y233" s="12"/>
      <c r="Z233" s="12"/>
      <c r="AA233" s="12"/>
    </row>
    <row r="234" spans="25:27" ht="15.85" customHeight="1" x14ac:dyDescent="0.3">
      <c r="Y234" s="12"/>
      <c r="Z234" s="12"/>
      <c r="AA234" s="12"/>
    </row>
    <row r="235" spans="25:27" ht="15.85" customHeight="1" x14ac:dyDescent="0.3">
      <c r="Y235" s="12"/>
      <c r="Z235" s="12"/>
      <c r="AA235" s="12"/>
    </row>
    <row r="236" spans="25:27" ht="15.85" customHeight="1" x14ac:dyDescent="0.3">
      <c r="Y236" s="12"/>
      <c r="Z236" s="12"/>
      <c r="AA236" s="12"/>
    </row>
    <row r="237" spans="25:27" ht="15.85" customHeight="1" x14ac:dyDescent="0.3">
      <c r="Y237" s="12"/>
      <c r="Z237" s="12"/>
      <c r="AA237" s="12"/>
    </row>
    <row r="238" spans="25:27" ht="15.85" customHeight="1" x14ac:dyDescent="0.3">
      <c r="Y238" s="12"/>
      <c r="Z238" s="12"/>
      <c r="AA238" s="12"/>
    </row>
    <row r="239" spans="25:27" ht="15.85" customHeight="1" x14ac:dyDescent="0.3">
      <c r="Y239" s="12"/>
      <c r="Z239" s="12"/>
      <c r="AA239" s="12"/>
    </row>
    <row r="240" spans="25:27" ht="15.85" customHeight="1" x14ac:dyDescent="0.3">
      <c r="Y240" s="12"/>
      <c r="Z240" s="12"/>
      <c r="AA240" s="12"/>
    </row>
    <row r="241" spans="25:27" ht="15.85" customHeight="1" x14ac:dyDescent="0.3">
      <c r="Y241" s="12"/>
      <c r="Z241" s="12"/>
      <c r="AA241" s="12"/>
    </row>
    <row r="242" spans="25:27" ht="15.85" customHeight="1" x14ac:dyDescent="0.3">
      <c r="Y242" s="12"/>
      <c r="Z242" s="12"/>
      <c r="AA242" s="12"/>
    </row>
    <row r="243" spans="25:27" ht="15.85" customHeight="1" x14ac:dyDescent="0.3">
      <c r="Y243" s="12"/>
      <c r="Z243" s="12"/>
      <c r="AA243" s="12"/>
    </row>
    <row r="244" spans="25:27" ht="15.85" customHeight="1" x14ac:dyDescent="0.3">
      <c r="Y244" s="12"/>
      <c r="Z244" s="12"/>
      <c r="AA244" s="12"/>
    </row>
    <row r="245" spans="25:27" ht="15.85" customHeight="1" x14ac:dyDescent="0.3">
      <c r="Y245" s="12"/>
      <c r="Z245" s="12"/>
      <c r="AA245" s="12"/>
    </row>
    <row r="246" spans="25:27" ht="15.85" customHeight="1" x14ac:dyDescent="0.3">
      <c r="Y246" s="12"/>
      <c r="Z246" s="12"/>
      <c r="AA246" s="12"/>
    </row>
    <row r="247" spans="25:27" ht="15.85" customHeight="1" x14ac:dyDescent="0.3">
      <c r="Y247" s="12"/>
      <c r="Z247" s="12"/>
      <c r="AA247" s="12"/>
    </row>
    <row r="248" spans="25:27" ht="15.85" customHeight="1" x14ac:dyDescent="0.3">
      <c r="Y248" s="12"/>
      <c r="Z248" s="12"/>
      <c r="AA248" s="12"/>
    </row>
    <row r="249" spans="25:27" ht="15.85" customHeight="1" x14ac:dyDescent="0.3">
      <c r="Y249" s="12"/>
      <c r="Z249" s="12"/>
      <c r="AA249" s="12"/>
    </row>
    <row r="250" spans="25:27" ht="15.85" customHeight="1" x14ac:dyDescent="0.3">
      <c r="Y250" s="12"/>
      <c r="Z250" s="12"/>
      <c r="AA250" s="12"/>
    </row>
    <row r="251" spans="25:27" ht="15.85" customHeight="1" x14ac:dyDescent="0.3">
      <c r="Y251" s="12"/>
      <c r="Z251" s="12"/>
      <c r="AA251" s="12"/>
    </row>
    <row r="252" spans="25:27" ht="15.85" customHeight="1" x14ac:dyDescent="0.3">
      <c r="Y252" s="12"/>
      <c r="Z252" s="12"/>
      <c r="AA252" s="12"/>
    </row>
    <row r="253" spans="25:27" ht="15.85" customHeight="1" x14ac:dyDescent="0.3">
      <c r="Y253" s="12"/>
      <c r="Z253" s="12"/>
      <c r="AA253" s="12"/>
    </row>
    <row r="254" spans="25:27" ht="15.85" customHeight="1" x14ac:dyDescent="0.3">
      <c r="Y254" s="12"/>
      <c r="Z254" s="12"/>
      <c r="AA254" s="12"/>
    </row>
    <row r="255" spans="25:27" ht="15.85" customHeight="1" x14ac:dyDescent="0.3">
      <c r="Y255" s="12"/>
      <c r="Z255" s="12"/>
      <c r="AA255" s="12"/>
    </row>
    <row r="256" spans="25:27" ht="15.85" customHeight="1" x14ac:dyDescent="0.3">
      <c r="Y256" s="12"/>
      <c r="Z256" s="12"/>
      <c r="AA256" s="12"/>
    </row>
    <row r="257" spans="25:27" ht="15.85" customHeight="1" x14ac:dyDescent="0.3">
      <c r="Y257" s="12"/>
      <c r="Z257" s="12"/>
      <c r="AA257" s="12"/>
    </row>
    <row r="258" spans="25:27" ht="15.85" customHeight="1" x14ac:dyDescent="0.3">
      <c r="Y258" s="12"/>
      <c r="Z258" s="12"/>
      <c r="AA258" s="12"/>
    </row>
    <row r="259" spans="25:27" ht="15.85" customHeight="1" x14ac:dyDescent="0.3">
      <c r="Y259" s="12"/>
      <c r="Z259" s="12"/>
      <c r="AA259" s="12"/>
    </row>
    <row r="260" spans="25:27" ht="15.85" customHeight="1" x14ac:dyDescent="0.3">
      <c r="Y260" s="12"/>
      <c r="Z260" s="12"/>
      <c r="AA260" s="12"/>
    </row>
    <row r="261" spans="25:27" ht="15.85" customHeight="1" x14ac:dyDescent="0.3">
      <c r="Y261" s="12"/>
      <c r="Z261" s="12"/>
      <c r="AA261" s="12"/>
    </row>
    <row r="262" spans="25:27" ht="15.85" customHeight="1" x14ac:dyDescent="0.3">
      <c r="Y262" s="12"/>
      <c r="Z262" s="12"/>
      <c r="AA262" s="12"/>
    </row>
    <row r="263" spans="25:27" ht="15.85" customHeight="1" x14ac:dyDescent="0.3">
      <c r="Y263" s="12"/>
      <c r="Z263" s="12"/>
      <c r="AA263" s="12"/>
    </row>
    <row r="264" spans="25:27" ht="15.85" customHeight="1" x14ac:dyDescent="0.3">
      <c r="Y264" s="12"/>
      <c r="Z264" s="12"/>
      <c r="AA264" s="12"/>
    </row>
    <row r="265" spans="25:27" ht="15.85" customHeight="1" x14ac:dyDescent="0.3">
      <c r="Y265" s="12"/>
      <c r="Z265" s="12"/>
      <c r="AA265" s="12"/>
    </row>
    <row r="266" spans="25:27" ht="15.85" customHeight="1" x14ac:dyDescent="0.3">
      <c r="Y266" s="12"/>
      <c r="Z266" s="12"/>
      <c r="AA266" s="12"/>
    </row>
    <row r="267" spans="25:27" ht="15.85" customHeight="1" x14ac:dyDescent="0.3">
      <c r="Y267" s="12"/>
      <c r="Z267" s="12"/>
      <c r="AA267" s="12"/>
    </row>
    <row r="268" spans="25:27" ht="15.85" customHeight="1" x14ac:dyDescent="0.3">
      <c r="Y268" s="12"/>
      <c r="Z268" s="12"/>
      <c r="AA268" s="12"/>
    </row>
    <row r="269" spans="25:27" ht="15.85" customHeight="1" x14ac:dyDescent="0.3">
      <c r="Y269" s="12"/>
      <c r="Z269" s="12"/>
      <c r="AA269" s="12"/>
    </row>
    <row r="270" spans="25:27" ht="15.85" customHeight="1" x14ac:dyDescent="0.3">
      <c r="Y270" s="12"/>
      <c r="Z270" s="12"/>
      <c r="AA270" s="12"/>
    </row>
    <row r="271" spans="25:27" ht="15.85" customHeight="1" x14ac:dyDescent="0.3">
      <c r="Y271" s="12"/>
      <c r="Z271" s="12"/>
      <c r="AA271" s="12"/>
    </row>
    <row r="272" spans="25:27" ht="15.85" customHeight="1" x14ac:dyDescent="0.3">
      <c r="Y272" s="12"/>
      <c r="Z272" s="12"/>
      <c r="AA272" s="12"/>
    </row>
    <row r="273" spans="25:27" ht="15.85" customHeight="1" x14ac:dyDescent="0.3">
      <c r="Y273" s="12"/>
      <c r="Z273" s="12"/>
      <c r="AA273" s="12"/>
    </row>
    <row r="274" spans="25:27" ht="15.85" customHeight="1" x14ac:dyDescent="0.3">
      <c r="Y274" s="12"/>
      <c r="Z274" s="12"/>
      <c r="AA274" s="12"/>
    </row>
    <row r="275" spans="25:27" ht="15.85" customHeight="1" x14ac:dyDescent="0.3">
      <c r="Y275" s="12"/>
      <c r="Z275" s="12"/>
      <c r="AA275" s="12"/>
    </row>
    <row r="276" spans="25:27" ht="15.85" customHeight="1" x14ac:dyDescent="0.3">
      <c r="Y276" s="12"/>
      <c r="Z276" s="12"/>
      <c r="AA276" s="12"/>
    </row>
    <row r="277" spans="25:27" ht="15.85" customHeight="1" x14ac:dyDescent="0.3">
      <c r="Y277" s="12"/>
      <c r="Z277" s="12"/>
      <c r="AA277" s="12"/>
    </row>
    <row r="278" spans="25:27" ht="15.85" customHeight="1" x14ac:dyDescent="0.3"/>
    <row r="279" spans="25:27" ht="15.85" customHeight="1" x14ac:dyDescent="0.3"/>
    <row r="280" spans="25:27" ht="15.85" customHeight="1" x14ac:dyDescent="0.3"/>
    <row r="281" spans="25:27" ht="15.85" customHeight="1" x14ac:dyDescent="0.3"/>
    <row r="282" spans="25:27" ht="15.85" customHeight="1" x14ac:dyDescent="0.3"/>
    <row r="283" spans="25:27" ht="15.85" customHeight="1" x14ac:dyDescent="0.3"/>
    <row r="284" spans="25:27" ht="15.85" customHeight="1" x14ac:dyDescent="0.3"/>
    <row r="285" spans="25:27" ht="15.85" customHeight="1" x14ac:dyDescent="0.3"/>
    <row r="286" spans="25:27" ht="15.85" customHeight="1" x14ac:dyDescent="0.3"/>
    <row r="287" spans="25:27" ht="15.85" customHeight="1" x14ac:dyDescent="0.3"/>
    <row r="288" spans="25:27" ht="15.85" customHeight="1" x14ac:dyDescent="0.3"/>
    <row r="289" ht="15.85" customHeight="1" x14ac:dyDescent="0.3"/>
    <row r="290" ht="15.85" customHeight="1" x14ac:dyDescent="0.3"/>
    <row r="291" ht="15.85" customHeight="1" x14ac:dyDescent="0.3"/>
    <row r="292" ht="15.85" customHeight="1" x14ac:dyDescent="0.3"/>
    <row r="293" ht="15.85" customHeight="1" x14ac:dyDescent="0.3"/>
    <row r="294" ht="15.85" customHeight="1" x14ac:dyDescent="0.3"/>
    <row r="295" ht="15.85" customHeight="1" x14ac:dyDescent="0.3"/>
    <row r="296" ht="15.85" customHeight="1" x14ac:dyDescent="0.3"/>
    <row r="297" ht="15.85" customHeight="1" x14ac:dyDescent="0.3"/>
    <row r="298" ht="15.85" customHeight="1" x14ac:dyDescent="0.3"/>
    <row r="299" ht="15.85" customHeight="1" x14ac:dyDescent="0.3"/>
    <row r="300" ht="15.85" customHeight="1" x14ac:dyDescent="0.3"/>
    <row r="301" ht="15.85" customHeight="1" x14ac:dyDescent="0.3"/>
    <row r="302" ht="15.85" customHeight="1" x14ac:dyDescent="0.3"/>
    <row r="303" ht="15.85" customHeight="1" x14ac:dyDescent="0.3"/>
    <row r="304" ht="15.85" customHeight="1" x14ac:dyDescent="0.3"/>
    <row r="305" ht="15.85" customHeight="1" x14ac:dyDescent="0.3"/>
    <row r="306" ht="15.85" customHeight="1" x14ac:dyDescent="0.3"/>
    <row r="307" ht="15.85" customHeight="1" x14ac:dyDescent="0.3"/>
    <row r="308" ht="15.85" customHeight="1" x14ac:dyDescent="0.3"/>
    <row r="309" ht="15.85" customHeight="1" x14ac:dyDescent="0.3"/>
    <row r="310" ht="15.85" customHeight="1" x14ac:dyDescent="0.3"/>
    <row r="311" ht="15.85" customHeight="1" x14ac:dyDescent="0.3"/>
    <row r="312" ht="15.85" customHeight="1" x14ac:dyDescent="0.3"/>
    <row r="313" ht="15.85" customHeight="1" x14ac:dyDescent="0.3"/>
    <row r="314" ht="15.85" customHeight="1" x14ac:dyDescent="0.3"/>
    <row r="315" ht="15.85" customHeight="1" x14ac:dyDescent="0.3"/>
    <row r="316" ht="15.85" customHeight="1" x14ac:dyDescent="0.3"/>
    <row r="317" ht="15.85" customHeight="1" x14ac:dyDescent="0.3"/>
    <row r="318" ht="15.85" customHeight="1" x14ac:dyDescent="0.3"/>
    <row r="319" ht="15.85" customHeight="1" x14ac:dyDescent="0.3"/>
    <row r="320" ht="15.85" customHeight="1" x14ac:dyDescent="0.3"/>
    <row r="321" ht="15.85" customHeight="1" x14ac:dyDescent="0.3"/>
    <row r="322" ht="15.85" customHeight="1" x14ac:dyDescent="0.3"/>
    <row r="323" ht="15.85" customHeight="1" x14ac:dyDescent="0.3"/>
    <row r="324" ht="15.85" customHeight="1" x14ac:dyDescent="0.3"/>
    <row r="325" ht="15.85" customHeight="1" x14ac:dyDescent="0.3"/>
    <row r="326" ht="15.85" customHeight="1" x14ac:dyDescent="0.3"/>
    <row r="327" ht="15.85" customHeight="1" x14ac:dyDescent="0.3"/>
    <row r="328" ht="15.85" customHeight="1" x14ac:dyDescent="0.3"/>
    <row r="329" ht="15.85" customHeight="1" x14ac:dyDescent="0.3"/>
    <row r="330" ht="15.85" customHeight="1" x14ac:dyDescent="0.3"/>
    <row r="331" ht="15.85" customHeight="1" x14ac:dyDescent="0.3"/>
    <row r="332" ht="15.85" customHeight="1" x14ac:dyDescent="0.3"/>
    <row r="333" ht="15.85" customHeight="1" x14ac:dyDescent="0.3"/>
    <row r="334" ht="15.85" customHeight="1" x14ac:dyDescent="0.3"/>
    <row r="335" ht="15.85" customHeight="1" x14ac:dyDescent="0.3"/>
    <row r="336" ht="15.85" customHeight="1" x14ac:dyDescent="0.3"/>
    <row r="337" ht="15.85" customHeight="1" x14ac:dyDescent="0.3"/>
    <row r="338" ht="15.85" customHeight="1" x14ac:dyDescent="0.3"/>
    <row r="339" ht="15.85" customHeight="1" x14ac:dyDescent="0.3"/>
    <row r="340" ht="15.85" customHeight="1" x14ac:dyDescent="0.3"/>
    <row r="341" ht="15.85" customHeight="1" x14ac:dyDescent="0.3"/>
    <row r="342" ht="15.85" customHeight="1" x14ac:dyDescent="0.3"/>
    <row r="343" ht="15.85" customHeight="1" x14ac:dyDescent="0.3"/>
    <row r="344" ht="15.85" customHeight="1" x14ac:dyDescent="0.3"/>
    <row r="345" ht="15.85" customHeight="1" x14ac:dyDescent="0.3"/>
    <row r="346" ht="15.85" customHeight="1" x14ac:dyDescent="0.3"/>
    <row r="347" ht="15.85" customHeight="1" x14ac:dyDescent="0.3"/>
    <row r="348" ht="15.85" customHeight="1" x14ac:dyDescent="0.3"/>
    <row r="349" ht="15.85" customHeight="1" x14ac:dyDescent="0.3"/>
    <row r="350" ht="15.85" customHeight="1" x14ac:dyDescent="0.3"/>
    <row r="351" ht="15.85" customHeight="1" x14ac:dyDescent="0.3"/>
    <row r="352" ht="15.85" customHeight="1" x14ac:dyDescent="0.3"/>
    <row r="353" ht="15.85" customHeight="1" x14ac:dyDescent="0.3"/>
    <row r="354" ht="15.85" customHeight="1" x14ac:dyDescent="0.3"/>
    <row r="355" ht="15.85" customHeight="1" x14ac:dyDescent="0.3"/>
    <row r="356" ht="15.85" customHeight="1" x14ac:dyDescent="0.3"/>
    <row r="357" ht="15.85" customHeight="1" x14ac:dyDescent="0.3"/>
    <row r="358" ht="15.85" customHeight="1" x14ac:dyDescent="0.3"/>
    <row r="359" ht="15.85" customHeight="1" x14ac:dyDescent="0.3"/>
    <row r="360" ht="15.85" customHeight="1" x14ac:dyDescent="0.3"/>
    <row r="361" ht="15.85" customHeight="1" x14ac:dyDescent="0.3"/>
    <row r="362" ht="15.85" customHeight="1" x14ac:dyDescent="0.3"/>
    <row r="363" ht="15.85" customHeight="1" x14ac:dyDescent="0.3"/>
    <row r="364" ht="15.85" customHeight="1" x14ac:dyDescent="0.3"/>
    <row r="365" ht="15.85" customHeight="1" x14ac:dyDescent="0.3"/>
    <row r="366" ht="15.85" customHeight="1" x14ac:dyDescent="0.3"/>
    <row r="367" ht="15.85" customHeight="1" x14ac:dyDescent="0.3"/>
    <row r="368" ht="15.85" customHeight="1" x14ac:dyDescent="0.3"/>
    <row r="369" ht="15.85" customHeight="1" x14ac:dyDescent="0.3"/>
    <row r="370" ht="15.85" customHeight="1" x14ac:dyDescent="0.3"/>
    <row r="371" ht="15.85" customHeight="1" x14ac:dyDescent="0.3"/>
    <row r="372" ht="15.85" customHeight="1" x14ac:dyDescent="0.3"/>
    <row r="373" ht="15.85" customHeight="1" x14ac:dyDescent="0.3"/>
    <row r="374" ht="15.85" customHeight="1" x14ac:dyDescent="0.3"/>
    <row r="375" ht="15.85" customHeight="1" x14ac:dyDescent="0.3"/>
    <row r="376" ht="15.85" customHeight="1" x14ac:dyDescent="0.3"/>
    <row r="377" ht="15.85" customHeight="1" x14ac:dyDescent="0.3"/>
    <row r="378" ht="15.85" customHeight="1" x14ac:dyDescent="0.3"/>
    <row r="379" ht="15.85" customHeight="1" x14ac:dyDescent="0.3"/>
    <row r="380" ht="15.85" customHeight="1" x14ac:dyDescent="0.3"/>
    <row r="381" ht="15.85" customHeight="1" x14ac:dyDescent="0.3"/>
    <row r="382" ht="15.85" customHeight="1" x14ac:dyDescent="0.3"/>
    <row r="383" ht="15.85" customHeight="1" x14ac:dyDescent="0.3"/>
    <row r="384" ht="15.85" customHeight="1" x14ac:dyDescent="0.3"/>
    <row r="385" ht="15.85" customHeight="1" x14ac:dyDescent="0.3"/>
    <row r="386" ht="15.85" customHeight="1" x14ac:dyDescent="0.3"/>
    <row r="387" ht="15.85" customHeight="1" x14ac:dyDescent="0.3"/>
    <row r="388" ht="15.85" customHeight="1" x14ac:dyDescent="0.3"/>
    <row r="389" ht="15.85" customHeight="1" x14ac:dyDescent="0.3"/>
    <row r="390" ht="15.85" customHeight="1" x14ac:dyDescent="0.3"/>
    <row r="391" ht="15.85" customHeight="1" x14ac:dyDescent="0.3"/>
    <row r="392" ht="15.85" customHeight="1" x14ac:dyDescent="0.3"/>
    <row r="393" ht="15.85" customHeight="1" x14ac:dyDescent="0.3"/>
    <row r="394" ht="15.85" customHeight="1" x14ac:dyDescent="0.3"/>
    <row r="395" ht="15.85" customHeight="1" x14ac:dyDescent="0.3"/>
    <row r="396" ht="15.85" customHeight="1" x14ac:dyDescent="0.3"/>
    <row r="397" ht="15.85" customHeight="1" x14ac:dyDescent="0.3"/>
    <row r="398" ht="15.85" customHeight="1" x14ac:dyDescent="0.3"/>
    <row r="399" ht="15.85" customHeight="1" x14ac:dyDescent="0.3"/>
    <row r="400" ht="15.85" customHeight="1" x14ac:dyDescent="0.3"/>
    <row r="401" ht="15.85" customHeight="1" x14ac:dyDescent="0.3"/>
    <row r="402" ht="15.85" customHeight="1" x14ac:dyDescent="0.3"/>
    <row r="403" ht="15.85" customHeight="1" x14ac:dyDescent="0.3"/>
    <row r="404" ht="15.85" customHeight="1" x14ac:dyDescent="0.3"/>
    <row r="405" ht="15.85" customHeight="1" x14ac:dyDescent="0.3"/>
    <row r="406" ht="15.85" customHeight="1" x14ac:dyDescent="0.3"/>
    <row r="407" ht="15.85" customHeight="1" x14ac:dyDescent="0.3"/>
    <row r="408" ht="15.85" customHeight="1" x14ac:dyDescent="0.3"/>
    <row r="409" ht="15.85" customHeight="1" x14ac:dyDescent="0.3"/>
    <row r="410" ht="15.85" customHeight="1" x14ac:dyDescent="0.3"/>
    <row r="411" ht="15.85" customHeight="1" x14ac:dyDescent="0.3"/>
    <row r="412" ht="15.85" customHeight="1" x14ac:dyDescent="0.3"/>
    <row r="413" ht="15.85" customHeight="1" x14ac:dyDescent="0.3"/>
    <row r="414" ht="15.85" customHeight="1" x14ac:dyDescent="0.3"/>
    <row r="415" ht="15.85" customHeight="1" x14ac:dyDescent="0.3"/>
    <row r="416" ht="15.85" customHeight="1" x14ac:dyDescent="0.3"/>
    <row r="417" ht="15.85" customHeight="1" x14ac:dyDescent="0.3"/>
    <row r="418" ht="15.85" customHeight="1" x14ac:dyDescent="0.3"/>
    <row r="419" ht="15.85" customHeight="1" x14ac:dyDescent="0.3"/>
    <row r="420" ht="15.85" customHeight="1" x14ac:dyDescent="0.3"/>
    <row r="421" ht="15.85" customHeight="1" x14ac:dyDescent="0.3"/>
    <row r="422" ht="15.85" customHeight="1" x14ac:dyDescent="0.3"/>
    <row r="423" ht="15.85" customHeight="1" x14ac:dyDescent="0.3"/>
    <row r="424" ht="15.85" customHeight="1" x14ac:dyDescent="0.3"/>
    <row r="425" ht="15.85" customHeight="1" x14ac:dyDescent="0.3"/>
    <row r="426" ht="15.85" customHeight="1" x14ac:dyDescent="0.3"/>
    <row r="427" ht="15.85" customHeight="1" x14ac:dyDescent="0.3"/>
    <row r="428" ht="15.85" customHeight="1" x14ac:dyDescent="0.3"/>
    <row r="429" ht="15.85" customHeight="1" x14ac:dyDescent="0.3"/>
    <row r="430" ht="15.85" customHeight="1" x14ac:dyDescent="0.3"/>
    <row r="431" ht="15.85" customHeight="1" x14ac:dyDescent="0.3"/>
    <row r="432" ht="15.85" customHeight="1" x14ac:dyDescent="0.3"/>
    <row r="433" ht="15.85" customHeight="1" x14ac:dyDescent="0.3"/>
    <row r="434" ht="15.85" customHeight="1" x14ac:dyDescent="0.3"/>
    <row r="435" ht="15.85" customHeight="1" x14ac:dyDescent="0.3"/>
    <row r="436" ht="15.85" customHeight="1" x14ac:dyDescent="0.3"/>
    <row r="437" ht="15.85" customHeight="1" x14ac:dyDescent="0.3"/>
    <row r="438" ht="15.85" customHeight="1" x14ac:dyDescent="0.3"/>
    <row r="439" ht="15.85" customHeight="1" x14ac:dyDescent="0.3"/>
    <row r="440" ht="15.85" customHeight="1" x14ac:dyDescent="0.3"/>
    <row r="441" ht="15.85" customHeight="1" x14ac:dyDescent="0.3"/>
    <row r="442" ht="15.85" customHeight="1" x14ac:dyDescent="0.3"/>
    <row r="443" ht="15.85" customHeight="1" x14ac:dyDescent="0.3"/>
    <row r="444" ht="15.85" customHeight="1" x14ac:dyDescent="0.3"/>
    <row r="445" ht="15.85" customHeight="1" x14ac:dyDescent="0.3"/>
    <row r="446" ht="15.85" customHeight="1" x14ac:dyDescent="0.3"/>
    <row r="447" ht="15.85" customHeight="1" x14ac:dyDescent="0.3"/>
    <row r="448" ht="15.85" customHeight="1" x14ac:dyDescent="0.3"/>
    <row r="449" ht="15.85" customHeight="1" x14ac:dyDescent="0.3"/>
    <row r="450" ht="15.85" customHeight="1" x14ac:dyDescent="0.3"/>
    <row r="451" ht="15.85" customHeight="1" x14ac:dyDescent="0.3"/>
    <row r="452" ht="15.85" customHeight="1" x14ac:dyDescent="0.3"/>
    <row r="453" ht="15.85" customHeight="1" x14ac:dyDescent="0.3"/>
    <row r="454" ht="15.85" customHeight="1" x14ac:dyDescent="0.3"/>
    <row r="455" ht="15.85" customHeight="1" x14ac:dyDescent="0.3"/>
    <row r="456" ht="15.85" customHeight="1" x14ac:dyDescent="0.3"/>
    <row r="457" ht="15.85" customHeight="1" x14ac:dyDescent="0.3"/>
    <row r="458" ht="15.85" customHeight="1" x14ac:dyDescent="0.3"/>
    <row r="459" ht="15.85" customHeight="1" x14ac:dyDescent="0.3"/>
    <row r="460" ht="15.85" customHeight="1" x14ac:dyDescent="0.3"/>
    <row r="461" ht="15.85" customHeight="1" x14ac:dyDescent="0.3"/>
    <row r="462" ht="15.85" customHeight="1" x14ac:dyDescent="0.3"/>
    <row r="463" ht="15.85" customHeight="1" x14ac:dyDescent="0.3"/>
    <row r="464" ht="15.85" customHeight="1" x14ac:dyDescent="0.3"/>
    <row r="465" ht="15.85" customHeight="1" x14ac:dyDescent="0.3"/>
    <row r="466" ht="15.85" customHeight="1" x14ac:dyDescent="0.3"/>
    <row r="467" ht="15.85" customHeight="1" x14ac:dyDescent="0.3"/>
    <row r="468" ht="15.85" customHeight="1" x14ac:dyDescent="0.3"/>
    <row r="469" ht="15.85" customHeight="1" x14ac:dyDescent="0.3"/>
    <row r="470" ht="15.85" customHeight="1" x14ac:dyDescent="0.3"/>
    <row r="471" ht="15.85" customHeight="1" x14ac:dyDescent="0.3"/>
    <row r="472" ht="15.85" customHeight="1" x14ac:dyDescent="0.3"/>
    <row r="473" ht="15.85" customHeight="1" x14ac:dyDescent="0.3"/>
    <row r="474" ht="15.85" customHeight="1" x14ac:dyDescent="0.3"/>
    <row r="475" ht="15.85" customHeight="1" x14ac:dyDescent="0.3"/>
    <row r="476" ht="15.85" customHeight="1" x14ac:dyDescent="0.3"/>
    <row r="477" ht="15.85" customHeight="1" x14ac:dyDescent="0.3"/>
    <row r="478" ht="15.85" customHeight="1" x14ac:dyDescent="0.3"/>
    <row r="479" ht="15.85" customHeight="1" x14ac:dyDescent="0.3"/>
    <row r="480" ht="15.85" customHeight="1" x14ac:dyDescent="0.3"/>
    <row r="481" ht="15.85" customHeight="1" x14ac:dyDescent="0.3"/>
    <row r="482" ht="15.85" customHeight="1" x14ac:dyDescent="0.3"/>
    <row r="483" ht="15.85" customHeight="1" x14ac:dyDescent="0.3"/>
    <row r="484" ht="15.85" customHeight="1" x14ac:dyDescent="0.3"/>
    <row r="485" ht="15.85" customHeight="1" x14ac:dyDescent="0.3"/>
    <row r="486" ht="15.85" customHeight="1" x14ac:dyDescent="0.3"/>
    <row r="487" ht="15.85" customHeight="1" x14ac:dyDescent="0.3"/>
    <row r="488" ht="15.85" customHeight="1" x14ac:dyDescent="0.3"/>
    <row r="489" ht="15.85" customHeight="1" x14ac:dyDescent="0.3"/>
    <row r="490" ht="15.85" customHeight="1" x14ac:dyDescent="0.3"/>
    <row r="491" ht="15.85" customHeight="1" x14ac:dyDescent="0.3"/>
    <row r="492" ht="15.85" customHeight="1" x14ac:dyDescent="0.3"/>
    <row r="493" ht="15.85" customHeight="1" x14ac:dyDescent="0.3"/>
    <row r="494" ht="15.85" customHeight="1" x14ac:dyDescent="0.3"/>
    <row r="495" ht="15.85" customHeight="1" x14ac:dyDescent="0.3"/>
    <row r="496" ht="15.85" customHeight="1" x14ac:dyDescent="0.3"/>
    <row r="497" ht="15.85" customHeight="1" x14ac:dyDescent="0.3"/>
    <row r="498" ht="15.85" customHeight="1" x14ac:dyDescent="0.3"/>
    <row r="499" ht="15.85" customHeight="1" x14ac:dyDescent="0.3"/>
    <row r="500" ht="15.85" customHeight="1" x14ac:dyDescent="0.3"/>
    <row r="501" ht="15.85" customHeight="1" x14ac:dyDescent="0.3"/>
    <row r="502" ht="15.85" customHeight="1" x14ac:dyDescent="0.3"/>
    <row r="503" ht="15.85" customHeight="1" x14ac:dyDescent="0.3"/>
    <row r="504" ht="15.85" customHeight="1" x14ac:dyDescent="0.3"/>
    <row r="505" ht="15.85" customHeight="1" x14ac:dyDescent="0.3"/>
    <row r="506" ht="15.85" customHeight="1" x14ac:dyDescent="0.3"/>
    <row r="507" ht="15.85" customHeight="1" x14ac:dyDescent="0.3"/>
    <row r="508" ht="15.85" customHeight="1" x14ac:dyDescent="0.3"/>
    <row r="509" ht="15.85" customHeight="1" x14ac:dyDescent="0.3"/>
    <row r="510" ht="15.85" customHeight="1" x14ac:dyDescent="0.3"/>
    <row r="511" ht="15.85" customHeight="1" x14ac:dyDescent="0.3"/>
    <row r="512" ht="15.85" customHeight="1" x14ac:dyDescent="0.3"/>
    <row r="513" ht="15.85" customHeight="1" x14ac:dyDescent="0.3"/>
    <row r="514" ht="15.85" customHeight="1" x14ac:dyDescent="0.3"/>
    <row r="515" ht="15.85" customHeight="1" x14ac:dyDescent="0.3"/>
    <row r="516" ht="15.85" customHeight="1" x14ac:dyDescent="0.3"/>
    <row r="517" ht="15.85" customHeight="1" x14ac:dyDescent="0.3"/>
    <row r="518" ht="15.85" customHeight="1" x14ac:dyDescent="0.3"/>
    <row r="519" ht="15.85" customHeight="1" x14ac:dyDescent="0.3"/>
    <row r="520" ht="15.85" customHeight="1" x14ac:dyDescent="0.3"/>
    <row r="521" ht="15.85" customHeight="1" x14ac:dyDescent="0.3"/>
    <row r="522" ht="15.85" customHeight="1" x14ac:dyDescent="0.3"/>
    <row r="523" ht="15.85" customHeight="1" x14ac:dyDescent="0.3"/>
    <row r="524" ht="15.85" customHeight="1" x14ac:dyDescent="0.3"/>
    <row r="525" ht="15.85" customHeight="1" x14ac:dyDescent="0.3"/>
    <row r="526" ht="15.85" customHeight="1" x14ac:dyDescent="0.3"/>
    <row r="527" ht="15.85" customHeight="1" x14ac:dyDescent="0.3"/>
    <row r="528" ht="15.85" customHeight="1" x14ac:dyDescent="0.3"/>
    <row r="529" ht="15.85" customHeight="1" x14ac:dyDescent="0.3"/>
    <row r="530" ht="15.85" customHeight="1" x14ac:dyDescent="0.3"/>
    <row r="531" ht="15.85" customHeight="1" x14ac:dyDescent="0.3"/>
    <row r="532" ht="15.85" customHeight="1" x14ac:dyDescent="0.3"/>
    <row r="533" ht="15.85" customHeight="1" x14ac:dyDescent="0.3"/>
    <row r="534" ht="15.85" customHeight="1" x14ac:dyDescent="0.3"/>
    <row r="535" ht="15.85" customHeight="1" x14ac:dyDescent="0.3"/>
    <row r="536" ht="15.85" customHeight="1" x14ac:dyDescent="0.3"/>
    <row r="537" ht="15.85" customHeight="1" x14ac:dyDescent="0.3"/>
    <row r="538" ht="15.85" customHeight="1" x14ac:dyDescent="0.3"/>
    <row r="539" ht="15.85" customHeight="1" x14ac:dyDescent="0.3"/>
    <row r="540" ht="15.85" customHeight="1" x14ac:dyDescent="0.3"/>
    <row r="541" ht="15.85" customHeight="1" x14ac:dyDescent="0.3"/>
    <row r="542" ht="15.85" customHeight="1" x14ac:dyDescent="0.3"/>
    <row r="543" ht="15.85" customHeight="1" x14ac:dyDescent="0.3"/>
    <row r="544" ht="15.85" customHeight="1" x14ac:dyDescent="0.3"/>
    <row r="545" ht="15.85" customHeight="1" x14ac:dyDescent="0.3"/>
    <row r="546" ht="15.85" customHeight="1" x14ac:dyDescent="0.3"/>
    <row r="547" ht="15.85" customHeight="1" x14ac:dyDescent="0.3"/>
    <row r="548" ht="15.85" customHeight="1" x14ac:dyDescent="0.3"/>
    <row r="549" ht="15.85" customHeight="1" x14ac:dyDescent="0.3"/>
    <row r="550" ht="15.85" customHeight="1" x14ac:dyDescent="0.3"/>
    <row r="551" ht="15.85" customHeight="1" x14ac:dyDescent="0.3"/>
    <row r="552" ht="15.85" customHeight="1" x14ac:dyDescent="0.3"/>
    <row r="553" ht="15.85" customHeight="1" x14ac:dyDescent="0.3"/>
    <row r="554" ht="15.85" customHeight="1" x14ac:dyDescent="0.3"/>
    <row r="555" ht="15.85" customHeight="1" x14ac:dyDescent="0.3"/>
    <row r="556" ht="15.85" customHeight="1" x14ac:dyDescent="0.3"/>
    <row r="557" ht="15.85" customHeight="1" x14ac:dyDescent="0.3"/>
    <row r="558" ht="15.85" customHeight="1" x14ac:dyDescent="0.3"/>
    <row r="559" ht="15.85" customHeight="1" x14ac:dyDescent="0.3"/>
    <row r="560" ht="15.85" customHeight="1" x14ac:dyDescent="0.3"/>
    <row r="561" ht="15.85" customHeight="1" x14ac:dyDescent="0.3"/>
    <row r="562" ht="15.85" customHeight="1" x14ac:dyDescent="0.3"/>
    <row r="563" ht="15.85" customHeight="1" x14ac:dyDescent="0.3"/>
    <row r="564" ht="15.85" customHeight="1" x14ac:dyDescent="0.3"/>
    <row r="565" ht="15.85" customHeight="1" x14ac:dyDescent="0.3"/>
    <row r="566" ht="15.85" customHeight="1" x14ac:dyDescent="0.3"/>
    <row r="567" ht="15.85" customHeight="1" x14ac:dyDescent="0.3"/>
    <row r="568" ht="15.85" customHeight="1" x14ac:dyDescent="0.3"/>
    <row r="569" ht="15.85" customHeight="1" x14ac:dyDescent="0.3"/>
    <row r="570" ht="15.85" customHeight="1" x14ac:dyDescent="0.3"/>
    <row r="571" ht="15.85" customHeight="1" x14ac:dyDescent="0.3"/>
    <row r="572" ht="15.85" customHeight="1" x14ac:dyDescent="0.3"/>
    <row r="573" ht="15.85" customHeight="1" x14ac:dyDescent="0.3"/>
    <row r="574" ht="15.85" customHeight="1" x14ac:dyDescent="0.3"/>
    <row r="575" ht="15.85" customHeight="1" x14ac:dyDescent="0.3"/>
    <row r="576" ht="15.85" customHeight="1" x14ac:dyDescent="0.3"/>
    <row r="577" ht="15.85" customHeight="1" x14ac:dyDescent="0.3"/>
    <row r="578" ht="15.85" customHeight="1" x14ac:dyDescent="0.3"/>
    <row r="579" ht="15.85" customHeight="1" x14ac:dyDescent="0.3"/>
    <row r="580" ht="15.85" customHeight="1" x14ac:dyDescent="0.3"/>
    <row r="581" ht="15.85" customHeight="1" x14ac:dyDescent="0.3"/>
    <row r="582" ht="15.85" customHeight="1" x14ac:dyDescent="0.3"/>
    <row r="583" ht="15.85" customHeight="1" x14ac:dyDescent="0.3"/>
    <row r="584" ht="15.85" customHeight="1" x14ac:dyDescent="0.3"/>
    <row r="585" ht="15.85" customHeight="1" x14ac:dyDescent="0.3"/>
    <row r="586" ht="15.85" customHeight="1" x14ac:dyDescent="0.3"/>
    <row r="587" ht="15.85" customHeight="1" x14ac:dyDescent="0.3"/>
    <row r="588" ht="15.85" customHeight="1" x14ac:dyDescent="0.3"/>
    <row r="589" ht="15.85" customHeight="1" x14ac:dyDescent="0.3"/>
    <row r="590" ht="15.85" customHeight="1" x14ac:dyDescent="0.3"/>
    <row r="591" ht="15.85" customHeight="1" x14ac:dyDescent="0.3"/>
    <row r="592" ht="15.85" customHeight="1" x14ac:dyDescent="0.3"/>
    <row r="593" ht="15.85" customHeight="1" x14ac:dyDescent="0.3"/>
    <row r="594" ht="15.85" customHeight="1" x14ac:dyDescent="0.3"/>
    <row r="595" ht="15.85" customHeight="1" x14ac:dyDescent="0.3"/>
    <row r="596" ht="15.85" customHeight="1" x14ac:dyDescent="0.3"/>
    <row r="597" ht="15.85" customHeight="1" x14ac:dyDescent="0.3"/>
    <row r="598" ht="15.85" customHeight="1" x14ac:dyDescent="0.3"/>
    <row r="599" ht="15.85" customHeight="1" x14ac:dyDescent="0.3"/>
    <row r="600" ht="15.85" customHeight="1" x14ac:dyDescent="0.3"/>
    <row r="601" ht="15.85" customHeight="1" x14ac:dyDescent="0.3"/>
    <row r="602" ht="15.85" customHeight="1" x14ac:dyDescent="0.3"/>
    <row r="603" ht="15.85" customHeight="1" x14ac:dyDescent="0.3"/>
    <row r="604" ht="15.85" customHeight="1" x14ac:dyDescent="0.3"/>
    <row r="605" ht="15.85" customHeight="1" x14ac:dyDescent="0.3"/>
    <row r="606" ht="15.85" customHeight="1" x14ac:dyDescent="0.3"/>
    <row r="607" ht="15.85" customHeight="1" x14ac:dyDescent="0.3"/>
    <row r="608" ht="15.85" customHeight="1" x14ac:dyDescent="0.3"/>
    <row r="609" ht="15.85" customHeight="1" x14ac:dyDescent="0.3"/>
    <row r="610" ht="15.85" customHeight="1" x14ac:dyDescent="0.3"/>
    <row r="611" ht="15.85" customHeight="1" x14ac:dyDescent="0.3"/>
    <row r="612" ht="15.85" customHeight="1" x14ac:dyDescent="0.3"/>
    <row r="613" ht="15.85" customHeight="1" x14ac:dyDescent="0.3"/>
    <row r="614" ht="15.85" customHeight="1" x14ac:dyDescent="0.3"/>
    <row r="615" ht="15.85" customHeight="1" x14ac:dyDescent="0.3"/>
    <row r="616" ht="15.85" customHeight="1" x14ac:dyDescent="0.3"/>
    <row r="617" ht="15.85" customHeight="1" x14ac:dyDescent="0.3"/>
    <row r="618" ht="15.85" customHeight="1" x14ac:dyDescent="0.3"/>
    <row r="619" ht="15.85" customHeight="1" x14ac:dyDescent="0.3"/>
    <row r="620" ht="15.85" customHeight="1" x14ac:dyDescent="0.3"/>
    <row r="621" ht="15.85" customHeight="1" x14ac:dyDescent="0.3"/>
    <row r="622" ht="15.85" customHeight="1" x14ac:dyDescent="0.3"/>
    <row r="623" ht="15.85" customHeight="1" x14ac:dyDescent="0.3"/>
    <row r="624" ht="15.85" customHeight="1" x14ac:dyDescent="0.3"/>
    <row r="625" ht="15.85" customHeight="1" x14ac:dyDescent="0.3"/>
    <row r="626" ht="15.85" customHeight="1" x14ac:dyDescent="0.3"/>
    <row r="627" ht="15.85" customHeight="1" x14ac:dyDescent="0.3"/>
    <row r="628" ht="15.85" customHeight="1" x14ac:dyDescent="0.3"/>
    <row r="629" ht="15.85" customHeight="1" x14ac:dyDescent="0.3"/>
    <row r="630" ht="15.85" customHeight="1" x14ac:dyDescent="0.3"/>
    <row r="631" ht="15.85" customHeight="1" x14ac:dyDescent="0.3"/>
    <row r="632" ht="15.85" customHeight="1" x14ac:dyDescent="0.3"/>
    <row r="633" ht="15.85" customHeight="1" x14ac:dyDescent="0.3"/>
    <row r="634" ht="15.85" customHeight="1" x14ac:dyDescent="0.3"/>
    <row r="635" ht="15.85" customHeight="1" x14ac:dyDescent="0.3"/>
    <row r="636" ht="15.85" customHeight="1" x14ac:dyDescent="0.3"/>
    <row r="637" ht="15.85" customHeight="1" x14ac:dyDescent="0.3"/>
    <row r="638" ht="15.85" customHeight="1" x14ac:dyDescent="0.3"/>
    <row r="639" ht="15.85" customHeight="1" x14ac:dyDescent="0.3"/>
    <row r="640" ht="15.85" customHeight="1" x14ac:dyDescent="0.3"/>
    <row r="641" ht="15.85" customHeight="1" x14ac:dyDescent="0.3"/>
    <row r="642" ht="15.85" customHeight="1" x14ac:dyDescent="0.3"/>
    <row r="643" ht="15.85" customHeight="1" x14ac:dyDescent="0.3"/>
    <row r="644" ht="15.85" customHeight="1" x14ac:dyDescent="0.3"/>
    <row r="645" ht="15.85" customHeight="1" x14ac:dyDescent="0.3"/>
    <row r="646" ht="15.85" customHeight="1" x14ac:dyDescent="0.3"/>
    <row r="647" ht="15.85" customHeight="1" x14ac:dyDescent="0.3"/>
    <row r="648" ht="15.85" customHeight="1" x14ac:dyDescent="0.3"/>
    <row r="649" ht="15.85" customHeight="1" x14ac:dyDescent="0.3"/>
    <row r="650" ht="15.85" customHeight="1" x14ac:dyDescent="0.3"/>
    <row r="651" ht="15.85" customHeight="1" x14ac:dyDescent="0.3"/>
    <row r="652" ht="15.85" customHeight="1" x14ac:dyDescent="0.3"/>
    <row r="653" ht="15.85" customHeight="1" x14ac:dyDescent="0.3"/>
    <row r="654" ht="15.85" customHeight="1" x14ac:dyDescent="0.3"/>
    <row r="655" ht="15.85" customHeight="1" x14ac:dyDescent="0.3"/>
    <row r="656" ht="15.85" customHeight="1" x14ac:dyDescent="0.3"/>
    <row r="657" ht="15.85" customHeight="1" x14ac:dyDescent="0.3"/>
    <row r="658" ht="15.85" customHeight="1" x14ac:dyDescent="0.3"/>
    <row r="659" ht="15.85" customHeight="1" x14ac:dyDescent="0.3"/>
    <row r="660" ht="15.85" customHeight="1" x14ac:dyDescent="0.3"/>
    <row r="661" ht="15.85" customHeight="1" x14ac:dyDescent="0.3"/>
    <row r="662" ht="15.85" customHeight="1" x14ac:dyDescent="0.3"/>
    <row r="663" ht="15.85" customHeight="1" x14ac:dyDescent="0.3"/>
    <row r="664" ht="15.85" customHeight="1" x14ac:dyDescent="0.3"/>
    <row r="665" ht="15.85" customHeight="1" x14ac:dyDescent="0.3"/>
    <row r="666" ht="15.85" customHeight="1" x14ac:dyDescent="0.3"/>
    <row r="667" ht="15.85" customHeight="1" x14ac:dyDescent="0.3"/>
    <row r="668" ht="15.85" customHeight="1" x14ac:dyDescent="0.3"/>
    <row r="669" ht="15.85" customHeight="1" x14ac:dyDescent="0.3"/>
    <row r="670" ht="15.85" customHeight="1" x14ac:dyDescent="0.3"/>
    <row r="671" ht="15.85" customHeight="1" x14ac:dyDescent="0.3"/>
    <row r="672" ht="15.85" customHeight="1" x14ac:dyDescent="0.3"/>
    <row r="673" ht="15.85" customHeight="1" x14ac:dyDescent="0.3"/>
    <row r="674" ht="15.85" customHeight="1" x14ac:dyDescent="0.3"/>
    <row r="675" ht="15.85" customHeight="1" x14ac:dyDescent="0.3"/>
    <row r="676" ht="15.85" customHeight="1" x14ac:dyDescent="0.3"/>
    <row r="677" ht="15.85" customHeight="1" x14ac:dyDescent="0.3"/>
    <row r="678" ht="15.85" customHeight="1" x14ac:dyDescent="0.3"/>
    <row r="679" ht="15.85" customHeight="1" x14ac:dyDescent="0.3"/>
    <row r="680" ht="15.85" customHeight="1" x14ac:dyDescent="0.3"/>
    <row r="681" ht="15.85" customHeight="1" x14ac:dyDescent="0.3"/>
    <row r="682" ht="15.85" customHeight="1" x14ac:dyDescent="0.3"/>
    <row r="683" ht="15.85" customHeight="1" x14ac:dyDescent="0.3"/>
    <row r="684" ht="15.85" customHeight="1" x14ac:dyDescent="0.3"/>
    <row r="685" ht="15.85" customHeight="1" x14ac:dyDescent="0.3"/>
    <row r="686" ht="15.85" customHeight="1" x14ac:dyDescent="0.3"/>
    <row r="687" ht="15.85" customHeight="1" x14ac:dyDescent="0.3"/>
    <row r="688" ht="15.85" customHeight="1" x14ac:dyDescent="0.3"/>
    <row r="689" ht="15.85" customHeight="1" x14ac:dyDescent="0.3"/>
    <row r="690" ht="15.85" customHeight="1" x14ac:dyDescent="0.3"/>
    <row r="691" ht="15.85" customHeight="1" x14ac:dyDescent="0.3"/>
    <row r="692" ht="15.85" customHeight="1" x14ac:dyDescent="0.3"/>
    <row r="693" ht="15.85" customHeight="1" x14ac:dyDescent="0.3"/>
    <row r="694" ht="15.85" customHeight="1" x14ac:dyDescent="0.3"/>
    <row r="695" ht="15.85" customHeight="1" x14ac:dyDescent="0.3"/>
    <row r="696" ht="15.85" customHeight="1" x14ac:dyDescent="0.3"/>
    <row r="697" ht="15.85" customHeight="1" x14ac:dyDescent="0.3"/>
    <row r="698" ht="15.85" customHeight="1" x14ac:dyDescent="0.3"/>
    <row r="699" ht="15.85" customHeight="1" x14ac:dyDescent="0.3"/>
    <row r="700" ht="15.85" customHeight="1" x14ac:dyDescent="0.3"/>
    <row r="701" ht="15.85" customHeight="1" x14ac:dyDescent="0.3"/>
    <row r="702" ht="15.85" customHeight="1" x14ac:dyDescent="0.3"/>
    <row r="703" ht="15.85" customHeight="1" x14ac:dyDescent="0.3"/>
    <row r="704" ht="15.85" customHeight="1" x14ac:dyDescent="0.3"/>
    <row r="705" ht="15.85" customHeight="1" x14ac:dyDescent="0.3"/>
    <row r="706" ht="15.85" customHeight="1" x14ac:dyDescent="0.3"/>
    <row r="707" ht="15.85" customHeight="1" x14ac:dyDescent="0.3"/>
    <row r="708" ht="15.85" customHeight="1" x14ac:dyDescent="0.3"/>
    <row r="709" ht="15.85" customHeight="1" x14ac:dyDescent="0.3"/>
    <row r="710" ht="15.85" customHeight="1" x14ac:dyDescent="0.3"/>
    <row r="711" ht="15.85" customHeight="1" x14ac:dyDescent="0.3"/>
    <row r="712" ht="15.85" customHeight="1" x14ac:dyDescent="0.3"/>
    <row r="713" ht="15.85" customHeight="1" x14ac:dyDescent="0.3"/>
    <row r="714" ht="15.85" customHeight="1" x14ac:dyDescent="0.3"/>
    <row r="715" ht="15.85" customHeight="1" x14ac:dyDescent="0.3"/>
    <row r="716" ht="15.85" customHeight="1" x14ac:dyDescent="0.3"/>
    <row r="717" ht="15.85" customHeight="1" x14ac:dyDescent="0.3"/>
    <row r="718" ht="15.85" customHeight="1" x14ac:dyDescent="0.3"/>
    <row r="719" ht="15.85" customHeight="1" x14ac:dyDescent="0.3"/>
    <row r="720" ht="15.85" customHeight="1" x14ac:dyDescent="0.3"/>
    <row r="721" ht="15.85" customHeight="1" x14ac:dyDescent="0.3"/>
    <row r="722" ht="15.85" customHeight="1" x14ac:dyDescent="0.3"/>
    <row r="723" ht="15.85" customHeight="1" x14ac:dyDescent="0.3"/>
    <row r="724" ht="15.85" customHeight="1" x14ac:dyDescent="0.3"/>
    <row r="725" ht="15.85" customHeight="1" x14ac:dyDescent="0.3"/>
    <row r="726" ht="15.85" customHeight="1" x14ac:dyDescent="0.3"/>
    <row r="727" ht="15.85" customHeight="1" x14ac:dyDescent="0.3"/>
    <row r="728" ht="15.85" customHeight="1" x14ac:dyDescent="0.3"/>
    <row r="729" ht="15.85" customHeight="1" x14ac:dyDescent="0.3"/>
    <row r="730" ht="15.85" customHeight="1" x14ac:dyDescent="0.3"/>
    <row r="731" ht="15.85" customHeight="1" x14ac:dyDescent="0.3"/>
    <row r="732" ht="15.85" customHeight="1" x14ac:dyDescent="0.3"/>
    <row r="733" ht="15.85" customHeight="1" x14ac:dyDescent="0.3"/>
    <row r="734" ht="15.85" customHeight="1" x14ac:dyDescent="0.3"/>
    <row r="735" ht="15.85" customHeight="1" x14ac:dyDescent="0.3"/>
    <row r="736" ht="15.85" customHeight="1" x14ac:dyDescent="0.3"/>
    <row r="737" ht="15.85" customHeight="1" x14ac:dyDescent="0.3"/>
    <row r="738" ht="15.85" customHeight="1" x14ac:dyDescent="0.3"/>
    <row r="739" ht="15.85" customHeight="1" x14ac:dyDescent="0.3"/>
    <row r="740" ht="15.85" customHeight="1" x14ac:dyDescent="0.3"/>
    <row r="741" ht="15.85" customHeight="1" x14ac:dyDescent="0.3"/>
    <row r="742" ht="15.85" customHeight="1" x14ac:dyDescent="0.3"/>
    <row r="743" ht="15.85" customHeight="1" x14ac:dyDescent="0.3"/>
    <row r="744" ht="15.85" customHeight="1" x14ac:dyDescent="0.3"/>
    <row r="745" ht="15.85" customHeight="1" x14ac:dyDescent="0.3"/>
    <row r="746" ht="15.85" customHeight="1" x14ac:dyDescent="0.3"/>
    <row r="747" ht="15.85" customHeight="1" x14ac:dyDescent="0.3"/>
    <row r="748" ht="15.85" customHeight="1" x14ac:dyDescent="0.3"/>
    <row r="749" ht="15.85" customHeight="1" x14ac:dyDescent="0.3"/>
    <row r="750" ht="15.85" customHeight="1" x14ac:dyDescent="0.3"/>
    <row r="751" ht="15.85" customHeight="1" x14ac:dyDescent="0.3"/>
    <row r="752" ht="15.85" customHeight="1" x14ac:dyDescent="0.3"/>
    <row r="753" ht="15.85" customHeight="1" x14ac:dyDescent="0.3"/>
    <row r="754" ht="15.85" customHeight="1" x14ac:dyDescent="0.3"/>
    <row r="755" ht="15.85" customHeight="1" x14ac:dyDescent="0.3"/>
    <row r="756" ht="15.85" customHeight="1" x14ac:dyDescent="0.3"/>
    <row r="757" ht="15.85" customHeight="1" x14ac:dyDescent="0.3"/>
    <row r="758" ht="15.85" customHeight="1" x14ac:dyDescent="0.3"/>
    <row r="759" ht="15.85" customHeight="1" x14ac:dyDescent="0.3"/>
    <row r="760" ht="15.85" customHeight="1" x14ac:dyDescent="0.3"/>
    <row r="761" ht="15.85" customHeight="1" x14ac:dyDescent="0.3"/>
    <row r="762" ht="15.85" customHeight="1" x14ac:dyDescent="0.3"/>
    <row r="763" ht="15.85" customHeight="1" x14ac:dyDescent="0.3"/>
    <row r="764" ht="15.85" customHeight="1" x14ac:dyDescent="0.3"/>
    <row r="765" ht="15.85" customHeight="1" x14ac:dyDescent="0.3"/>
    <row r="766" ht="15.85" customHeight="1" x14ac:dyDescent="0.3"/>
    <row r="767" ht="15.85" customHeight="1" x14ac:dyDescent="0.3"/>
    <row r="768" ht="15.85" customHeight="1" x14ac:dyDescent="0.3"/>
    <row r="769" ht="15.85" customHeight="1" x14ac:dyDescent="0.3"/>
    <row r="770" ht="15.85" customHeight="1" x14ac:dyDescent="0.3"/>
    <row r="771" ht="15.85" customHeight="1" x14ac:dyDescent="0.3"/>
    <row r="772" ht="15.85" customHeight="1" x14ac:dyDescent="0.3"/>
    <row r="773" ht="15.85" customHeight="1" x14ac:dyDescent="0.3"/>
    <row r="774" ht="15.85" customHeight="1" x14ac:dyDescent="0.3"/>
    <row r="775" ht="15.85" customHeight="1" x14ac:dyDescent="0.3"/>
    <row r="776" ht="15.85" customHeight="1" x14ac:dyDescent="0.3"/>
    <row r="777" ht="15.85" customHeight="1" x14ac:dyDescent="0.3"/>
    <row r="778" ht="15.85" customHeight="1" x14ac:dyDescent="0.3"/>
    <row r="779" ht="15.85" customHeight="1" x14ac:dyDescent="0.3"/>
    <row r="780" ht="15.85" customHeight="1" x14ac:dyDescent="0.3"/>
    <row r="781" ht="15.85" customHeight="1" x14ac:dyDescent="0.3"/>
    <row r="782" ht="15.85" customHeight="1" x14ac:dyDescent="0.3"/>
    <row r="783" ht="15.85" customHeight="1" x14ac:dyDescent="0.3"/>
    <row r="784" ht="15.85" customHeight="1" x14ac:dyDescent="0.3"/>
    <row r="785" ht="15.85" customHeight="1" x14ac:dyDescent="0.3"/>
    <row r="786" ht="15.85" customHeight="1" x14ac:dyDescent="0.3"/>
    <row r="787" ht="15.85" customHeight="1" x14ac:dyDescent="0.3"/>
    <row r="788" ht="15.85" customHeight="1" x14ac:dyDescent="0.3"/>
    <row r="789" ht="15.85" customHeight="1" x14ac:dyDescent="0.3"/>
    <row r="790" ht="15.85" customHeight="1" x14ac:dyDescent="0.3"/>
    <row r="791" ht="15.85" customHeight="1" x14ac:dyDescent="0.3"/>
    <row r="792" ht="15.85" customHeight="1" x14ac:dyDescent="0.3"/>
    <row r="793" ht="15.85" customHeight="1" x14ac:dyDescent="0.3"/>
    <row r="794" ht="15.85" customHeight="1" x14ac:dyDescent="0.3"/>
    <row r="795" ht="15.85" customHeight="1" x14ac:dyDescent="0.3"/>
    <row r="796" ht="15.85" customHeight="1" x14ac:dyDescent="0.3"/>
    <row r="797" ht="15.85" customHeight="1" x14ac:dyDescent="0.3"/>
    <row r="798" ht="15.85" customHeight="1" x14ac:dyDescent="0.3"/>
    <row r="799" ht="15.85" customHeight="1" x14ac:dyDescent="0.3"/>
    <row r="800" ht="15.85" customHeight="1" x14ac:dyDescent="0.3"/>
    <row r="801" ht="15.85" customHeight="1" x14ac:dyDescent="0.3"/>
    <row r="802" ht="15.85" customHeight="1" x14ac:dyDescent="0.3"/>
    <row r="803" ht="15.85" customHeight="1" x14ac:dyDescent="0.3"/>
    <row r="804" ht="15.85" customHeight="1" x14ac:dyDescent="0.3"/>
    <row r="805" ht="15.85" customHeight="1" x14ac:dyDescent="0.3"/>
    <row r="806" ht="15.85" customHeight="1" x14ac:dyDescent="0.3"/>
    <row r="807" ht="15.85" customHeight="1" x14ac:dyDescent="0.3"/>
    <row r="808" ht="15.85" customHeight="1" x14ac:dyDescent="0.3"/>
    <row r="809" ht="15.85" customHeight="1" x14ac:dyDescent="0.3"/>
    <row r="810" ht="15.85" customHeight="1" x14ac:dyDescent="0.3"/>
    <row r="811" ht="15.85" customHeight="1" x14ac:dyDescent="0.3"/>
    <row r="812" ht="15.85" customHeight="1" x14ac:dyDescent="0.3"/>
    <row r="813" ht="15.85" customHeight="1" x14ac:dyDescent="0.3"/>
    <row r="814" ht="15.85" customHeight="1" x14ac:dyDescent="0.3"/>
    <row r="815" ht="15.85" customHeight="1" x14ac:dyDescent="0.3"/>
    <row r="816" ht="15.85" customHeight="1" x14ac:dyDescent="0.3"/>
    <row r="817" ht="15.85" customHeight="1" x14ac:dyDescent="0.3"/>
    <row r="818" ht="15.85" customHeight="1" x14ac:dyDescent="0.3"/>
    <row r="819" ht="15.85" customHeight="1" x14ac:dyDescent="0.3"/>
    <row r="820" ht="15.85" customHeight="1" x14ac:dyDescent="0.3"/>
    <row r="821" ht="15.85" customHeight="1" x14ac:dyDescent="0.3"/>
    <row r="822" ht="15.85" customHeight="1" x14ac:dyDescent="0.3"/>
    <row r="823" ht="15.85" customHeight="1" x14ac:dyDescent="0.3"/>
    <row r="824" ht="15.85" customHeight="1" x14ac:dyDescent="0.3"/>
    <row r="825" ht="15.85" customHeight="1" x14ac:dyDescent="0.3"/>
    <row r="826" ht="15.85" customHeight="1" x14ac:dyDescent="0.3"/>
    <row r="827" ht="15.85" customHeight="1" x14ac:dyDescent="0.3"/>
    <row r="828" ht="15.85" customHeight="1" x14ac:dyDescent="0.3"/>
    <row r="829" ht="15.85" customHeight="1" x14ac:dyDescent="0.3"/>
    <row r="830" ht="15.85" customHeight="1" x14ac:dyDescent="0.3"/>
    <row r="831" ht="15.85" customHeight="1" x14ac:dyDescent="0.3"/>
    <row r="832" ht="15.85" customHeight="1" x14ac:dyDescent="0.3"/>
    <row r="833" ht="15.85" customHeight="1" x14ac:dyDescent="0.3"/>
    <row r="834" ht="15.85" customHeight="1" x14ac:dyDescent="0.3"/>
    <row r="835" ht="15.85" customHeight="1" x14ac:dyDescent="0.3"/>
    <row r="836" ht="15.85" customHeight="1" x14ac:dyDescent="0.3"/>
    <row r="837" ht="15.85" customHeight="1" x14ac:dyDescent="0.3"/>
    <row r="838" ht="15.85" customHeight="1" x14ac:dyDescent="0.3"/>
    <row r="839" ht="15.85" customHeight="1" x14ac:dyDescent="0.3"/>
    <row r="840" ht="15.85" customHeight="1" x14ac:dyDescent="0.3"/>
    <row r="841" ht="15.85" customHeight="1" x14ac:dyDescent="0.3"/>
    <row r="842" ht="15.85" customHeight="1" x14ac:dyDescent="0.3"/>
    <row r="843" ht="15.85" customHeight="1" x14ac:dyDescent="0.3"/>
    <row r="844" ht="15.85" customHeight="1" x14ac:dyDescent="0.3"/>
    <row r="845" ht="15.85" customHeight="1" x14ac:dyDescent="0.3"/>
    <row r="846" ht="15.85" customHeight="1" x14ac:dyDescent="0.3"/>
    <row r="847" ht="15.85" customHeight="1" x14ac:dyDescent="0.3"/>
    <row r="848" ht="15.85" customHeight="1" x14ac:dyDescent="0.3"/>
    <row r="849" ht="15.85" customHeight="1" x14ac:dyDescent="0.3"/>
    <row r="850" ht="15.85" customHeight="1" x14ac:dyDescent="0.3"/>
    <row r="851" ht="15.85" customHeight="1" x14ac:dyDescent="0.3"/>
    <row r="852" ht="15.85" customHeight="1" x14ac:dyDescent="0.3"/>
    <row r="853" ht="15.85" customHeight="1" x14ac:dyDescent="0.3"/>
    <row r="854" ht="15.85" customHeight="1" x14ac:dyDescent="0.3"/>
    <row r="855" ht="15.85" customHeight="1" x14ac:dyDescent="0.3"/>
    <row r="856" ht="15.85" customHeight="1" x14ac:dyDescent="0.3"/>
    <row r="857" ht="15.85" customHeight="1" x14ac:dyDescent="0.3"/>
    <row r="858" ht="15.85" customHeight="1" x14ac:dyDescent="0.3"/>
    <row r="859" ht="15.85" customHeight="1" x14ac:dyDescent="0.3"/>
    <row r="860" ht="15.85" customHeight="1" x14ac:dyDescent="0.3"/>
    <row r="861" ht="15.85" customHeight="1" x14ac:dyDescent="0.3"/>
    <row r="862" ht="15.85" customHeight="1" x14ac:dyDescent="0.3"/>
    <row r="863" ht="15.85" customHeight="1" x14ac:dyDescent="0.3"/>
    <row r="864" ht="15.85" customHeight="1" x14ac:dyDescent="0.3"/>
    <row r="865" ht="15.85" customHeight="1" x14ac:dyDescent="0.3"/>
    <row r="866" ht="15.85" customHeight="1" x14ac:dyDescent="0.3"/>
    <row r="867" ht="15.85" customHeight="1" x14ac:dyDescent="0.3"/>
    <row r="868" ht="15.85" customHeight="1" x14ac:dyDescent="0.3"/>
    <row r="869" ht="15.85" customHeight="1" x14ac:dyDescent="0.3"/>
    <row r="870" ht="15.85" customHeight="1" x14ac:dyDescent="0.3"/>
    <row r="871" ht="15.85" customHeight="1" x14ac:dyDescent="0.3"/>
    <row r="872" ht="15.85" customHeight="1" x14ac:dyDescent="0.3"/>
    <row r="873" ht="15.85" customHeight="1" x14ac:dyDescent="0.3"/>
    <row r="874" ht="15.85" customHeight="1" x14ac:dyDescent="0.3"/>
    <row r="875" ht="15.85" customHeight="1" x14ac:dyDescent="0.3"/>
    <row r="876" ht="15.85" customHeight="1" x14ac:dyDescent="0.3"/>
    <row r="877" ht="15.85" customHeight="1" x14ac:dyDescent="0.3"/>
    <row r="878" ht="15.85" customHeight="1" x14ac:dyDescent="0.3"/>
    <row r="879" ht="15.85" customHeight="1" x14ac:dyDescent="0.3"/>
    <row r="880" ht="15.85" customHeight="1" x14ac:dyDescent="0.3"/>
    <row r="881" ht="15.85" customHeight="1" x14ac:dyDescent="0.3"/>
    <row r="882" ht="15.85" customHeight="1" x14ac:dyDescent="0.3"/>
    <row r="883" ht="15.85" customHeight="1" x14ac:dyDescent="0.3"/>
    <row r="884" ht="15.85" customHeight="1" x14ac:dyDescent="0.3"/>
    <row r="885" ht="15.85" customHeight="1" x14ac:dyDescent="0.3"/>
    <row r="886" ht="15.85" customHeight="1" x14ac:dyDescent="0.3"/>
    <row r="887" ht="15.85" customHeight="1" x14ac:dyDescent="0.3"/>
    <row r="888" ht="15.85" customHeight="1" x14ac:dyDescent="0.3"/>
    <row r="889" ht="15.85" customHeight="1" x14ac:dyDescent="0.3"/>
    <row r="890" ht="15.85" customHeight="1" x14ac:dyDescent="0.3"/>
    <row r="891" ht="15.85" customHeight="1" x14ac:dyDescent="0.3"/>
    <row r="892" ht="15.85" customHeight="1" x14ac:dyDescent="0.3"/>
    <row r="893" ht="15.85" customHeight="1" x14ac:dyDescent="0.3"/>
    <row r="894" ht="15.85" customHeight="1" x14ac:dyDescent="0.3"/>
    <row r="895" ht="15.85" customHeight="1" x14ac:dyDescent="0.3"/>
    <row r="896" ht="15.85" customHeight="1" x14ac:dyDescent="0.3"/>
    <row r="897" ht="15.85" customHeight="1" x14ac:dyDescent="0.3"/>
    <row r="898" ht="15.85" customHeight="1" x14ac:dyDescent="0.3"/>
    <row r="899" ht="15.85" customHeight="1" x14ac:dyDescent="0.3"/>
    <row r="900" ht="15.85" customHeight="1" x14ac:dyDescent="0.3"/>
    <row r="901" ht="15.85" customHeight="1" x14ac:dyDescent="0.3"/>
    <row r="902" ht="15.85" customHeight="1" x14ac:dyDescent="0.3"/>
    <row r="903" ht="15.85" customHeight="1" x14ac:dyDescent="0.3"/>
    <row r="904" ht="15.85" customHeight="1" x14ac:dyDescent="0.3"/>
    <row r="905" ht="15.85" customHeight="1" x14ac:dyDescent="0.3"/>
    <row r="906" ht="15.85" customHeight="1" x14ac:dyDescent="0.3"/>
    <row r="907" ht="15.85" customHeight="1" x14ac:dyDescent="0.3"/>
    <row r="908" ht="15.85" customHeight="1" x14ac:dyDescent="0.3"/>
    <row r="909" ht="15.85" customHeight="1" x14ac:dyDescent="0.3"/>
    <row r="910" ht="15.85" customHeight="1" x14ac:dyDescent="0.3"/>
    <row r="911" ht="15.85" customHeight="1" x14ac:dyDescent="0.3"/>
    <row r="912" ht="15.85" customHeight="1" x14ac:dyDescent="0.3"/>
    <row r="913" ht="15.85" customHeight="1" x14ac:dyDescent="0.3"/>
    <row r="914" ht="15.85" customHeight="1" x14ac:dyDescent="0.3"/>
    <row r="915" ht="15.85" customHeight="1" x14ac:dyDescent="0.3"/>
    <row r="916" ht="15.85" customHeight="1" x14ac:dyDescent="0.3"/>
    <row r="917" ht="15.85" customHeight="1" x14ac:dyDescent="0.3"/>
    <row r="918" ht="15.85" customHeight="1" x14ac:dyDescent="0.3"/>
    <row r="919" ht="15.85" customHeight="1" x14ac:dyDescent="0.3"/>
    <row r="920" ht="15.85" customHeight="1" x14ac:dyDescent="0.3"/>
    <row r="921" ht="15.85" customHeight="1" x14ac:dyDescent="0.3"/>
    <row r="922" ht="15.85" customHeight="1" x14ac:dyDescent="0.3"/>
    <row r="923" ht="15.85" customHeight="1" x14ac:dyDescent="0.3"/>
    <row r="924" ht="15.85" customHeight="1" x14ac:dyDescent="0.3"/>
    <row r="925" ht="15.85" customHeight="1" x14ac:dyDescent="0.3"/>
    <row r="926" ht="15.85" customHeight="1" x14ac:dyDescent="0.3"/>
    <row r="927" ht="15.85" customHeight="1" x14ac:dyDescent="0.3"/>
    <row r="928" ht="15.85" customHeight="1" x14ac:dyDescent="0.3"/>
    <row r="929" ht="15.85" customHeight="1" x14ac:dyDescent="0.3"/>
    <row r="930" ht="15.85" customHeight="1" x14ac:dyDescent="0.3"/>
    <row r="931" ht="15.85" customHeight="1" x14ac:dyDescent="0.3"/>
    <row r="932" ht="15.85" customHeight="1" x14ac:dyDescent="0.3"/>
    <row r="933" ht="15.85" customHeight="1" x14ac:dyDescent="0.3"/>
    <row r="934" ht="15.85" customHeight="1" x14ac:dyDescent="0.3"/>
    <row r="935" ht="15.85" customHeight="1" x14ac:dyDescent="0.3"/>
    <row r="936" ht="15.85" customHeight="1" x14ac:dyDescent="0.3"/>
    <row r="937" ht="15.85" customHeight="1" x14ac:dyDescent="0.3"/>
    <row r="938" ht="15.85" customHeight="1" x14ac:dyDescent="0.3"/>
    <row r="939" ht="15.85" customHeight="1" x14ac:dyDescent="0.3"/>
    <row r="940" ht="15.85" customHeight="1" x14ac:dyDescent="0.3"/>
    <row r="941" ht="15.85" customHeight="1" x14ac:dyDescent="0.3"/>
    <row r="942" ht="15.85" customHeight="1" x14ac:dyDescent="0.3"/>
    <row r="943" ht="15.85" customHeight="1" x14ac:dyDescent="0.3"/>
    <row r="944" ht="15.85" customHeight="1" x14ac:dyDescent="0.3"/>
    <row r="945" ht="15.85" customHeight="1" x14ac:dyDescent="0.3"/>
    <row r="946" ht="15.85" customHeight="1" x14ac:dyDescent="0.3"/>
    <row r="947" ht="15.85" customHeight="1" x14ac:dyDescent="0.3"/>
    <row r="948" ht="15.85" customHeight="1" x14ac:dyDescent="0.3"/>
    <row r="949" ht="15.85" customHeight="1" x14ac:dyDescent="0.3"/>
    <row r="950" ht="15.85" customHeight="1" x14ac:dyDescent="0.3"/>
    <row r="951" ht="15.85" customHeight="1" x14ac:dyDescent="0.3"/>
    <row r="952" ht="15.85" customHeight="1" x14ac:dyDescent="0.3"/>
    <row r="953" ht="15.85" customHeight="1" x14ac:dyDescent="0.3"/>
    <row r="954" ht="15.85" customHeight="1" x14ac:dyDescent="0.3"/>
    <row r="955" ht="15.85" customHeight="1" x14ac:dyDescent="0.3"/>
    <row r="956" ht="15.85" customHeight="1" x14ac:dyDescent="0.3"/>
    <row r="957" ht="15.85" customHeight="1" x14ac:dyDescent="0.3"/>
    <row r="958" ht="15.85" customHeight="1" x14ac:dyDescent="0.3"/>
    <row r="959" ht="15.85" customHeight="1" x14ac:dyDescent="0.3"/>
    <row r="960" ht="15.85" customHeight="1" x14ac:dyDescent="0.3"/>
    <row r="961" ht="15.85" customHeight="1" x14ac:dyDescent="0.3"/>
    <row r="962" ht="15.85" customHeight="1" x14ac:dyDescent="0.3"/>
    <row r="963" ht="15.85" customHeight="1" x14ac:dyDescent="0.3"/>
    <row r="964" ht="15.85" customHeight="1" x14ac:dyDescent="0.3"/>
    <row r="965" ht="15.85" customHeight="1" x14ac:dyDescent="0.3"/>
    <row r="966" ht="15.85" customHeight="1" x14ac:dyDescent="0.3"/>
    <row r="967" ht="15.85" customHeight="1" x14ac:dyDescent="0.3"/>
    <row r="968" ht="15.85" customHeight="1" x14ac:dyDescent="0.3"/>
    <row r="969" ht="15.85" customHeight="1" x14ac:dyDescent="0.3"/>
    <row r="970" ht="15.85" customHeight="1" x14ac:dyDescent="0.3"/>
    <row r="971" ht="15.85" customHeight="1" x14ac:dyDescent="0.3"/>
    <row r="972" ht="15.85" customHeight="1" x14ac:dyDescent="0.3"/>
    <row r="973" ht="15.85" customHeight="1" x14ac:dyDescent="0.3"/>
    <row r="974" ht="15.85" customHeight="1" x14ac:dyDescent="0.3"/>
    <row r="975" ht="15.85" customHeight="1" x14ac:dyDescent="0.3"/>
    <row r="976" ht="15.85" customHeight="1" x14ac:dyDescent="0.3"/>
    <row r="977" ht="15.85" customHeight="1" x14ac:dyDescent="0.3"/>
    <row r="978" ht="15.85" customHeight="1" x14ac:dyDescent="0.3"/>
    <row r="979" ht="15.85" customHeight="1" x14ac:dyDescent="0.3"/>
    <row r="980" ht="15.85" customHeight="1" x14ac:dyDescent="0.3"/>
    <row r="981" ht="15.85" customHeight="1" x14ac:dyDescent="0.3"/>
    <row r="982" ht="15.85" customHeight="1" x14ac:dyDescent="0.3"/>
    <row r="983" ht="15.85" customHeight="1" x14ac:dyDescent="0.3"/>
    <row r="984" ht="15.85" customHeight="1" x14ac:dyDescent="0.3"/>
    <row r="985" ht="15.85" customHeight="1" x14ac:dyDescent="0.3"/>
    <row r="986" ht="15.85" customHeight="1" x14ac:dyDescent="0.3"/>
    <row r="987" ht="15.85" customHeight="1" x14ac:dyDescent="0.3"/>
    <row r="988" ht="15.85" customHeight="1" x14ac:dyDescent="0.3"/>
    <row r="989" ht="15.85" customHeight="1" x14ac:dyDescent="0.3"/>
    <row r="990" ht="15.85" customHeight="1" x14ac:dyDescent="0.3"/>
    <row r="991" ht="15.85" customHeight="1" x14ac:dyDescent="0.3"/>
    <row r="992" ht="15.85" customHeight="1" x14ac:dyDescent="0.3"/>
    <row r="993" ht="15.85" customHeight="1" x14ac:dyDescent="0.3"/>
    <row r="994" ht="15.85" customHeight="1" x14ac:dyDescent="0.3"/>
    <row r="995" ht="15.85" customHeight="1" x14ac:dyDescent="0.3"/>
    <row r="996" ht="15.85" customHeight="1" x14ac:dyDescent="0.3"/>
    <row r="997" ht="15.85" customHeight="1" x14ac:dyDescent="0.3"/>
    <row r="998" ht="15.85" customHeight="1" x14ac:dyDescent="0.3"/>
    <row r="999" ht="15.85" customHeight="1" x14ac:dyDescent="0.3"/>
    <row r="1000" ht="15.85" customHeight="1" x14ac:dyDescent="0.3"/>
    <row r="1001" ht="15.85" customHeight="1" x14ac:dyDescent="0.3"/>
  </sheetData>
  <mergeCells count="14">
    <mergeCell ref="R4:S4"/>
    <mergeCell ref="A1:AA1"/>
    <mergeCell ref="A2:AA2"/>
    <mergeCell ref="A3:AA3"/>
    <mergeCell ref="D4:E4"/>
    <mergeCell ref="F4:G4"/>
    <mergeCell ref="H4:I4"/>
    <mergeCell ref="J4:K4"/>
    <mergeCell ref="T4:U4"/>
    <mergeCell ref="L4:M4"/>
    <mergeCell ref="N4:O4"/>
    <mergeCell ref="A5:C5"/>
    <mergeCell ref="B79:C79"/>
    <mergeCell ref="P4:Q4"/>
  </mergeCells>
  <conditionalFormatting sqref="W6:W77">
    <cfRule type="cellIs" dxfId="7" priority="1" operator="lessThan">
      <formula>75</formula>
    </cfRule>
  </conditionalFormatting>
  <conditionalFormatting sqref="AA6:AA77">
    <cfRule type="cellIs" dxfId="6" priority="2" operator="lessThan">
      <formula>75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000"/>
  <sheetViews>
    <sheetView workbookViewId="0"/>
  </sheetViews>
  <sheetFormatPr defaultColWidth="14.44140625" defaultRowHeight="15.05" customHeight="1" x14ac:dyDescent="0.3"/>
  <cols>
    <col min="1" max="1" width="5.109375" customWidth="1"/>
    <col min="2" max="2" width="14.109375" customWidth="1"/>
    <col min="3" max="3" width="46.109375" customWidth="1"/>
    <col min="4" max="4" width="8.6640625" customWidth="1"/>
    <col min="5" max="5" width="12.6640625" customWidth="1"/>
    <col min="6" max="6" width="5.44140625" customWidth="1"/>
    <col min="7" max="7" width="12.6640625" customWidth="1"/>
    <col min="8" max="8" width="7.6640625" customWidth="1"/>
    <col min="9" max="9" width="12.6640625" customWidth="1"/>
    <col min="10" max="10" width="3" customWidth="1"/>
    <col min="12" max="12" width="3" customWidth="1"/>
    <col min="14" max="14" width="3" customWidth="1"/>
    <col min="16" max="16" width="3" customWidth="1"/>
    <col min="18" max="18" width="3" customWidth="1"/>
    <col min="20" max="20" width="3" customWidth="1"/>
    <col min="21" max="21" width="12.6640625" customWidth="1"/>
    <col min="22" max="22" width="5.6640625" customWidth="1"/>
    <col min="24" max="24" width="6.5546875" customWidth="1"/>
    <col min="25" max="25" width="18.33203125" customWidth="1"/>
    <col min="26" max="26" width="13.33203125" customWidth="1"/>
    <col min="27" max="39" width="19.44140625" customWidth="1"/>
  </cols>
  <sheetData>
    <row r="1" spans="1:39" ht="15.65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39" ht="15.65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9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 spans="1:39" ht="15.65" x14ac:dyDescent="0.3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2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15.65" x14ac:dyDescent="0.3">
      <c r="A4" s="1" t="s">
        <v>3</v>
      </c>
      <c r="B4" s="1" t="s">
        <v>4</v>
      </c>
      <c r="C4" s="2" t="s">
        <v>5</v>
      </c>
      <c r="D4" s="23" t="s">
        <v>6</v>
      </c>
      <c r="E4" s="24"/>
      <c r="F4" s="23" t="s">
        <v>7</v>
      </c>
      <c r="G4" s="24"/>
      <c r="H4" s="23" t="s">
        <v>8</v>
      </c>
      <c r="I4" s="24"/>
      <c r="J4" s="23" t="s">
        <v>9</v>
      </c>
      <c r="K4" s="24"/>
      <c r="L4" s="23" t="s">
        <v>10</v>
      </c>
      <c r="M4" s="24"/>
      <c r="N4" s="23" t="s">
        <v>11</v>
      </c>
      <c r="O4" s="24"/>
      <c r="P4" s="23" t="s">
        <v>12</v>
      </c>
      <c r="Q4" s="24"/>
      <c r="R4" s="23" t="s">
        <v>13</v>
      </c>
      <c r="S4" s="24"/>
      <c r="T4" s="23" t="s">
        <v>14</v>
      </c>
      <c r="U4" s="24"/>
      <c r="V4" s="1" t="s">
        <v>15</v>
      </c>
      <c r="W4" s="1" t="s">
        <v>16</v>
      </c>
      <c r="X4" s="3" t="s">
        <v>17</v>
      </c>
      <c r="Y4" s="4" t="s">
        <v>18</v>
      </c>
      <c r="Z4" s="4" t="s">
        <v>19</v>
      </c>
      <c r="AA4" s="4" t="s">
        <v>20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spans="1:39" ht="22.55" customHeight="1" x14ac:dyDescent="0.3">
      <c r="A5" s="23" t="s">
        <v>21</v>
      </c>
      <c r="B5" s="25"/>
      <c r="C5" s="24"/>
      <c r="D5" s="5">
        <f ca="1">IFERROR(__xludf.DUMMYFUNCTION("IMPORTRANGE(""https://docs.google.com/spreadsheets/d/1rOGZhKHVnDGFqGTO7UNOJSkSJyQwVuEb2-yhWQit7lw/edit?gid=1653662536#gid=1653662536"", address(row($D3),column($D3),,,""DM&amp;GT-O""))"),25)</f>
        <v>25</v>
      </c>
      <c r="E5" s="5" t="s">
        <v>22</v>
      </c>
      <c r="F5" s="5">
        <f ca="1">IFERROR(__xludf.DUMMYFUNCTION("IMPORTRANGE(""https://docs.google.com/spreadsheets/d/1rOGZhKHVnDGFqGTO7UNOJSkSJyQwVuEb2-yhWQit7lw/edit?gid=1900628561#gid=1900628561"", address(row($D3),column($D3),,,""UHV-O""))"),32)</f>
        <v>32</v>
      </c>
      <c r="G5" s="5" t="s">
        <v>22</v>
      </c>
      <c r="H5" s="5">
        <f ca="1">IFERROR(__xludf.DUMMYFUNCTION("IMPORTRANGE(""https://docs.google.com/spreadsheets/d/1rOGZhKHVnDGFqGTO7UNOJSkSJyQwVuEb2-yhWQit7lw/edit?gid=95164189#gid=95164189"", address(row($D3),column($D3),,,""DL&amp;CO-O""))"),39)</f>
        <v>39</v>
      </c>
      <c r="I5" s="5" t="s">
        <v>22</v>
      </c>
      <c r="J5" s="5">
        <f ca="1">IFERROR(__xludf.DUMMYFUNCTION("IMPORTRANGE(""https://docs.google.com/spreadsheets/d/1rOGZhKHVnDGFqGTO7UNOJSkSJyQwVuEb2-yhWQit7lw/edit?gid=2139275483#gid=2139275483"", address(row($D3),column($D3),,,""ADSA-O""))"),62)</f>
        <v>62</v>
      </c>
      <c r="K5" s="5" t="s">
        <v>22</v>
      </c>
      <c r="L5" s="5">
        <f ca="1">IFERROR(__xludf.DUMMYFUNCTION("IMPORTRANGE(""https://docs.google.com/spreadsheets/d/1rOGZhKHVnDGFqGTO7UNOJSkSJyQwVuEb2-yhWQit7lw/edit?gid=352620554#gid=352620554"", address(row($D3),column($D3),,,""JAVA-O""))"),69)</f>
        <v>69</v>
      </c>
      <c r="M5" s="5" t="s">
        <v>22</v>
      </c>
      <c r="N5" s="5">
        <f ca="1">IFERROR(__xludf.DUMMYFUNCTION("IMPORTRANGE(""https://docs.google.com/spreadsheets/d/1rOGZhKHVnDGFqGTO7UNOJSkSJyQwVuEb2-yhWQit7lw/edit?gid=1434800060#gid=1434800060"", address(row($D3),column($D3),,,""FOSS LAB-O""))"),33)</f>
        <v>33</v>
      </c>
      <c r="O5" s="5" t="s">
        <v>22</v>
      </c>
      <c r="P5" s="5">
        <f ca="1">IFERROR(__xludf.DUMMYFUNCTION("IMPORTRANGE(""https://docs.google.com/spreadsheets/d/1rOGZhKHVnDGFqGTO7UNOJSkSJyQwVuEb2-yhWQit7lw/edit?gid=1510845942#gid=1510845942"", address(row($D3),column($D3),,,""PP-O""))"),40)</f>
        <v>40</v>
      </c>
      <c r="Q5" s="5" t="s">
        <v>22</v>
      </c>
      <c r="R5" s="5">
        <f ca="1">IFERROR(__xludf.DUMMYFUNCTION("IMPORTRANGE(""https://docs.google.com/spreadsheets/d/1rOGZhKHVnDGFqGTO7UNOJSkSJyQwVuEb2-yhWQit7lw/edit?gid=655644728#gid=655644728"", address(row($D3),column($D3),,,""NPTEL-O""))"),30)</f>
        <v>30</v>
      </c>
      <c r="S5" s="5" t="s">
        <v>22</v>
      </c>
      <c r="T5" s="6">
        <f ca="1">IFERROR(__xludf.DUMMYFUNCTION("IMPORTRANGE(""https://docs.google.com/spreadsheets/d/1rOGZhKHVnDGFqGTO7UNOJSkSJyQwVuEb2-yhWQit7lw/edit?gid=1409420437#gid=1409420437"", address(row($D3),column($D3),,,""CRT-O""))"),91)</f>
        <v>91</v>
      </c>
      <c r="U5" s="5" t="s">
        <v>22</v>
      </c>
      <c r="V5" s="6">
        <f t="shared" ref="V5:V76" ca="1" si="0">SUM(D5,F5,H5,J5,L5,N5,P5,R5,T5)</f>
        <v>421</v>
      </c>
      <c r="W5" s="7" t="s">
        <v>22</v>
      </c>
      <c r="X5" s="4">
        <v>0</v>
      </c>
      <c r="Y5" s="4">
        <v>0</v>
      </c>
      <c r="Z5" s="4">
        <f t="shared" ref="Z5:Z76" ca="1" si="1">V5+Y5+X5</f>
        <v>421</v>
      </c>
      <c r="AA5" s="4" t="s">
        <v>22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1:39" ht="17.25" customHeight="1" x14ac:dyDescent="0.3">
      <c r="A6" s="8">
        <v>1</v>
      </c>
      <c r="B6" s="9" t="s">
        <v>314</v>
      </c>
      <c r="C6" s="9" t="s">
        <v>315</v>
      </c>
      <c r="D6" s="5">
        <f ca="1">IFERROR(__xludf.DUMMYFUNCTION("IMPORTRANGE(""https://docs.google.com/spreadsheets/d/1rOGZhKHVnDGFqGTO7UNOJSkSJyQwVuEb2-yhWQit7lw/edit?gid=1653662536#gid=1653662536"", address(row($D4),column($D4),,,""DM&amp;GT-O""))"),15)</f>
        <v>15</v>
      </c>
      <c r="E6" s="8">
        <f t="shared" ref="E6:E76" ca="1" si="2">D6/D$5*100</f>
        <v>60</v>
      </c>
      <c r="F6" s="5">
        <f ca="1">IFERROR(__xludf.DUMMYFUNCTION("IMPORTRANGE(""https://docs.google.com/spreadsheets/d/1rOGZhKHVnDGFqGTO7UNOJSkSJyQwVuEb2-yhWQit7lw/edit?gid=1900628561#gid=1900628561"", address(row($D4),column($D4),,,""UHV-O""))"),20)</f>
        <v>20</v>
      </c>
      <c r="G6" s="8">
        <f t="shared" ref="G6:G76" ca="1" si="3">F6/F$5*100</f>
        <v>62.5</v>
      </c>
      <c r="H6" s="5">
        <f ca="1">IFERROR(__xludf.DUMMYFUNCTION("IMPORTRANGE(""https://docs.google.com/spreadsheets/d/1rOGZhKHVnDGFqGTO7UNOJSkSJyQwVuEb2-yhWQit7lw/edit?gid=95164189#gid=95164189"", address(row($D4),column($D4),,,""DL&amp;CO-O""))"),22)</f>
        <v>22</v>
      </c>
      <c r="I6" s="8">
        <f t="shared" ref="I6:I76" ca="1" si="4">H6/H$5*100</f>
        <v>56.410256410256409</v>
      </c>
      <c r="J6" s="5">
        <f ca="1">IFERROR(__xludf.DUMMYFUNCTION("IMPORTRANGE(""https://docs.google.com/spreadsheets/d/1rOGZhKHVnDGFqGTO7UNOJSkSJyQwVuEb2-yhWQit7lw/edit?gid=2139275483#gid=2139275483"", address(row($D4),column($D4),,,""ADSA-O""))"),33)</f>
        <v>33</v>
      </c>
      <c r="K6" s="8">
        <f t="shared" ref="K6:K76" ca="1" si="5">J6/J$5*100</f>
        <v>53.225806451612897</v>
      </c>
      <c r="L6" s="5">
        <f ca="1">IFERROR(__xludf.DUMMYFUNCTION("IMPORTRANGE(""https://docs.google.com/spreadsheets/d/1rOGZhKHVnDGFqGTO7UNOJSkSJyQwVuEb2-yhWQit7lw/edit?gid=352620554#gid=352620554"", address(row($D4),column($D4),,,""JAVA-O""))"),37)</f>
        <v>37</v>
      </c>
      <c r="M6" s="8">
        <f t="shared" ref="M6:M76" ca="1" si="6">L6/L$5*100</f>
        <v>53.623188405797109</v>
      </c>
      <c r="N6" s="5">
        <f ca="1">IFERROR(__xludf.DUMMYFUNCTION("IMPORTRANGE(""https://docs.google.com/spreadsheets/d/1rOGZhKHVnDGFqGTO7UNOJSkSJyQwVuEb2-yhWQit7lw/edit?gid=1434800060#gid=1434800060"", address(row($D4),column($D4),,,""FOSS LAB-O""))"),21)</f>
        <v>21</v>
      </c>
      <c r="O6" s="8">
        <f t="shared" ref="O6:O76" ca="1" si="7">N6/N$5*100</f>
        <v>63.636363636363633</v>
      </c>
      <c r="P6" s="5">
        <f ca="1">IFERROR(__xludf.DUMMYFUNCTION("IMPORTRANGE(""https://docs.google.com/spreadsheets/d/1rOGZhKHVnDGFqGTO7UNOJSkSJyQwVuEb2-yhWQit7lw/edit?gid=1510845942#gid=1510845942"", address(row($D4),column($D4),,,""PP-O""))"),22)</f>
        <v>22</v>
      </c>
      <c r="Q6" s="8">
        <f t="shared" ref="Q6:Q76" ca="1" si="8">P6/P$5*100</f>
        <v>55.000000000000007</v>
      </c>
      <c r="R6" s="5">
        <f ca="1">IFERROR(__xludf.DUMMYFUNCTION("IMPORTRANGE(""https://docs.google.com/spreadsheets/d/1rOGZhKHVnDGFqGTO7UNOJSkSJyQwVuEb2-yhWQit7lw/edit?gid=655644728#gid=655644728"", address(row($D4),column($D4),,,""NPTEL-O""))"),18)</f>
        <v>18</v>
      </c>
      <c r="S6" s="8">
        <f t="shared" ref="S6:S76" ca="1" si="9">R6/R$5*100</f>
        <v>60</v>
      </c>
      <c r="T6" s="6">
        <f ca="1">IFERROR(__xludf.DUMMYFUNCTION("IMPORTRANGE(""https://docs.google.com/spreadsheets/d/1rOGZhKHVnDGFqGTO7UNOJSkSJyQwVuEb2-yhWQit7lw/edit?gid=1409420437#gid=1409420437"", address(row($D4),column($D4),,,""CRT-O""))"),56)</f>
        <v>56</v>
      </c>
      <c r="U6" s="8">
        <f t="shared" ref="U6:U76" ca="1" si="10">T6/T$5*100</f>
        <v>61.53846153846154</v>
      </c>
      <c r="V6" s="6">
        <f t="shared" ca="1" si="0"/>
        <v>244</v>
      </c>
      <c r="W6" s="4">
        <f t="shared" ref="W6:W76" ca="1" si="11">ROUND(V6/$V$5*100,0)</f>
        <v>58</v>
      </c>
      <c r="X6" s="4">
        <v>0</v>
      </c>
      <c r="Y6" s="4">
        <v>0</v>
      </c>
      <c r="Z6" s="4">
        <f t="shared" ca="1" si="1"/>
        <v>244</v>
      </c>
      <c r="AA6" s="10">
        <f t="shared" ref="AA6:AA76" ca="1" si="12">ROUND(Z6/$Z$5*100,0)</f>
        <v>58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</row>
    <row r="7" spans="1:39" ht="17.25" customHeight="1" x14ac:dyDescent="0.3">
      <c r="A7" s="8">
        <v>2</v>
      </c>
      <c r="B7" s="11" t="s">
        <v>316</v>
      </c>
      <c r="C7" s="11" t="s">
        <v>317</v>
      </c>
      <c r="D7" s="5">
        <f ca="1">IFERROR(__xludf.DUMMYFUNCTION("IMPORTRANGE(""https://docs.google.com/spreadsheets/d/1rOGZhKHVnDGFqGTO7UNOJSkSJyQwVuEb2-yhWQit7lw/edit?gid=1653662536#gid=1653662536"", address(row($D5),column($D5),,,""DM&amp;GT-O""))"),25)</f>
        <v>25</v>
      </c>
      <c r="E7" s="8">
        <f t="shared" ca="1" si="2"/>
        <v>100</v>
      </c>
      <c r="F7" s="5">
        <f ca="1">IFERROR(__xludf.DUMMYFUNCTION("IMPORTRANGE(""https://docs.google.com/spreadsheets/d/1rOGZhKHVnDGFqGTO7UNOJSkSJyQwVuEb2-yhWQit7lw/edit?gid=1900628561#gid=1900628561"", address(row($D5),column($D5),,,""UHV-O""))"),30)</f>
        <v>30</v>
      </c>
      <c r="G7" s="8">
        <f t="shared" ca="1" si="3"/>
        <v>93.75</v>
      </c>
      <c r="H7" s="5">
        <f ca="1">IFERROR(__xludf.DUMMYFUNCTION("IMPORTRANGE(""https://docs.google.com/spreadsheets/d/1rOGZhKHVnDGFqGTO7UNOJSkSJyQwVuEb2-yhWQit7lw/edit?gid=95164189#gid=95164189"", address(row($D5),column($D5),,,""DL&amp;CO-O""))"),37)</f>
        <v>37</v>
      </c>
      <c r="I7" s="8">
        <f t="shared" ca="1" si="4"/>
        <v>94.871794871794862</v>
      </c>
      <c r="J7" s="5">
        <f ca="1">IFERROR(__xludf.DUMMYFUNCTION("IMPORTRANGE(""https://docs.google.com/spreadsheets/d/1rOGZhKHVnDGFqGTO7UNOJSkSJyQwVuEb2-yhWQit7lw/edit?gid=2139275483#gid=2139275483"", address(row($D5),column($D5),,,""ADSA-O""))"),55)</f>
        <v>55</v>
      </c>
      <c r="K7" s="8">
        <f t="shared" ca="1" si="5"/>
        <v>88.709677419354833</v>
      </c>
      <c r="L7" s="5">
        <f ca="1">IFERROR(__xludf.DUMMYFUNCTION("IMPORTRANGE(""https://docs.google.com/spreadsheets/d/1rOGZhKHVnDGFqGTO7UNOJSkSJyQwVuEb2-yhWQit7lw/edit?gid=352620554#gid=352620554"", address(row($D5),column($D5),,,""JAVA-O""))"),60)</f>
        <v>60</v>
      </c>
      <c r="M7" s="8">
        <f t="shared" ca="1" si="6"/>
        <v>86.956521739130437</v>
      </c>
      <c r="N7" s="5">
        <f ca="1">IFERROR(__xludf.DUMMYFUNCTION("IMPORTRANGE(""https://docs.google.com/spreadsheets/d/1rOGZhKHVnDGFqGTO7UNOJSkSJyQwVuEb2-yhWQit7lw/edit?gid=1434800060#gid=1434800060"", address(row($D5),column($D5),,,""FOSS LAB-O""))"),32)</f>
        <v>32</v>
      </c>
      <c r="O7" s="8">
        <f t="shared" ca="1" si="7"/>
        <v>96.969696969696969</v>
      </c>
      <c r="P7" s="5">
        <f ca="1">IFERROR(__xludf.DUMMYFUNCTION("IMPORTRANGE(""https://docs.google.com/spreadsheets/d/1rOGZhKHVnDGFqGTO7UNOJSkSJyQwVuEb2-yhWQit7lw/edit?gid=1510845942#gid=1510845942"", address(row($D5),column($D5),,,""PP-O""))"),34)</f>
        <v>34</v>
      </c>
      <c r="Q7" s="8">
        <f t="shared" ca="1" si="8"/>
        <v>85</v>
      </c>
      <c r="R7" s="5">
        <f ca="1">IFERROR(__xludf.DUMMYFUNCTION("IMPORTRANGE(""https://docs.google.com/spreadsheets/d/1rOGZhKHVnDGFqGTO7UNOJSkSJyQwVuEb2-yhWQit7lw/edit?gid=655644728#gid=655644728"", address(row($D5),column($D5),,,""NPTEL-O""))"),26)</f>
        <v>26</v>
      </c>
      <c r="S7" s="5">
        <f t="shared" ca="1" si="9"/>
        <v>86.666666666666671</v>
      </c>
      <c r="T7" s="6">
        <f ca="1">IFERROR(__xludf.DUMMYFUNCTION("IMPORTRANGE(""https://docs.google.com/spreadsheets/d/1rOGZhKHVnDGFqGTO7UNOJSkSJyQwVuEb2-yhWQit7lw/edit?gid=1409420437#gid=1409420437"", address(row($D5),column($D5),,,""CRT-O""))"),88)</f>
        <v>88</v>
      </c>
      <c r="U7" s="8">
        <f t="shared" ca="1" si="10"/>
        <v>96.703296703296701</v>
      </c>
      <c r="V7" s="6">
        <f t="shared" ca="1" si="0"/>
        <v>387</v>
      </c>
      <c r="W7" s="4">
        <f t="shared" ca="1" si="11"/>
        <v>92</v>
      </c>
      <c r="X7" s="4">
        <v>0</v>
      </c>
      <c r="Y7" s="4">
        <v>0</v>
      </c>
      <c r="Z7" s="4">
        <f t="shared" ca="1" si="1"/>
        <v>387</v>
      </c>
      <c r="AA7" s="10">
        <f t="shared" ca="1" si="12"/>
        <v>92</v>
      </c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 spans="1:39" ht="17.25" customHeight="1" x14ac:dyDescent="0.3">
      <c r="A8" s="8">
        <v>3</v>
      </c>
      <c r="B8" s="11" t="s">
        <v>318</v>
      </c>
      <c r="C8" s="11" t="s">
        <v>319</v>
      </c>
      <c r="D8" s="5">
        <f ca="1">IFERROR(__xludf.DUMMYFUNCTION("IMPORTRANGE(""https://docs.google.com/spreadsheets/d/1rOGZhKHVnDGFqGTO7UNOJSkSJyQwVuEb2-yhWQit7lw/edit?gid=1653662536#gid=1653662536"", address(row($D6),column($D6),,,""DM&amp;GT-O""))"),25)</f>
        <v>25</v>
      </c>
      <c r="E8" s="8">
        <f t="shared" ca="1" si="2"/>
        <v>100</v>
      </c>
      <c r="F8" s="5">
        <f ca="1">IFERROR(__xludf.DUMMYFUNCTION("IMPORTRANGE(""https://docs.google.com/spreadsheets/d/1rOGZhKHVnDGFqGTO7UNOJSkSJyQwVuEb2-yhWQit7lw/edit?gid=1900628561#gid=1900628561"", address(row($D6),column($D6),,,""UHV-O""))"),29)</f>
        <v>29</v>
      </c>
      <c r="G8" s="8">
        <f t="shared" ca="1" si="3"/>
        <v>90.625</v>
      </c>
      <c r="H8" s="5">
        <f ca="1">IFERROR(__xludf.DUMMYFUNCTION("IMPORTRANGE(""https://docs.google.com/spreadsheets/d/1rOGZhKHVnDGFqGTO7UNOJSkSJyQwVuEb2-yhWQit7lw/edit?gid=95164189#gid=95164189"", address(row($D6),column($D6),,,""DL&amp;CO-O""))"),36)</f>
        <v>36</v>
      </c>
      <c r="I8" s="8">
        <f t="shared" ca="1" si="4"/>
        <v>92.307692307692307</v>
      </c>
      <c r="J8" s="5">
        <f ca="1">IFERROR(__xludf.DUMMYFUNCTION("IMPORTRANGE(""https://docs.google.com/spreadsheets/d/1rOGZhKHVnDGFqGTO7UNOJSkSJyQwVuEb2-yhWQit7lw/edit?gid=2139275483#gid=2139275483"", address(row($D6),column($D6),,,""ADSA-O""))"),57)</f>
        <v>57</v>
      </c>
      <c r="K8" s="8">
        <f t="shared" ca="1" si="5"/>
        <v>91.935483870967744</v>
      </c>
      <c r="L8" s="5">
        <f ca="1">IFERROR(__xludf.DUMMYFUNCTION("IMPORTRANGE(""https://docs.google.com/spreadsheets/d/1rOGZhKHVnDGFqGTO7UNOJSkSJyQwVuEb2-yhWQit7lw/edit?gid=352620554#gid=352620554"", address(row($D6),column($D6),,,""JAVA-O""))"),59)</f>
        <v>59</v>
      </c>
      <c r="M8" s="8">
        <f t="shared" ca="1" si="6"/>
        <v>85.507246376811594</v>
      </c>
      <c r="N8" s="5">
        <f ca="1">IFERROR(__xludf.DUMMYFUNCTION("IMPORTRANGE(""https://docs.google.com/spreadsheets/d/1rOGZhKHVnDGFqGTO7UNOJSkSJyQwVuEb2-yhWQit7lw/edit?gid=1434800060#gid=1434800060"", address(row($D6),column($D6),,,""FOSS LAB-O""))"),29)</f>
        <v>29</v>
      </c>
      <c r="O8" s="8">
        <f t="shared" ca="1" si="7"/>
        <v>87.878787878787875</v>
      </c>
      <c r="P8" s="5">
        <f ca="1">IFERROR(__xludf.DUMMYFUNCTION("IMPORTRANGE(""https://docs.google.com/spreadsheets/d/1rOGZhKHVnDGFqGTO7UNOJSkSJyQwVuEb2-yhWQit7lw/edit?gid=1510845942#gid=1510845942"", address(row($D6),column($D6),,,""PP-O""))"),32)</f>
        <v>32</v>
      </c>
      <c r="Q8" s="8">
        <f t="shared" ca="1" si="8"/>
        <v>80</v>
      </c>
      <c r="R8" s="5">
        <f ca="1">IFERROR(__xludf.DUMMYFUNCTION("IMPORTRANGE(""https://docs.google.com/spreadsheets/d/1rOGZhKHVnDGFqGTO7UNOJSkSJyQwVuEb2-yhWQit7lw/edit?gid=655644728#gid=655644728"", address(row($D6),column($D6),,,""NPTEL-O""))"),30)</f>
        <v>30</v>
      </c>
      <c r="S8" s="5">
        <f t="shared" ca="1" si="9"/>
        <v>100</v>
      </c>
      <c r="T8" s="6">
        <f ca="1">IFERROR(__xludf.DUMMYFUNCTION("IMPORTRANGE(""https://docs.google.com/spreadsheets/d/1rOGZhKHVnDGFqGTO7UNOJSkSJyQwVuEb2-yhWQit7lw/edit?gid=1409420437#gid=1409420437"", address(row($D6),column($D6),,,""CRT-O""))"),91)</f>
        <v>91</v>
      </c>
      <c r="U8" s="8">
        <f t="shared" ca="1" si="10"/>
        <v>100</v>
      </c>
      <c r="V8" s="6">
        <f t="shared" ca="1" si="0"/>
        <v>388</v>
      </c>
      <c r="W8" s="4">
        <f t="shared" ca="1" si="11"/>
        <v>92</v>
      </c>
      <c r="X8" s="4">
        <v>0</v>
      </c>
      <c r="Y8" s="4">
        <v>0</v>
      </c>
      <c r="Z8" s="4">
        <f t="shared" ca="1" si="1"/>
        <v>388</v>
      </c>
      <c r="AA8" s="10">
        <f t="shared" ca="1" si="12"/>
        <v>92</v>
      </c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</row>
    <row r="9" spans="1:39" ht="17.25" customHeight="1" x14ac:dyDescent="0.3">
      <c r="A9" s="8">
        <v>4</v>
      </c>
      <c r="B9" s="11" t="s">
        <v>320</v>
      </c>
      <c r="C9" s="11" t="s">
        <v>321</v>
      </c>
      <c r="D9" s="5">
        <f ca="1">IFERROR(__xludf.DUMMYFUNCTION("IMPORTRANGE(""https://docs.google.com/spreadsheets/d/1rOGZhKHVnDGFqGTO7UNOJSkSJyQwVuEb2-yhWQit7lw/edit?gid=1653662536#gid=1653662536"", address(row($D7),column($D7),,,""DM&amp;GT-O""))"),5)</f>
        <v>5</v>
      </c>
      <c r="E9" s="8">
        <f t="shared" ca="1" si="2"/>
        <v>20</v>
      </c>
      <c r="F9" s="5">
        <f ca="1">IFERROR(__xludf.DUMMYFUNCTION("IMPORTRANGE(""https://docs.google.com/spreadsheets/d/1rOGZhKHVnDGFqGTO7UNOJSkSJyQwVuEb2-yhWQit7lw/edit?gid=1900628561#gid=1900628561"", address(row($D7),column($D7),,,""UHV-O""))"),13)</f>
        <v>13</v>
      </c>
      <c r="G9" s="8">
        <f t="shared" ca="1" si="3"/>
        <v>40.625</v>
      </c>
      <c r="H9" s="5">
        <f ca="1">IFERROR(__xludf.DUMMYFUNCTION("IMPORTRANGE(""https://docs.google.com/spreadsheets/d/1rOGZhKHVnDGFqGTO7UNOJSkSJyQwVuEb2-yhWQit7lw/edit?gid=95164189#gid=95164189"", address(row($D7),column($D7),,,""DL&amp;CO-O""))"),13)</f>
        <v>13</v>
      </c>
      <c r="I9" s="8">
        <f t="shared" ca="1" si="4"/>
        <v>33.333333333333329</v>
      </c>
      <c r="J9" s="5">
        <f ca="1">IFERROR(__xludf.DUMMYFUNCTION("IMPORTRANGE(""https://docs.google.com/spreadsheets/d/1rOGZhKHVnDGFqGTO7UNOJSkSJyQwVuEb2-yhWQit7lw/edit?gid=2139275483#gid=2139275483"", address(row($D7),column($D7),,,""ADSA-O""))"),21)</f>
        <v>21</v>
      </c>
      <c r="K9" s="8">
        <f t="shared" ca="1" si="5"/>
        <v>33.87096774193548</v>
      </c>
      <c r="L9" s="5">
        <f ca="1">IFERROR(__xludf.DUMMYFUNCTION("IMPORTRANGE(""https://docs.google.com/spreadsheets/d/1rOGZhKHVnDGFqGTO7UNOJSkSJyQwVuEb2-yhWQit7lw/edit?gid=352620554#gid=352620554"", address(row($D7),column($D7),,,""JAVA-O""))"),23)</f>
        <v>23</v>
      </c>
      <c r="M9" s="8">
        <f t="shared" ca="1" si="6"/>
        <v>33.333333333333329</v>
      </c>
      <c r="N9" s="5">
        <f ca="1">IFERROR(__xludf.DUMMYFUNCTION("IMPORTRANGE(""https://docs.google.com/spreadsheets/d/1rOGZhKHVnDGFqGTO7UNOJSkSJyQwVuEb2-yhWQit7lw/edit?gid=1434800060#gid=1434800060"", address(row($D7),column($D7),,,""FOSS LAB-O""))"),12)</f>
        <v>12</v>
      </c>
      <c r="O9" s="8">
        <f t="shared" ca="1" si="7"/>
        <v>36.363636363636367</v>
      </c>
      <c r="P9" s="5">
        <f ca="1">IFERROR(__xludf.DUMMYFUNCTION("IMPORTRANGE(""https://docs.google.com/spreadsheets/d/1rOGZhKHVnDGFqGTO7UNOJSkSJyQwVuEb2-yhWQit7lw/edit?gid=1510845942#gid=1510845942"", address(row($D7),column($D7),,,""PP-O""))"),12)</f>
        <v>12</v>
      </c>
      <c r="Q9" s="8">
        <f t="shared" ca="1" si="8"/>
        <v>30</v>
      </c>
      <c r="R9" s="5">
        <f ca="1">IFERROR(__xludf.DUMMYFUNCTION("IMPORTRANGE(""https://docs.google.com/spreadsheets/d/1rOGZhKHVnDGFqGTO7UNOJSkSJyQwVuEb2-yhWQit7lw/edit?gid=655644728#gid=655644728"", address(row($D7),column($D7),,,""NPTEL-O""))"),8)</f>
        <v>8</v>
      </c>
      <c r="S9" s="5">
        <f t="shared" ca="1" si="9"/>
        <v>26.666666666666668</v>
      </c>
      <c r="T9" s="6">
        <f ca="1">IFERROR(__xludf.DUMMYFUNCTION("IMPORTRANGE(""https://docs.google.com/spreadsheets/d/1rOGZhKHVnDGFqGTO7UNOJSkSJyQwVuEb2-yhWQit7lw/edit?gid=1409420437#gid=1409420437"", address(row($D7),column($D7),,,""CRT-O""))"),63)</f>
        <v>63</v>
      </c>
      <c r="U9" s="8">
        <f t="shared" ca="1" si="10"/>
        <v>69.230769230769226</v>
      </c>
      <c r="V9" s="6">
        <f t="shared" ca="1" si="0"/>
        <v>170</v>
      </c>
      <c r="W9" s="4">
        <f t="shared" ca="1" si="11"/>
        <v>40</v>
      </c>
      <c r="X9" s="4">
        <v>0</v>
      </c>
      <c r="Y9" s="4">
        <v>0</v>
      </c>
      <c r="Z9" s="4">
        <f t="shared" ca="1" si="1"/>
        <v>170</v>
      </c>
      <c r="AA9" s="10">
        <f t="shared" ca="1" si="12"/>
        <v>40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</row>
    <row r="10" spans="1:39" ht="17.25" customHeight="1" x14ac:dyDescent="0.3">
      <c r="A10" s="8">
        <v>5</v>
      </c>
      <c r="B10" s="11" t="s">
        <v>322</v>
      </c>
      <c r="C10" s="11" t="s">
        <v>323</v>
      </c>
      <c r="D10" s="5">
        <f ca="1">IFERROR(__xludf.DUMMYFUNCTION("IMPORTRANGE(""https://docs.google.com/spreadsheets/d/1rOGZhKHVnDGFqGTO7UNOJSkSJyQwVuEb2-yhWQit7lw/edit?gid=1653662536#gid=1653662536"", address(row($D8),column($D8),,,""DM&amp;GT-O""))"),14)</f>
        <v>14</v>
      </c>
      <c r="E10" s="8">
        <f t="shared" ca="1" si="2"/>
        <v>56.000000000000007</v>
      </c>
      <c r="F10" s="5">
        <f ca="1">IFERROR(__xludf.DUMMYFUNCTION("IMPORTRANGE(""https://docs.google.com/spreadsheets/d/1rOGZhKHVnDGFqGTO7UNOJSkSJyQwVuEb2-yhWQit7lw/edit?gid=1900628561#gid=1900628561"", address(row($D8),column($D8),,,""UHV-O""))"),20)</f>
        <v>20</v>
      </c>
      <c r="G10" s="8">
        <f t="shared" ca="1" si="3"/>
        <v>62.5</v>
      </c>
      <c r="H10" s="5">
        <f ca="1">IFERROR(__xludf.DUMMYFUNCTION("IMPORTRANGE(""https://docs.google.com/spreadsheets/d/1rOGZhKHVnDGFqGTO7UNOJSkSJyQwVuEb2-yhWQit7lw/edit?gid=95164189#gid=95164189"", address(row($D8),column($D8),,,""DL&amp;CO-O""))"),22)</f>
        <v>22</v>
      </c>
      <c r="I10" s="8">
        <f t="shared" ca="1" si="4"/>
        <v>56.410256410256409</v>
      </c>
      <c r="J10" s="5">
        <f ca="1">IFERROR(__xludf.DUMMYFUNCTION("IMPORTRANGE(""https://docs.google.com/spreadsheets/d/1rOGZhKHVnDGFqGTO7UNOJSkSJyQwVuEb2-yhWQit7lw/edit?gid=2139275483#gid=2139275483"", address(row($D8),column($D8),,,""ADSA-O""))"),32)</f>
        <v>32</v>
      </c>
      <c r="K10" s="8">
        <f t="shared" ca="1" si="5"/>
        <v>51.612903225806448</v>
      </c>
      <c r="L10" s="5">
        <f ca="1">IFERROR(__xludf.DUMMYFUNCTION("IMPORTRANGE(""https://docs.google.com/spreadsheets/d/1rOGZhKHVnDGFqGTO7UNOJSkSJyQwVuEb2-yhWQit7lw/edit?gid=352620554#gid=352620554"", address(row($D8),column($D8),,,""JAVA-O""))"),31)</f>
        <v>31</v>
      </c>
      <c r="M10" s="8">
        <f t="shared" ca="1" si="6"/>
        <v>44.927536231884055</v>
      </c>
      <c r="N10" s="5">
        <f ca="1">IFERROR(__xludf.DUMMYFUNCTION("IMPORTRANGE(""https://docs.google.com/spreadsheets/d/1rOGZhKHVnDGFqGTO7UNOJSkSJyQwVuEb2-yhWQit7lw/edit?gid=1434800060#gid=1434800060"", address(row($D8),column($D8),,,""FOSS LAB-O""))"),12)</f>
        <v>12</v>
      </c>
      <c r="O10" s="8">
        <f t="shared" ca="1" si="7"/>
        <v>36.363636363636367</v>
      </c>
      <c r="P10" s="5">
        <f ca="1">IFERROR(__xludf.DUMMYFUNCTION("IMPORTRANGE(""https://docs.google.com/spreadsheets/d/1rOGZhKHVnDGFqGTO7UNOJSkSJyQwVuEb2-yhWQit7lw/edit?gid=1510845942#gid=1510845942"", address(row($D8),column($D8),,,""PP-O""))"),26)</f>
        <v>26</v>
      </c>
      <c r="Q10" s="8">
        <f t="shared" ca="1" si="8"/>
        <v>65</v>
      </c>
      <c r="R10" s="5">
        <f ca="1">IFERROR(__xludf.DUMMYFUNCTION("IMPORTRANGE(""https://docs.google.com/spreadsheets/d/1rOGZhKHVnDGFqGTO7UNOJSkSJyQwVuEb2-yhWQit7lw/edit?gid=655644728#gid=655644728"", address(row($D8),column($D8),,,""NPTEL-O""))"),20)</f>
        <v>20</v>
      </c>
      <c r="S10" s="5">
        <f t="shared" ca="1" si="9"/>
        <v>66.666666666666657</v>
      </c>
      <c r="T10" s="6">
        <f ca="1">IFERROR(__xludf.DUMMYFUNCTION("IMPORTRANGE(""https://docs.google.com/spreadsheets/d/1rOGZhKHVnDGFqGTO7UNOJSkSJyQwVuEb2-yhWQit7lw/edit?gid=1409420437#gid=1409420437"", address(row($D8),column($D8),,,""CRT-O""))"),57)</f>
        <v>57</v>
      </c>
      <c r="U10" s="8">
        <f t="shared" ca="1" si="10"/>
        <v>62.637362637362635</v>
      </c>
      <c r="V10" s="6">
        <f t="shared" ca="1" si="0"/>
        <v>234</v>
      </c>
      <c r="W10" s="4">
        <f t="shared" ca="1" si="11"/>
        <v>56</v>
      </c>
      <c r="X10" s="4">
        <v>0</v>
      </c>
      <c r="Y10" s="4">
        <v>0</v>
      </c>
      <c r="Z10" s="4">
        <f t="shared" ca="1" si="1"/>
        <v>234</v>
      </c>
      <c r="AA10" s="10">
        <f t="shared" ca="1" si="12"/>
        <v>56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 spans="1:39" ht="17.25" customHeight="1" x14ac:dyDescent="0.3">
      <c r="A11" s="8">
        <v>6</v>
      </c>
      <c r="B11" s="11" t="s">
        <v>324</v>
      </c>
      <c r="C11" s="11" t="s">
        <v>325</v>
      </c>
      <c r="D11" s="5">
        <f ca="1">IFERROR(__xludf.DUMMYFUNCTION("IMPORTRANGE(""https://docs.google.com/spreadsheets/d/1rOGZhKHVnDGFqGTO7UNOJSkSJyQwVuEb2-yhWQit7lw/edit?gid=1653662536#gid=1653662536"", address(row($D9),column($D9),,,""DM&amp;GT-O""))"),23)</f>
        <v>23</v>
      </c>
      <c r="E11" s="8">
        <f t="shared" ca="1" si="2"/>
        <v>92</v>
      </c>
      <c r="F11" s="5">
        <f ca="1">IFERROR(__xludf.DUMMYFUNCTION("IMPORTRANGE(""https://docs.google.com/spreadsheets/d/1rOGZhKHVnDGFqGTO7UNOJSkSJyQwVuEb2-yhWQit7lw/edit?gid=1900628561#gid=1900628561"", address(row($D9),column($D9),,,""UHV-O""))"),29)</f>
        <v>29</v>
      </c>
      <c r="G11" s="8">
        <f t="shared" ca="1" si="3"/>
        <v>90.625</v>
      </c>
      <c r="H11" s="5">
        <f ca="1">IFERROR(__xludf.DUMMYFUNCTION("IMPORTRANGE(""https://docs.google.com/spreadsheets/d/1rOGZhKHVnDGFqGTO7UNOJSkSJyQwVuEb2-yhWQit7lw/edit?gid=95164189#gid=95164189"", address(row($D9),column($D9),,,""DL&amp;CO-O""))"),32)</f>
        <v>32</v>
      </c>
      <c r="I11" s="8">
        <f t="shared" ca="1" si="4"/>
        <v>82.051282051282044</v>
      </c>
      <c r="J11" s="5">
        <f ca="1">IFERROR(__xludf.DUMMYFUNCTION("IMPORTRANGE(""https://docs.google.com/spreadsheets/d/1rOGZhKHVnDGFqGTO7UNOJSkSJyQwVuEb2-yhWQit7lw/edit?gid=2139275483#gid=2139275483"", address(row($D9),column($D9),,,""ADSA-O""))"),48)</f>
        <v>48</v>
      </c>
      <c r="K11" s="8">
        <f t="shared" ca="1" si="5"/>
        <v>77.41935483870968</v>
      </c>
      <c r="L11" s="5">
        <f ca="1">IFERROR(__xludf.DUMMYFUNCTION("IMPORTRANGE(""https://docs.google.com/spreadsheets/d/1rOGZhKHVnDGFqGTO7UNOJSkSJyQwVuEb2-yhWQit7lw/edit?gid=352620554#gid=352620554"", address(row($D9),column($D9),,,""JAVA-O""))"),53)</f>
        <v>53</v>
      </c>
      <c r="M11" s="8">
        <f t="shared" ca="1" si="6"/>
        <v>76.811594202898547</v>
      </c>
      <c r="N11" s="5">
        <f ca="1">IFERROR(__xludf.DUMMYFUNCTION("IMPORTRANGE(""https://docs.google.com/spreadsheets/d/1rOGZhKHVnDGFqGTO7UNOJSkSJyQwVuEb2-yhWQit7lw/edit?gid=1434800060#gid=1434800060"", address(row($D9),column($D9),,,""FOSS LAB-O""))"),30)</f>
        <v>30</v>
      </c>
      <c r="O11" s="8">
        <f t="shared" ca="1" si="7"/>
        <v>90.909090909090907</v>
      </c>
      <c r="P11" s="5">
        <f ca="1">IFERROR(__xludf.DUMMYFUNCTION("IMPORTRANGE(""https://docs.google.com/spreadsheets/d/1rOGZhKHVnDGFqGTO7UNOJSkSJyQwVuEb2-yhWQit7lw/edit?gid=1510845942#gid=1510845942"", address(row($D9),column($D9),,,""PP-O""))"),32)</f>
        <v>32</v>
      </c>
      <c r="Q11" s="8">
        <f t="shared" ca="1" si="8"/>
        <v>80</v>
      </c>
      <c r="R11" s="5">
        <f ca="1">IFERROR(__xludf.DUMMYFUNCTION("IMPORTRANGE(""https://docs.google.com/spreadsheets/d/1rOGZhKHVnDGFqGTO7UNOJSkSJyQwVuEb2-yhWQit7lw/edit?gid=655644728#gid=655644728"", address(row($D9),column($D9),,,""NPTEL-O""))"),28)</f>
        <v>28</v>
      </c>
      <c r="S11" s="5">
        <f t="shared" ca="1" si="9"/>
        <v>93.333333333333329</v>
      </c>
      <c r="T11" s="6">
        <f ca="1">IFERROR(__xludf.DUMMYFUNCTION("IMPORTRANGE(""https://docs.google.com/spreadsheets/d/1rOGZhKHVnDGFqGTO7UNOJSkSJyQwVuEb2-yhWQit7lw/edit?gid=1409420437#gid=1409420437"", address(row($D9),column($D9),,,""CRT-O""))"),84)</f>
        <v>84</v>
      </c>
      <c r="U11" s="8">
        <f t="shared" ca="1" si="10"/>
        <v>92.307692307692307</v>
      </c>
      <c r="V11" s="6">
        <f t="shared" ca="1" si="0"/>
        <v>359</v>
      </c>
      <c r="W11" s="4">
        <f t="shared" ca="1" si="11"/>
        <v>85</v>
      </c>
      <c r="X11" s="4">
        <v>0</v>
      </c>
      <c r="Y11" s="4">
        <v>0</v>
      </c>
      <c r="Z11" s="4">
        <f t="shared" ca="1" si="1"/>
        <v>359</v>
      </c>
      <c r="AA11" s="10">
        <f t="shared" ca="1" si="12"/>
        <v>85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</row>
    <row r="12" spans="1:39" ht="17.25" customHeight="1" x14ac:dyDescent="0.3">
      <c r="A12" s="8">
        <v>7</v>
      </c>
      <c r="B12" s="11" t="s">
        <v>326</v>
      </c>
      <c r="C12" s="11" t="s">
        <v>327</v>
      </c>
      <c r="D12" s="5">
        <f ca="1">IFERROR(__xludf.DUMMYFUNCTION("IMPORTRANGE(""https://docs.google.com/spreadsheets/d/1rOGZhKHVnDGFqGTO7UNOJSkSJyQwVuEb2-yhWQit7lw/edit?gid=1653662536#gid=1653662536"", address(row($D10),column($D10),,,""DM&amp;GT-O""))"),22)</f>
        <v>22</v>
      </c>
      <c r="E12" s="8">
        <f t="shared" ca="1" si="2"/>
        <v>88</v>
      </c>
      <c r="F12" s="5">
        <f ca="1">IFERROR(__xludf.DUMMYFUNCTION("IMPORTRANGE(""https://docs.google.com/spreadsheets/d/1rOGZhKHVnDGFqGTO7UNOJSkSJyQwVuEb2-yhWQit7lw/edit?gid=1900628561#gid=1900628561"", address(row($D10),column($D10),,,""UHV-O""))"),27)</f>
        <v>27</v>
      </c>
      <c r="G12" s="8">
        <f t="shared" ca="1" si="3"/>
        <v>84.375</v>
      </c>
      <c r="H12" s="5">
        <f ca="1">IFERROR(__xludf.DUMMYFUNCTION("IMPORTRANGE(""https://docs.google.com/spreadsheets/d/1rOGZhKHVnDGFqGTO7UNOJSkSJyQwVuEb2-yhWQit7lw/edit?gid=95164189#gid=95164189"", address(row($D10),column($D10),,,""DL&amp;CO-O""))"),35)</f>
        <v>35</v>
      </c>
      <c r="I12" s="8">
        <f t="shared" ca="1" si="4"/>
        <v>89.743589743589752</v>
      </c>
      <c r="J12" s="5">
        <f ca="1">IFERROR(__xludf.DUMMYFUNCTION("IMPORTRANGE(""https://docs.google.com/spreadsheets/d/1rOGZhKHVnDGFqGTO7UNOJSkSJyQwVuEb2-yhWQit7lw/edit?gid=2139275483#gid=2139275483"", address(row($D10),column($D10),,,""ADSA-O""))"),55)</f>
        <v>55</v>
      </c>
      <c r="K12" s="8">
        <f t="shared" ca="1" si="5"/>
        <v>88.709677419354833</v>
      </c>
      <c r="L12" s="5">
        <f ca="1">IFERROR(__xludf.DUMMYFUNCTION("IMPORTRANGE(""https://docs.google.com/spreadsheets/d/1rOGZhKHVnDGFqGTO7UNOJSkSJyQwVuEb2-yhWQit7lw/edit?gid=352620554#gid=352620554"", address(row($D10),column($D10),,,""JAVA-O""))"),57)</f>
        <v>57</v>
      </c>
      <c r="M12" s="8">
        <f t="shared" ca="1" si="6"/>
        <v>82.608695652173907</v>
      </c>
      <c r="N12" s="5">
        <f ca="1">IFERROR(__xludf.DUMMYFUNCTION("IMPORTRANGE(""https://docs.google.com/spreadsheets/d/1rOGZhKHVnDGFqGTO7UNOJSkSJyQwVuEb2-yhWQit7lw/edit?gid=1434800060#gid=1434800060"", address(row($D10),column($D10),,,""FOSS LAB-O""))"),30)</f>
        <v>30</v>
      </c>
      <c r="O12" s="8">
        <f t="shared" ca="1" si="7"/>
        <v>90.909090909090907</v>
      </c>
      <c r="P12" s="5">
        <f ca="1">IFERROR(__xludf.DUMMYFUNCTION("IMPORTRANGE(""https://docs.google.com/spreadsheets/d/1rOGZhKHVnDGFqGTO7UNOJSkSJyQwVuEb2-yhWQit7lw/edit?gid=1510845942#gid=1510845942"", address(row($D10),column($D10),,,""PP-O""))"),36)</f>
        <v>36</v>
      </c>
      <c r="Q12" s="8">
        <f t="shared" ca="1" si="8"/>
        <v>90</v>
      </c>
      <c r="R12" s="5">
        <f ca="1">IFERROR(__xludf.DUMMYFUNCTION("IMPORTRANGE(""https://docs.google.com/spreadsheets/d/1rOGZhKHVnDGFqGTO7UNOJSkSJyQwVuEb2-yhWQit7lw/edit?gid=655644728#gid=655644728"", address(row($D10),column($D10),,,""NPTEL-O""))"),28)</f>
        <v>28</v>
      </c>
      <c r="S12" s="5">
        <f t="shared" ca="1" si="9"/>
        <v>93.333333333333329</v>
      </c>
      <c r="T12" s="6">
        <f ca="1">IFERROR(__xludf.DUMMYFUNCTION("IMPORTRANGE(""https://docs.google.com/spreadsheets/d/1rOGZhKHVnDGFqGTO7UNOJSkSJyQwVuEb2-yhWQit7lw/edit?gid=1409420437#gid=1409420437"", address(row($D10),column($D10),,,""CRT-O""))"),70)</f>
        <v>70</v>
      </c>
      <c r="U12" s="8">
        <f t="shared" ca="1" si="10"/>
        <v>76.923076923076934</v>
      </c>
      <c r="V12" s="6">
        <f t="shared" ca="1" si="0"/>
        <v>360</v>
      </c>
      <c r="W12" s="4">
        <f t="shared" ca="1" si="11"/>
        <v>86</v>
      </c>
      <c r="X12" s="4">
        <v>0</v>
      </c>
      <c r="Y12" s="4">
        <v>0</v>
      </c>
      <c r="Z12" s="4">
        <f t="shared" ca="1" si="1"/>
        <v>360</v>
      </c>
      <c r="AA12" s="10">
        <f t="shared" ca="1" si="12"/>
        <v>86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</row>
    <row r="13" spans="1:39" ht="17.25" customHeight="1" x14ac:dyDescent="0.3">
      <c r="A13" s="8">
        <v>8</v>
      </c>
      <c r="B13" s="11" t="s">
        <v>328</v>
      </c>
      <c r="C13" s="11" t="s">
        <v>329</v>
      </c>
      <c r="D13" s="5">
        <f ca="1">IFERROR(__xludf.DUMMYFUNCTION("IMPORTRANGE(""https://docs.google.com/spreadsheets/d/1rOGZhKHVnDGFqGTO7UNOJSkSJyQwVuEb2-yhWQit7lw/edit?gid=1653662536#gid=1653662536"", address(row($D11),column($D11),,,""DM&amp;GT-O""))"),15)</f>
        <v>15</v>
      </c>
      <c r="E13" s="8">
        <f t="shared" ca="1" si="2"/>
        <v>60</v>
      </c>
      <c r="F13" s="5">
        <f ca="1">IFERROR(__xludf.DUMMYFUNCTION("IMPORTRANGE(""https://docs.google.com/spreadsheets/d/1rOGZhKHVnDGFqGTO7UNOJSkSJyQwVuEb2-yhWQit7lw/edit?gid=1900628561#gid=1900628561"", address(row($D11),column($D11),,,""UHV-O""))"),20)</f>
        <v>20</v>
      </c>
      <c r="G13" s="8">
        <f t="shared" ca="1" si="3"/>
        <v>62.5</v>
      </c>
      <c r="H13" s="5">
        <f ca="1">IFERROR(__xludf.DUMMYFUNCTION("IMPORTRANGE(""https://docs.google.com/spreadsheets/d/1rOGZhKHVnDGFqGTO7UNOJSkSJyQwVuEb2-yhWQit7lw/edit?gid=95164189#gid=95164189"", address(row($D11),column($D11),,,""DL&amp;CO-O""))"),22)</f>
        <v>22</v>
      </c>
      <c r="I13" s="8">
        <f t="shared" ca="1" si="4"/>
        <v>56.410256410256409</v>
      </c>
      <c r="J13" s="5">
        <f ca="1">IFERROR(__xludf.DUMMYFUNCTION("IMPORTRANGE(""https://docs.google.com/spreadsheets/d/1rOGZhKHVnDGFqGTO7UNOJSkSJyQwVuEb2-yhWQit7lw/edit?gid=2139275483#gid=2139275483"", address(row($D11),column($D11),,,""ADSA-O""))"),37)</f>
        <v>37</v>
      </c>
      <c r="K13" s="8">
        <f t="shared" ca="1" si="5"/>
        <v>59.677419354838712</v>
      </c>
      <c r="L13" s="5">
        <f ca="1">IFERROR(__xludf.DUMMYFUNCTION("IMPORTRANGE(""https://docs.google.com/spreadsheets/d/1rOGZhKHVnDGFqGTO7UNOJSkSJyQwVuEb2-yhWQit7lw/edit?gid=352620554#gid=352620554"", address(row($D11),column($D11),,,""JAVA-O""))"),45)</f>
        <v>45</v>
      </c>
      <c r="M13" s="8">
        <f t="shared" ca="1" si="6"/>
        <v>65.217391304347828</v>
      </c>
      <c r="N13" s="5">
        <f ca="1">IFERROR(__xludf.DUMMYFUNCTION("IMPORTRANGE(""https://docs.google.com/spreadsheets/d/1rOGZhKHVnDGFqGTO7UNOJSkSJyQwVuEb2-yhWQit7lw/edit?gid=1434800060#gid=1434800060"", address(row($D11),column($D11),,,""FOSS LAB-O""))"),27)</f>
        <v>27</v>
      </c>
      <c r="O13" s="8">
        <f t="shared" ca="1" si="7"/>
        <v>81.818181818181827</v>
      </c>
      <c r="P13" s="5">
        <f ca="1">IFERROR(__xludf.DUMMYFUNCTION("IMPORTRANGE(""https://docs.google.com/spreadsheets/d/1rOGZhKHVnDGFqGTO7UNOJSkSJyQwVuEb2-yhWQit7lw/edit?gid=1510845942#gid=1510845942"", address(row($D11),column($D11),,,""PP-O""))"),28)</f>
        <v>28</v>
      </c>
      <c r="Q13" s="8">
        <f t="shared" ca="1" si="8"/>
        <v>70</v>
      </c>
      <c r="R13" s="5">
        <f ca="1">IFERROR(__xludf.DUMMYFUNCTION("IMPORTRANGE(""https://docs.google.com/spreadsheets/d/1rOGZhKHVnDGFqGTO7UNOJSkSJyQwVuEb2-yhWQit7lw/edit?gid=655644728#gid=655644728"", address(row($D11),column($D11),,,""NPTEL-O""))"),22)</f>
        <v>22</v>
      </c>
      <c r="S13" s="5">
        <f t="shared" ca="1" si="9"/>
        <v>73.333333333333329</v>
      </c>
      <c r="T13" s="6">
        <f ca="1">IFERROR(__xludf.DUMMYFUNCTION("IMPORTRANGE(""https://docs.google.com/spreadsheets/d/1rOGZhKHVnDGFqGTO7UNOJSkSJyQwVuEb2-yhWQit7lw/edit?gid=1409420437#gid=1409420437"", address(row($D11),column($D11),,,""CRT-O""))"),77)</f>
        <v>77</v>
      </c>
      <c r="U13" s="8">
        <f t="shared" ca="1" si="10"/>
        <v>84.615384615384613</v>
      </c>
      <c r="V13" s="6">
        <f t="shared" ca="1" si="0"/>
        <v>293</v>
      </c>
      <c r="W13" s="4">
        <f t="shared" ca="1" si="11"/>
        <v>70</v>
      </c>
      <c r="X13" s="4">
        <v>0</v>
      </c>
      <c r="Y13" s="4">
        <v>0</v>
      </c>
      <c r="Z13" s="4">
        <f t="shared" ca="1" si="1"/>
        <v>293</v>
      </c>
      <c r="AA13" s="10">
        <f t="shared" ca="1" si="12"/>
        <v>70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</row>
    <row r="14" spans="1:39" ht="17.25" customHeight="1" x14ac:dyDescent="0.3">
      <c r="A14" s="8">
        <v>9</v>
      </c>
      <c r="B14" s="11" t="s">
        <v>330</v>
      </c>
      <c r="C14" s="11" t="s">
        <v>331</v>
      </c>
      <c r="D14" s="5">
        <f ca="1">IFERROR(__xludf.DUMMYFUNCTION("IMPORTRANGE(""https://docs.google.com/spreadsheets/d/1rOGZhKHVnDGFqGTO7UNOJSkSJyQwVuEb2-yhWQit7lw/edit?gid=1653662536#gid=1653662536"", address(row($D12),column($D12),,,""DM&amp;GT-O""))"),15)</f>
        <v>15</v>
      </c>
      <c r="E14" s="8">
        <f t="shared" ca="1" si="2"/>
        <v>60</v>
      </c>
      <c r="F14" s="5">
        <f ca="1">IFERROR(__xludf.DUMMYFUNCTION("IMPORTRANGE(""https://docs.google.com/spreadsheets/d/1rOGZhKHVnDGFqGTO7UNOJSkSJyQwVuEb2-yhWQit7lw/edit?gid=1900628561#gid=1900628561"", address(row($D12),column($D12),,,""UHV-O""))"),22)</f>
        <v>22</v>
      </c>
      <c r="G14" s="8">
        <f t="shared" ca="1" si="3"/>
        <v>68.75</v>
      </c>
      <c r="H14" s="5">
        <f ca="1">IFERROR(__xludf.DUMMYFUNCTION("IMPORTRANGE(""https://docs.google.com/spreadsheets/d/1rOGZhKHVnDGFqGTO7UNOJSkSJyQwVuEb2-yhWQit7lw/edit?gid=95164189#gid=95164189"", address(row($D12),column($D12),,,""DL&amp;CO-O""))"),25)</f>
        <v>25</v>
      </c>
      <c r="I14" s="8">
        <f t="shared" ca="1" si="4"/>
        <v>64.102564102564102</v>
      </c>
      <c r="J14" s="5">
        <f ca="1">IFERROR(__xludf.DUMMYFUNCTION("IMPORTRANGE(""https://docs.google.com/spreadsheets/d/1rOGZhKHVnDGFqGTO7UNOJSkSJyQwVuEb2-yhWQit7lw/edit?gid=2139275483#gid=2139275483"", address(row($D12),column($D12),,,""ADSA-O""))"),39)</f>
        <v>39</v>
      </c>
      <c r="K14" s="8">
        <f t="shared" ca="1" si="5"/>
        <v>62.903225806451616</v>
      </c>
      <c r="L14" s="5">
        <f ca="1">IFERROR(__xludf.DUMMYFUNCTION("IMPORTRANGE(""https://docs.google.com/spreadsheets/d/1rOGZhKHVnDGFqGTO7UNOJSkSJyQwVuEb2-yhWQit7lw/edit?gid=352620554#gid=352620554"", address(row($D12),column($D12),,,""JAVA-O""))"),40)</f>
        <v>40</v>
      </c>
      <c r="M14" s="8">
        <f t="shared" ca="1" si="6"/>
        <v>57.971014492753625</v>
      </c>
      <c r="N14" s="5">
        <f ca="1">IFERROR(__xludf.DUMMYFUNCTION("IMPORTRANGE(""https://docs.google.com/spreadsheets/d/1rOGZhKHVnDGFqGTO7UNOJSkSJyQwVuEb2-yhWQit7lw/edit?gid=1434800060#gid=1434800060"", address(row($D12),column($D12),,,""FOSS LAB-O""))"),24)</f>
        <v>24</v>
      </c>
      <c r="O14" s="8">
        <f t="shared" ca="1" si="7"/>
        <v>72.727272727272734</v>
      </c>
      <c r="P14" s="5">
        <f ca="1">IFERROR(__xludf.DUMMYFUNCTION("IMPORTRANGE(""https://docs.google.com/spreadsheets/d/1rOGZhKHVnDGFqGTO7UNOJSkSJyQwVuEb2-yhWQit7lw/edit?gid=1510845942#gid=1510845942"", address(row($D12),column($D12),,,""PP-O""))"),28)</f>
        <v>28</v>
      </c>
      <c r="Q14" s="8">
        <f t="shared" ca="1" si="8"/>
        <v>70</v>
      </c>
      <c r="R14" s="5">
        <f ca="1">IFERROR(__xludf.DUMMYFUNCTION("IMPORTRANGE(""https://docs.google.com/spreadsheets/d/1rOGZhKHVnDGFqGTO7UNOJSkSJyQwVuEb2-yhWQit7lw/edit?gid=655644728#gid=655644728"", address(row($D12),column($D12),,,""NPTEL-O""))"),22)</f>
        <v>22</v>
      </c>
      <c r="S14" s="5">
        <f t="shared" ca="1" si="9"/>
        <v>73.333333333333329</v>
      </c>
      <c r="T14" s="6">
        <f ca="1">IFERROR(__xludf.DUMMYFUNCTION("IMPORTRANGE(""https://docs.google.com/spreadsheets/d/1rOGZhKHVnDGFqGTO7UNOJSkSJyQwVuEb2-yhWQit7lw/edit?gid=1409420437#gid=1409420437"", address(row($D12),column($D12),,,""CRT-O""))"),77)</f>
        <v>77</v>
      </c>
      <c r="U14" s="8">
        <f t="shared" ca="1" si="10"/>
        <v>84.615384615384613</v>
      </c>
      <c r="V14" s="6">
        <f t="shared" ca="1" si="0"/>
        <v>292</v>
      </c>
      <c r="W14" s="4">
        <f t="shared" ca="1" si="11"/>
        <v>69</v>
      </c>
      <c r="X14" s="4">
        <v>0</v>
      </c>
      <c r="Y14" s="4">
        <v>0</v>
      </c>
      <c r="Z14" s="4">
        <f t="shared" ca="1" si="1"/>
        <v>292</v>
      </c>
      <c r="AA14" s="10">
        <f t="shared" ca="1" si="12"/>
        <v>69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</row>
    <row r="15" spans="1:39" ht="17.25" customHeight="1" x14ac:dyDescent="0.3">
      <c r="A15" s="8">
        <v>10</v>
      </c>
      <c r="B15" s="11" t="s">
        <v>332</v>
      </c>
      <c r="C15" s="11" t="s">
        <v>333</v>
      </c>
      <c r="D15" s="5">
        <f ca="1">IFERROR(__xludf.DUMMYFUNCTION("IMPORTRANGE(""https://docs.google.com/spreadsheets/d/1rOGZhKHVnDGFqGTO7UNOJSkSJyQwVuEb2-yhWQit7lw/edit?gid=1653662536#gid=1653662536"", address(row($D13),column($D13),,,""DM&amp;GT-O""))"),17)</f>
        <v>17</v>
      </c>
      <c r="E15" s="8">
        <f t="shared" ca="1" si="2"/>
        <v>68</v>
      </c>
      <c r="F15" s="5">
        <f ca="1">IFERROR(__xludf.DUMMYFUNCTION("IMPORTRANGE(""https://docs.google.com/spreadsheets/d/1rOGZhKHVnDGFqGTO7UNOJSkSJyQwVuEb2-yhWQit7lw/edit?gid=1900628561#gid=1900628561"", address(row($D13),column($D13),,,""UHV-O""))"),22)</f>
        <v>22</v>
      </c>
      <c r="G15" s="8">
        <f t="shared" ca="1" si="3"/>
        <v>68.75</v>
      </c>
      <c r="H15" s="5">
        <f ca="1">IFERROR(__xludf.DUMMYFUNCTION("IMPORTRANGE(""https://docs.google.com/spreadsheets/d/1rOGZhKHVnDGFqGTO7UNOJSkSJyQwVuEb2-yhWQit7lw/edit?gid=95164189#gid=95164189"", address(row($D13),column($D13),,,""DL&amp;CO-O""))"),27)</f>
        <v>27</v>
      </c>
      <c r="I15" s="8">
        <f t="shared" ca="1" si="4"/>
        <v>69.230769230769226</v>
      </c>
      <c r="J15" s="5">
        <f ca="1">IFERROR(__xludf.DUMMYFUNCTION("IMPORTRANGE(""https://docs.google.com/spreadsheets/d/1rOGZhKHVnDGFqGTO7UNOJSkSJyQwVuEb2-yhWQit7lw/edit?gid=2139275483#gid=2139275483"", address(row($D13),column($D13),,,""ADSA-O""))"),42)</f>
        <v>42</v>
      </c>
      <c r="K15" s="8">
        <f t="shared" ca="1" si="5"/>
        <v>67.741935483870961</v>
      </c>
      <c r="L15" s="5">
        <f ca="1">IFERROR(__xludf.DUMMYFUNCTION("IMPORTRANGE(""https://docs.google.com/spreadsheets/d/1rOGZhKHVnDGFqGTO7UNOJSkSJyQwVuEb2-yhWQit7lw/edit?gid=352620554#gid=352620554"", address(row($D13),column($D13),,,""JAVA-O""))"),48)</f>
        <v>48</v>
      </c>
      <c r="M15" s="8">
        <f t="shared" ca="1" si="6"/>
        <v>69.565217391304344</v>
      </c>
      <c r="N15" s="5">
        <f ca="1">IFERROR(__xludf.DUMMYFUNCTION("IMPORTRANGE(""https://docs.google.com/spreadsheets/d/1rOGZhKHVnDGFqGTO7UNOJSkSJyQwVuEb2-yhWQit7lw/edit?gid=1434800060#gid=1434800060"", address(row($D13),column($D13),,,""FOSS LAB-O""))"),19)</f>
        <v>19</v>
      </c>
      <c r="O15" s="8">
        <f t="shared" ca="1" si="7"/>
        <v>57.575757575757578</v>
      </c>
      <c r="P15" s="5">
        <f ca="1">IFERROR(__xludf.DUMMYFUNCTION("IMPORTRANGE(""https://docs.google.com/spreadsheets/d/1rOGZhKHVnDGFqGTO7UNOJSkSJyQwVuEb2-yhWQit7lw/edit?gid=1510845942#gid=1510845942"", address(row($D13),column($D13),,,""PP-O""))"),36)</f>
        <v>36</v>
      </c>
      <c r="Q15" s="8">
        <f t="shared" ca="1" si="8"/>
        <v>90</v>
      </c>
      <c r="R15" s="5">
        <f ca="1">IFERROR(__xludf.DUMMYFUNCTION("IMPORTRANGE(""https://docs.google.com/spreadsheets/d/1rOGZhKHVnDGFqGTO7UNOJSkSJyQwVuEb2-yhWQit7lw/edit?gid=655644728#gid=655644728"", address(row($D13),column($D13),,,""NPTEL-O""))"),16)</f>
        <v>16</v>
      </c>
      <c r="S15" s="5">
        <f t="shared" ca="1" si="9"/>
        <v>53.333333333333336</v>
      </c>
      <c r="T15" s="6">
        <f ca="1">IFERROR(__xludf.DUMMYFUNCTION("IMPORTRANGE(""https://docs.google.com/spreadsheets/d/1rOGZhKHVnDGFqGTO7UNOJSkSJyQwVuEb2-yhWQit7lw/edit?gid=1409420437#gid=1409420437"", address(row($D13),column($D13),,,""CRT-O""))"),70)</f>
        <v>70</v>
      </c>
      <c r="U15" s="8">
        <f t="shared" ca="1" si="10"/>
        <v>76.923076923076934</v>
      </c>
      <c r="V15" s="6">
        <f t="shared" ca="1" si="0"/>
        <v>297</v>
      </c>
      <c r="W15" s="4">
        <f t="shared" ca="1" si="11"/>
        <v>71</v>
      </c>
      <c r="X15" s="4">
        <v>0</v>
      </c>
      <c r="Y15" s="4">
        <v>0</v>
      </c>
      <c r="Z15" s="4">
        <f t="shared" ca="1" si="1"/>
        <v>297</v>
      </c>
      <c r="AA15" s="10">
        <f t="shared" ca="1" si="12"/>
        <v>71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</row>
    <row r="16" spans="1:39" ht="17.25" customHeight="1" x14ac:dyDescent="0.3">
      <c r="A16" s="8">
        <v>11</v>
      </c>
      <c r="B16" s="11" t="s">
        <v>334</v>
      </c>
      <c r="C16" s="11" t="s">
        <v>335</v>
      </c>
      <c r="D16" s="5">
        <f ca="1">IFERROR(__xludf.DUMMYFUNCTION("IMPORTRANGE(""https://docs.google.com/spreadsheets/d/1rOGZhKHVnDGFqGTO7UNOJSkSJyQwVuEb2-yhWQit7lw/edit?gid=1653662536#gid=1653662536"", address(row($D14),column($D14),,,""DM&amp;GT-O""))"),0)</f>
        <v>0</v>
      </c>
      <c r="E16" s="8">
        <f t="shared" ca="1" si="2"/>
        <v>0</v>
      </c>
      <c r="F16" s="5">
        <f ca="1">IFERROR(__xludf.DUMMYFUNCTION("IMPORTRANGE(""https://docs.google.com/spreadsheets/d/1rOGZhKHVnDGFqGTO7UNOJSkSJyQwVuEb2-yhWQit7lw/edit?gid=1900628561#gid=1900628561"", address(row($D14),column($D14),,,""UHV-O""))"),0)</f>
        <v>0</v>
      </c>
      <c r="G16" s="8">
        <f t="shared" ca="1" si="3"/>
        <v>0</v>
      </c>
      <c r="H16" s="5">
        <f ca="1">IFERROR(__xludf.DUMMYFUNCTION("IMPORTRANGE(""https://docs.google.com/spreadsheets/d/1rOGZhKHVnDGFqGTO7UNOJSkSJyQwVuEb2-yhWQit7lw/edit?gid=95164189#gid=95164189"", address(row($D14),column($D14),,,""DL&amp;CO-O""))"),0)</f>
        <v>0</v>
      </c>
      <c r="I16" s="8">
        <f t="shared" ca="1" si="4"/>
        <v>0</v>
      </c>
      <c r="J16" s="5">
        <f ca="1">IFERROR(__xludf.DUMMYFUNCTION("IMPORTRANGE(""https://docs.google.com/spreadsheets/d/1rOGZhKHVnDGFqGTO7UNOJSkSJyQwVuEb2-yhWQit7lw/edit?gid=2139275483#gid=2139275483"", address(row($D14),column($D14),,,""ADSA-O""))"),0)</f>
        <v>0</v>
      </c>
      <c r="K16" s="8">
        <f t="shared" ca="1" si="5"/>
        <v>0</v>
      </c>
      <c r="L16" s="5">
        <f ca="1">IFERROR(__xludf.DUMMYFUNCTION("IMPORTRANGE(""https://docs.google.com/spreadsheets/d/1rOGZhKHVnDGFqGTO7UNOJSkSJyQwVuEb2-yhWQit7lw/edit?gid=352620554#gid=352620554"", address(row($D14),column($D14),,,""JAVA-O""))"),0)</f>
        <v>0</v>
      </c>
      <c r="M16" s="8">
        <f t="shared" ca="1" si="6"/>
        <v>0</v>
      </c>
      <c r="N16" s="5">
        <f ca="1">IFERROR(__xludf.DUMMYFUNCTION("IMPORTRANGE(""https://docs.google.com/spreadsheets/d/1rOGZhKHVnDGFqGTO7UNOJSkSJyQwVuEb2-yhWQit7lw/edit?gid=1434800060#gid=1434800060"", address(row($D14),column($D14),,,""FOSS LAB-O""))"),0)</f>
        <v>0</v>
      </c>
      <c r="O16" s="8">
        <f t="shared" ca="1" si="7"/>
        <v>0</v>
      </c>
      <c r="P16" s="5">
        <f ca="1">IFERROR(__xludf.DUMMYFUNCTION("IMPORTRANGE(""https://docs.google.com/spreadsheets/d/1rOGZhKHVnDGFqGTO7UNOJSkSJyQwVuEb2-yhWQit7lw/edit?gid=1510845942#gid=1510845942"", address(row($D14),column($D14),,,""PP-O""))"),0)</f>
        <v>0</v>
      </c>
      <c r="Q16" s="8">
        <f t="shared" ca="1" si="8"/>
        <v>0</v>
      </c>
      <c r="R16" s="5">
        <f ca="1">IFERROR(__xludf.DUMMYFUNCTION("IMPORTRANGE(""https://docs.google.com/spreadsheets/d/1rOGZhKHVnDGFqGTO7UNOJSkSJyQwVuEb2-yhWQit7lw/edit?gid=655644728#gid=655644728"", address(row($D14),column($D14),,,""NPTEL-O""))"),0)</f>
        <v>0</v>
      </c>
      <c r="S16" s="5">
        <f t="shared" ca="1" si="9"/>
        <v>0</v>
      </c>
      <c r="T16" s="6">
        <f ca="1">IFERROR(__xludf.DUMMYFUNCTION("IMPORTRANGE(""https://docs.google.com/spreadsheets/d/1rOGZhKHVnDGFqGTO7UNOJSkSJyQwVuEb2-yhWQit7lw/edit?gid=1409420437#gid=1409420437"", address(row($D14),column($D14),,,""CRT-O""))"),0)</f>
        <v>0</v>
      </c>
      <c r="U16" s="8">
        <f t="shared" ca="1" si="10"/>
        <v>0</v>
      </c>
      <c r="V16" s="6">
        <f t="shared" ca="1" si="0"/>
        <v>0</v>
      </c>
      <c r="W16" s="4">
        <f t="shared" ca="1" si="11"/>
        <v>0</v>
      </c>
      <c r="X16" s="4">
        <v>0</v>
      </c>
      <c r="Y16" s="4">
        <v>0</v>
      </c>
      <c r="Z16" s="4">
        <f t="shared" ca="1" si="1"/>
        <v>0</v>
      </c>
      <c r="AA16" s="10">
        <f t="shared" ca="1" si="12"/>
        <v>0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ht="17.25" customHeight="1" x14ac:dyDescent="0.3">
      <c r="A17" s="8">
        <v>12</v>
      </c>
      <c r="B17" s="11" t="s">
        <v>336</v>
      </c>
      <c r="C17" s="11" t="s">
        <v>337</v>
      </c>
      <c r="D17" s="5">
        <f ca="1">IFERROR(__xludf.DUMMYFUNCTION("IMPORTRANGE(""https://docs.google.com/spreadsheets/d/1rOGZhKHVnDGFqGTO7UNOJSkSJyQwVuEb2-yhWQit7lw/edit?gid=1653662536#gid=1653662536"", address(row($D15),column($D15),,,""DM&amp;GT-O""))"),18)</f>
        <v>18</v>
      </c>
      <c r="E17" s="8">
        <f t="shared" ca="1" si="2"/>
        <v>72</v>
      </c>
      <c r="F17" s="5">
        <f ca="1">IFERROR(__xludf.DUMMYFUNCTION("IMPORTRANGE(""https://docs.google.com/spreadsheets/d/1rOGZhKHVnDGFqGTO7UNOJSkSJyQwVuEb2-yhWQit7lw/edit?gid=1900628561#gid=1900628561"", address(row($D15),column($D15),,,""UHV-O""))"),22)</f>
        <v>22</v>
      </c>
      <c r="G17" s="8">
        <f t="shared" ca="1" si="3"/>
        <v>68.75</v>
      </c>
      <c r="H17" s="5">
        <f ca="1">IFERROR(__xludf.DUMMYFUNCTION("IMPORTRANGE(""https://docs.google.com/spreadsheets/d/1rOGZhKHVnDGFqGTO7UNOJSkSJyQwVuEb2-yhWQit7lw/edit?gid=95164189#gid=95164189"", address(row($D15),column($D15),,,""DL&amp;CO-O""))"),30)</f>
        <v>30</v>
      </c>
      <c r="I17" s="8">
        <f t="shared" ca="1" si="4"/>
        <v>76.923076923076934</v>
      </c>
      <c r="J17" s="5">
        <f ca="1">IFERROR(__xludf.DUMMYFUNCTION("IMPORTRANGE(""https://docs.google.com/spreadsheets/d/1rOGZhKHVnDGFqGTO7UNOJSkSJyQwVuEb2-yhWQit7lw/edit?gid=2139275483#gid=2139275483"", address(row($D15),column($D15),,,""ADSA-O""))"),45)</f>
        <v>45</v>
      </c>
      <c r="K17" s="8">
        <f t="shared" ca="1" si="5"/>
        <v>72.58064516129032</v>
      </c>
      <c r="L17" s="5">
        <f ca="1">IFERROR(__xludf.DUMMYFUNCTION("IMPORTRANGE(""https://docs.google.com/spreadsheets/d/1rOGZhKHVnDGFqGTO7UNOJSkSJyQwVuEb2-yhWQit7lw/edit?gid=352620554#gid=352620554"", address(row($D15),column($D15),,,""JAVA-O""))"),53)</f>
        <v>53</v>
      </c>
      <c r="M17" s="8">
        <f t="shared" ca="1" si="6"/>
        <v>76.811594202898547</v>
      </c>
      <c r="N17" s="5">
        <f ca="1">IFERROR(__xludf.DUMMYFUNCTION("IMPORTRANGE(""https://docs.google.com/spreadsheets/d/1rOGZhKHVnDGFqGTO7UNOJSkSJyQwVuEb2-yhWQit7lw/edit?gid=1434800060#gid=1434800060"", address(row($D15),column($D15),,,""FOSS LAB-O""))"),27)</f>
        <v>27</v>
      </c>
      <c r="O17" s="8">
        <f t="shared" ca="1" si="7"/>
        <v>81.818181818181827</v>
      </c>
      <c r="P17" s="5">
        <f ca="1">IFERROR(__xludf.DUMMYFUNCTION("IMPORTRANGE(""https://docs.google.com/spreadsheets/d/1rOGZhKHVnDGFqGTO7UNOJSkSJyQwVuEb2-yhWQit7lw/edit?gid=1510845942#gid=1510845942"", address(row($D15),column($D15),,,""PP-O""))"),28)</f>
        <v>28</v>
      </c>
      <c r="Q17" s="8">
        <f t="shared" ca="1" si="8"/>
        <v>70</v>
      </c>
      <c r="R17" s="5">
        <f ca="1">IFERROR(__xludf.DUMMYFUNCTION("IMPORTRANGE(""https://docs.google.com/spreadsheets/d/1rOGZhKHVnDGFqGTO7UNOJSkSJyQwVuEb2-yhWQit7lw/edit?gid=655644728#gid=655644728"", address(row($D15),column($D15),,,""NPTEL-O""))"),26)</f>
        <v>26</v>
      </c>
      <c r="S17" s="5">
        <f t="shared" ca="1" si="9"/>
        <v>86.666666666666671</v>
      </c>
      <c r="T17" s="6">
        <f ca="1">IFERROR(__xludf.DUMMYFUNCTION("IMPORTRANGE(""https://docs.google.com/spreadsheets/d/1rOGZhKHVnDGFqGTO7UNOJSkSJyQwVuEb2-yhWQit7lw/edit?gid=1409420437#gid=1409420437"", address(row($D15),column($D15),,,""CRT-O""))"),77)</f>
        <v>77</v>
      </c>
      <c r="U17" s="8">
        <f t="shared" ca="1" si="10"/>
        <v>84.615384615384613</v>
      </c>
      <c r="V17" s="6">
        <f t="shared" ca="1" si="0"/>
        <v>326</v>
      </c>
      <c r="W17" s="4">
        <f t="shared" ca="1" si="11"/>
        <v>77</v>
      </c>
      <c r="X17" s="4">
        <v>0</v>
      </c>
      <c r="Y17" s="4">
        <v>0</v>
      </c>
      <c r="Z17" s="4">
        <f t="shared" ca="1" si="1"/>
        <v>326</v>
      </c>
      <c r="AA17" s="10">
        <f t="shared" ca="1" si="12"/>
        <v>77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39" ht="17.25" customHeight="1" x14ac:dyDescent="0.3">
      <c r="A18" s="8">
        <v>13</v>
      </c>
      <c r="B18" s="11" t="s">
        <v>338</v>
      </c>
      <c r="C18" s="11" t="s">
        <v>339</v>
      </c>
      <c r="D18" s="5">
        <f ca="1">IFERROR(__xludf.DUMMYFUNCTION("IMPORTRANGE(""https://docs.google.com/spreadsheets/d/1rOGZhKHVnDGFqGTO7UNOJSkSJyQwVuEb2-yhWQit7lw/edit?gid=1653662536#gid=1653662536"", address(row($D16),column($D16),,,""DM&amp;GT-O""))"),19)</f>
        <v>19</v>
      </c>
      <c r="E18" s="8">
        <f t="shared" ca="1" si="2"/>
        <v>76</v>
      </c>
      <c r="F18" s="5">
        <f ca="1">IFERROR(__xludf.DUMMYFUNCTION("IMPORTRANGE(""https://docs.google.com/spreadsheets/d/1rOGZhKHVnDGFqGTO7UNOJSkSJyQwVuEb2-yhWQit7lw/edit?gid=1900628561#gid=1900628561"", address(row($D16),column($D16),,,""UHV-O""))"),24)</f>
        <v>24</v>
      </c>
      <c r="G18" s="8">
        <f t="shared" ca="1" si="3"/>
        <v>75</v>
      </c>
      <c r="H18" s="5">
        <f ca="1">IFERROR(__xludf.DUMMYFUNCTION("IMPORTRANGE(""https://docs.google.com/spreadsheets/d/1rOGZhKHVnDGFqGTO7UNOJSkSJyQwVuEb2-yhWQit7lw/edit?gid=95164189#gid=95164189"", address(row($D16),column($D16),,,""DL&amp;CO-O""))"),28)</f>
        <v>28</v>
      </c>
      <c r="I18" s="8">
        <f t="shared" ca="1" si="4"/>
        <v>71.794871794871796</v>
      </c>
      <c r="J18" s="5">
        <f ca="1">IFERROR(__xludf.DUMMYFUNCTION("IMPORTRANGE(""https://docs.google.com/spreadsheets/d/1rOGZhKHVnDGFqGTO7UNOJSkSJyQwVuEb2-yhWQit7lw/edit?gid=2139275483#gid=2139275483"", address(row($D16),column($D16),,,""ADSA-O""))"),40)</f>
        <v>40</v>
      </c>
      <c r="K18" s="8">
        <f t="shared" ca="1" si="5"/>
        <v>64.516129032258064</v>
      </c>
      <c r="L18" s="5">
        <f ca="1">IFERROR(__xludf.DUMMYFUNCTION("IMPORTRANGE(""https://docs.google.com/spreadsheets/d/1rOGZhKHVnDGFqGTO7UNOJSkSJyQwVuEb2-yhWQit7lw/edit?gid=352620554#gid=352620554"", address(row($D16),column($D16),,,""JAVA-O""))"),43)</f>
        <v>43</v>
      </c>
      <c r="M18" s="8">
        <f t="shared" ca="1" si="6"/>
        <v>62.318840579710141</v>
      </c>
      <c r="N18" s="5">
        <f ca="1">IFERROR(__xludf.DUMMYFUNCTION("IMPORTRANGE(""https://docs.google.com/spreadsheets/d/1rOGZhKHVnDGFqGTO7UNOJSkSJyQwVuEb2-yhWQit7lw/edit?gid=1434800060#gid=1434800060"", address(row($D16),column($D16),,,""FOSS LAB-O""))"),25)</f>
        <v>25</v>
      </c>
      <c r="O18" s="8">
        <f t="shared" ca="1" si="7"/>
        <v>75.757575757575751</v>
      </c>
      <c r="P18" s="5">
        <f ca="1">IFERROR(__xludf.DUMMYFUNCTION("IMPORTRANGE(""https://docs.google.com/spreadsheets/d/1rOGZhKHVnDGFqGTO7UNOJSkSJyQwVuEb2-yhWQit7lw/edit?gid=1510845942#gid=1510845942"", address(row($D16),column($D16),,,""PP-O""))"),32)</f>
        <v>32</v>
      </c>
      <c r="Q18" s="8">
        <f t="shared" ca="1" si="8"/>
        <v>80</v>
      </c>
      <c r="R18" s="5">
        <f ca="1">IFERROR(__xludf.DUMMYFUNCTION("IMPORTRANGE(""https://docs.google.com/spreadsheets/d/1rOGZhKHVnDGFqGTO7UNOJSkSJyQwVuEb2-yhWQit7lw/edit?gid=655644728#gid=655644728"", address(row($D16),column($D16),,,""NPTEL-O""))"),22)</f>
        <v>22</v>
      </c>
      <c r="S18" s="5">
        <f t="shared" ca="1" si="9"/>
        <v>73.333333333333329</v>
      </c>
      <c r="T18" s="6">
        <f ca="1">IFERROR(__xludf.DUMMYFUNCTION("IMPORTRANGE(""https://docs.google.com/spreadsheets/d/1rOGZhKHVnDGFqGTO7UNOJSkSJyQwVuEb2-yhWQit7lw/edit?gid=1409420437#gid=1409420437"", address(row($D16),column($D16),,,""CRT-O""))"),77)</f>
        <v>77</v>
      </c>
      <c r="U18" s="8">
        <f t="shared" ca="1" si="10"/>
        <v>84.615384615384613</v>
      </c>
      <c r="V18" s="6">
        <f t="shared" ca="1" si="0"/>
        <v>310</v>
      </c>
      <c r="W18" s="4">
        <f t="shared" ca="1" si="11"/>
        <v>74</v>
      </c>
      <c r="X18" s="4">
        <v>0</v>
      </c>
      <c r="Y18" s="4">
        <v>0</v>
      </c>
      <c r="Z18" s="4">
        <f t="shared" ca="1" si="1"/>
        <v>310</v>
      </c>
      <c r="AA18" s="10">
        <f t="shared" ca="1" si="12"/>
        <v>74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</row>
    <row r="19" spans="1:39" ht="17.25" customHeight="1" x14ac:dyDescent="0.3">
      <c r="A19" s="8">
        <v>14</v>
      </c>
      <c r="B19" s="11" t="s">
        <v>340</v>
      </c>
      <c r="C19" s="11" t="s">
        <v>341</v>
      </c>
      <c r="D19" s="5">
        <f ca="1">IFERROR(__xludf.DUMMYFUNCTION("IMPORTRANGE(""https://docs.google.com/spreadsheets/d/1rOGZhKHVnDGFqGTO7UNOJSkSJyQwVuEb2-yhWQit7lw/edit?gid=1653662536#gid=1653662536"", address(row($D17),column($D17),,,""DM&amp;GT-O""))"),19)</f>
        <v>19</v>
      </c>
      <c r="E19" s="8">
        <f t="shared" ca="1" si="2"/>
        <v>76</v>
      </c>
      <c r="F19" s="5">
        <f ca="1">IFERROR(__xludf.DUMMYFUNCTION("IMPORTRANGE(""https://docs.google.com/spreadsheets/d/1rOGZhKHVnDGFqGTO7UNOJSkSJyQwVuEb2-yhWQit7lw/edit?gid=1900628561#gid=1900628561"", address(row($D17),column($D17),,,""UHV-O""))"),24)</f>
        <v>24</v>
      </c>
      <c r="G19" s="8">
        <f t="shared" ca="1" si="3"/>
        <v>75</v>
      </c>
      <c r="H19" s="5">
        <f ca="1">IFERROR(__xludf.DUMMYFUNCTION("IMPORTRANGE(""https://docs.google.com/spreadsheets/d/1rOGZhKHVnDGFqGTO7UNOJSkSJyQwVuEb2-yhWQit7lw/edit?gid=95164189#gid=95164189"", address(row($D17),column($D17),,,""DL&amp;CO-O""))"),31)</f>
        <v>31</v>
      </c>
      <c r="I19" s="8">
        <f t="shared" ca="1" si="4"/>
        <v>79.487179487179489</v>
      </c>
      <c r="J19" s="5">
        <f ca="1">IFERROR(__xludf.DUMMYFUNCTION("IMPORTRANGE(""https://docs.google.com/spreadsheets/d/1rOGZhKHVnDGFqGTO7UNOJSkSJyQwVuEb2-yhWQit7lw/edit?gid=2139275483#gid=2139275483"", address(row($D17),column($D17),,,""ADSA-O""))"),49)</f>
        <v>49</v>
      </c>
      <c r="K19" s="8">
        <f t="shared" ca="1" si="5"/>
        <v>79.032258064516128</v>
      </c>
      <c r="L19" s="5">
        <f ca="1">IFERROR(__xludf.DUMMYFUNCTION("IMPORTRANGE(""https://docs.google.com/spreadsheets/d/1rOGZhKHVnDGFqGTO7UNOJSkSJyQwVuEb2-yhWQit7lw/edit?gid=352620554#gid=352620554"", address(row($D17),column($D17),,,""JAVA-O""))"),59)</f>
        <v>59</v>
      </c>
      <c r="M19" s="8">
        <f t="shared" ca="1" si="6"/>
        <v>85.507246376811594</v>
      </c>
      <c r="N19" s="5">
        <f ca="1">IFERROR(__xludf.DUMMYFUNCTION("IMPORTRANGE(""https://docs.google.com/spreadsheets/d/1rOGZhKHVnDGFqGTO7UNOJSkSJyQwVuEb2-yhWQit7lw/edit?gid=1434800060#gid=1434800060"", address(row($D17),column($D17),,,""FOSS LAB-O""))"),25)</f>
        <v>25</v>
      </c>
      <c r="O19" s="8">
        <f t="shared" ca="1" si="7"/>
        <v>75.757575757575751</v>
      </c>
      <c r="P19" s="5">
        <f ca="1">IFERROR(__xludf.DUMMYFUNCTION("IMPORTRANGE(""https://docs.google.com/spreadsheets/d/1rOGZhKHVnDGFqGTO7UNOJSkSJyQwVuEb2-yhWQit7lw/edit?gid=1510845942#gid=1510845942"", address(row($D17),column($D17),,,""PP-O""))"),30)</f>
        <v>30</v>
      </c>
      <c r="Q19" s="8">
        <f t="shared" ca="1" si="8"/>
        <v>75</v>
      </c>
      <c r="R19" s="5">
        <f ca="1">IFERROR(__xludf.DUMMYFUNCTION("IMPORTRANGE(""https://docs.google.com/spreadsheets/d/1rOGZhKHVnDGFqGTO7UNOJSkSJyQwVuEb2-yhWQit7lw/edit?gid=655644728#gid=655644728"", address(row($D17),column($D17),,,""NPTEL-O""))"),28)</f>
        <v>28</v>
      </c>
      <c r="S19" s="5">
        <f t="shared" ca="1" si="9"/>
        <v>93.333333333333329</v>
      </c>
      <c r="T19" s="6">
        <f ca="1">IFERROR(__xludf.DUMMYFUNCTION("IMPORTRANGE(""https://docs.google.com/spreadsheets/d/1rOGZhKHVnDGFqGTO7UNOJSkSJyQwVuEb2-yhWQit7lw/edit?gid=1409420437#gid=1409420437"", address(row($D17),column($D17),,,""CRT-O""))"),70)</f>
        <v>70</v>
      </c>
      <c r="U19" s="8">
        <f t="shared" ca="1" si="10"/>
        <v>76.923076923076934</v>
      </c>
      <c r="V19" s="6">
        <f t="shared" ca="1" si="0"/>
        <v>335</v>
      </c>
      <c r="W19" s="4">
        <f t="shared" ca="1" si="11"/>
        <v>80</v>
      </c>
      <c r="X19" s="4">
        <v>0</v>
      </c>
      <c r="Y19" s="4">
        <v>0</v>
      </c>
      <c r="Z19" s="4">
        <f t="shared" ca="1" si="1"/>
        <v>335</v>
      </c>
      <c r="AA19" s="10">
        <f t="shared" ca="1" si="12"/>
        <v>80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ht="17.25" customHeight="1" x14ac:dyDescent="0.3">
      <c r="A20" s="8">
        <v>15</v>
      </c>
      <c r="B20" s="11" t="s">
        <v>342</v>
      </c>
      <c r="C20" s="11" t="s">
        <v>343</v>
      </c>
      <c r="D20" s="5">
        <f ca="1">IFERROR(__xludf.DUMMYFUNCTION("IMPORTRANGE(""https://docs.google.com/spreadsheets/d/1rOGZhKHVnDGFqGTO7UNOJSkSJyQwVuEb2-yhWQit7lw/edit?gid=1653662536#gid=1653662536"", address(row($D18),column($D18),,,""DM&amp;GT-O""))"),24)</f>
        <v>24</v>
      </c>
      <c r="E20" s="8">
        <f t="shared" ca="1" si="2"/>
        <v>96</v>
      </c>
      <c r="F20" s="5">
        <f ca="1">IFERROR(__xludf.DUMMYFUNCTION("IMPORTRANGE(""https://docs.google.com/spreadsheets/d/1rOGZhKHVnDGFqGTO7UNOJSkSJyQwVuEb2-yhWQit7lw/edit?gid=1900628561#gid=1900628561"", address(row($D18),column($D18),,,""UHV-O""))"),29)</f>
        <v>29</v>
      </c>
      <c r="G20" s="8">
        <f t="shared" ca="1" si="3"/>
        <v>90.625</v>
      </c>
      <c r="H20" s="5">
        <f ca="1">IFERROR(__xludf.DUMMYFUNCTION("IMPORTRANGE(""https://docs.google.com/spreadsheets/d/1rOGZhKHVnDGFqGTO7UNOJSkSJyQwVuEb2-yhWQit7lw/edit?gid=95164189#gid=95164189"", address(row($D18),column($D18),,,""DL&amp;CO-O""))"),36)</f>
        <v>36</v>
      </c>
      <c r="I20" s="8">
        <f t="shared" ca="1" si="4"/>
        <v>92.307692307692307</v>
      </c>
      <c r="J20" s="5">
        <f ca="1">IFERROR(__xludf.DUMMYFUNCTION("IMPORTRANGE(""https://docs.google.com/spreadsheets/d/1rOGZhKHVnDGFqGTO7UNOJSkSJyQwVuEb2-yhWQit7lw/edit?gid=2139275483#gid=2139275483"", address(row($D18),column($D18),,,""ADSA-O""))"),53)</f>
        <v>53</v>
      </c>
      <c r="K20" s="8">
        <f t="shared" ca="1" si="5"/>
        <v>85.483870967741936</v>
      </c>
      <c r="L20" s="5">
        <f ca="1">IFERROR(__xludf.DUMMYFUNCTION("IMPORTRANGE(""https://docs.google.com/spreadsheets/d/1rOGZhKHVnDGFqGTO7UNOJSkSJyQwVuEb2-yhWQit7lw/edit?gid=352620554#gid=352620554"", address(row($D18),column($D18),,,""JAVA-O""))"),54)</f>
        <v>54</v>
      </c>
      <c r="M20" s="8">
        <f t="shared" ca="1" si="6"/>
        <v>78.260869565217391</v>
      </c>
      <c r="N20" s="5">
        <f ca="1">IFERROR(__xludf.DUMMYFUNCTION("IMPORTRANGE(""https://docs.google.com/spreadsheets/d/1rOGZhKHVnDGFqGTO7UNOJSkSJyQwVuEb2-yhWQit7lw/edit?gid=1434800060#gid=1434800060"", address(row($D18),column($D18),,,""FOSS LAB-O""))"),33)</f>
        <v>33</v>
      </c>
      <c r="O20" s="8">
        <f t="shared" ca="1" si="7"/>
        <v>100</v>
      </c>
      <c r="P20" s="5">
        <f ca="1">IFERROR(__xludf.DUMMYFUNCTION("IMPORTRANGE(""https://docs.google.com/spreadsheets/d/1rOGZhKHVnDGFqGTO7UNOJSkSJyQwVuEb2-yhWQit7lw/edit?gid=1510845942#gid=1510845942"", address(row($D18),column($D18),,,""PP-O""))"),38)</f>
        <v>38</v>
      </c>
      <c r="Q20" s="8">
        <f t="shared" ca="1" si="8"/>
        <v>95</v>
      </c>
      <c r="R20" s="5">
        <f ca="1">IFERROR(__xludf.DUMMYFUNCTION("IMPORTRANGE(""https://docs.google.com/spreadsheets/d/1rOGZhKHVnDGFqGTO7UNOJSkSJyQwVuEb2-yhWQit7lw/edit?gid=655644728#gid=655644728"", address(row($D18),column($D18),,,""NPTEL-O""))"),30)</f>
        <v>30</v>
      </c>
      <c r="S20" s="5">
        <f t="shared" ca="1" si="9"/>
        <v>100</v>
      </c>
      <c r="T20" s="6">
        <f ca="1">IFERROR(__xludf.DUMMYFUNCTION("IMPORTRANGE(""https://docs.google.com/spreadsheets/d/1rOGZhKHVnDGFqGTO7UNOJSkSJyQwVuEb2-yhWQit7lw/edit?gid=1409420437#gid=1409420437"", address(row($D18),column($D18),,,""CRT-O""))"),91)</f>
        <v>91</v>
      </c>
      <c r="U20" s="8">
        <f t="shared" ca="1" si="10"/>
        <v>100</v>
      </c>
      <c r="V20" s="6">
        <f t="shared" ca="1" si="0"/>
        <v>388</v>
      </c>
      <c r="W20" s="4">
        <f t="shared" ca="1" si="11"/>
        <v>92</v>
      </c>
      <c r="X20" s="4">
        <v>0</v>
      </c>
      <c r="Y20" s="4">
        <v>0</v>
      </c>
      <c r="Z20" s="4">
        <f t="shared" ca="1" si="1"/>
        <v>388</v>
      </c>
      <c r="AA20" s="10">
        <f t="shared" ca="1" si="12"/>
        <v>92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ht="15.85" customHeight="1" x14ac:dyDescent="0.3">
      <c r="A21" s="8">
        <v>16</v>
      </c>
      <c r="B21" s="11" t="s">
        <v>344</v>
      </c>
      <c r="C21" s="11" t="s">
        <v>345</v>
      </c>
      <c r="D21" s="5">
        <f ca="1">IFERROR(__xludf.DUMMYFUNCTION("IMPORTRANGE(""https://docs.google.com/spreadsheets/d/1rOGZhKHVnDGFqGTO7UNOJSkSJyQwVuEb2-yhWQit7lw/edit?gid=1653662536#gid=1653662536"", address(row($D19),column($D19),,,""DM&amp;GT-O""))"),22)</f>
        <v>22</v>
      </c>
      <c r="E21" s="8">
        <f t="shared" ca="1" si="2"/>
        <v>88</v>
      </c>
      <c r="F21" s="5">
        <f ca="1">IFERROR(__xludf.DUMMYFUNCTION("IMPORTRANGE(""https://docs.google.com/spreadsheets/d/1rOGZhKHVnDGFqGTO7UNOJSkSJyQwVuEb2-yhWQit7lw/edit?gid=1900628561#gid=1900628561"", address(row($D19),column($D19),,,""UHV-O""))"),25)</f>
        <v>25</v>
      </c>
      <c r="G21" s="8">
        <f t="shared" ca="1" si="3"/>
        <v>78.125</v>
      </c>
      <c r="H21" s="5">
        <f ca="1">IFERROR(__xludf.DUMMYFUNCTION("IMPORTRANGE(""https://docs.google.com/spreadsheets/d/1rOGZhKHVnDGFqGTO7UNOJSkSJyQwVuEb2-yhWQit7lw/edit?gid=95164189#gid=95164189"", address(row($D19),column($D19),,,""DL&amp;CO-O""))"),30)</f>
        <v>30</v>
      </c>
      <c r="I21" s="8">
        <f t="shared" ca="1" si="4"/>
        <v>76.923076923076934</v>
      </c>
      <c r="J21" s="5">
        <f ca="1">IFERROR(__xludf.DUMMYFUNCTION("IMPORTRANGE(""https://docs.google.com/spreadsheets/d/1rOGZhKHVnDGFqGTO7UNOJSkSJyQwVuEb2-yhWQit7lw/edit?gid=2139275483#gid=2139275483"", address(row($D19),column($D19),,,""ADSA-O""))"),49)</f>
        <v>49</v>
      </c>
      <c r="K21" s="8">
        <f t="shared" ca="1" si="5"/>
        <v>79.032258064516128</v>
      </c>
      <c r="L21" s="5">
        <f ca="1">IFERROR(__xludf.DUMMYFUNCTION("IMPORTRANGE(""https://docs.google.com/spreadsheets/d/1rOGZhKHVnDGFqGTO7UNOJSkSJyQwVuEb2-yhWQit7lw/edit?gid=352620554#gid=352620554"", address(row($D19),column($D19),,,""JAVA-O""))"),56)</f>
        <v>56</v>
      </c>
      <c r="M21" s="8">
        <f t="shared" ca="1" si="6"/>
        <v>81.159420289855078</v>
      </c>
      <c r="N21" s="5">
        <f ca="1">IFERROR(__xludf.DUMMYFUNCTION("IMPORTRANGE(""https://docs.google.com/spreadsheets/d/1rOGZhKHVnDGFqGTO7UNOJSkSJyQwVuEb2-yhWQit7lw/edit?gid=1434800060#gid=1434800060"", address(row($D19),column($D19),,,""FOSS LAB-O""))"),29)</f>
        <v>29</v>
      </c>
      <c r="O21" s="8">
        <f t="shared" ca="1" si="7"/>
        <v>87.878787878787875</v>
      </c>
      <c r="P21" s="5">
        <f ca="1">IFERROR(__xludf.DUMMYFUNCTION("IMPORTRANGE(""https://docs.google.com/spreadsheets/d/1rOGZhKHVnDGFqGTO7UNOJSkSJyQwVuEb2-yhWQit7lw/edit?gid=1510845942#gid=1510845942"", address(row($D19),column($D19),,,""PP-O""))"),32)</f>
        <v>32</v>
      </c>
      <c r="Q21" s="8">
        <f t="shared" ca="1" si="8"/>
        <v>80</v>
      </c>
      <c r="R21" s="5">
        <f ca="1">IFERROR(__xludf.DUMMYFUNCTION("IMPORTRANGE(""https://docs.google.com/spreadsheets/d/1rOGZhKHVnDGFqGTO7UNOJSkSJyQwVuEb2-yhWQit7lw/edit?gid=655644728#gid=655644728"", address(row($D19),column($D19),,,""NPTEL-O""))"),24)</f>
        <v>24</v>
      </c>
      <c r="S21" s="5">
        <f t="shared" ca="1" si="9"/>
        <v>80</v>
      </c>
      <c r="T21" s="6">
        <f ca="1">IFERROR(__xludf.DUMMYFUNCTION("IMPORTRANGE(""https://docs.google.com/spreadsheets/d/1rOGZhKHVnDGFqGTO7UNOJSkSJyQwVuEb2-yhWQit7lw/edit?gid=1409420437#gid=1409420437"", address(row($D19),column($D19),,,""CRT-O""))"),91)</f>
        <v>91</v>
      </c>
      <c r="U21" s="8">
        <f t="shared" ca="1" si="10"/>
        <v>100</v>
      </c>
      <c r="V21" s="6">
        <f t="shared" ca="1" si="0"/>
        <v>358</v>
      </c>
      <c r="W21" s="4">
        <f t="shared" ca="1" si="11"/>
        <v>85</v>
      </c>
      <c r="X21" s="4">
        <v>0</v>
      </c>
      <c r="Y21" s="4">
        <v>0</v>
      </c>
      <c r="Z21" s="4">
        <f t="shared" ca="1" si="1"/>
        <v>358</v>
      </c>
      <c r="AA21" s="10">
        <f t="shared" ca="1" si="12"/>
        <v>85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39" ht="15.85" customHeight="1" x14ac:dyDescent="0.3">
      <c r="A22" s="8">
        <v>17</v>
      </c>
      <c r="B22" s="11" t="s">
        <v>346</v>
      </c>
      <c r="C22" s="11" t="s">
        <v>347</v>
      </c>
      <c r="D22" s="5">
        <f ca="1">IFERROR(__xludf.DUMMYFUNCTION("IMPORTRANGE(""https://docs.google.com/spreadsheets/d/1rOGZhKHVnDGFqGTO7UNOJSkSJyQwVuEb2-yhWQit7lw/edit?gid=1653662536#gid=1653662536"", address(row($D20),column($D20),,,""DM&amp;GT-O""))"),6)</f>
        <v>6</v>
      </c>
      <c r="E22" s="8">
        <f t="shared" ca="1" si="2"/>
        <v>24</v>
      </c>
      <c r="F22" s="5">
        <f ca="1">IFERROR(__xludf.DUMMYFUNCTION("IMPORTRANGE(""https://docs.google.com/spreadsheets/d/1rOGZhKHVnDGFqGTO7UNOJSkSJyQwVuEb2-yhWQit7lw/edit?gid=1900628561#gid=1900628561"", address(row($D20),column($D20),,,""UHV-O""))"),10)</f>
        <v>10</v>
      </c>
      <c r="G22" s="8">
        <f t="shared" ca="1" si="3"/>
        <v>31.25</v>
      </c>
      <c r="H22" s="5">
        <f ca="1">IFERROR(__xludf.DUMMYFUNCTION("IMPORTRANGE(""https://docs.google.com/spreadsheets/d/1rOGZhKHVnDGFqGTO7UNOJSkSJyQwVuEb2-yhWQit7lw/edit?gid=95164189#gid=95164189"", address(row($D20),column($D20),,,""DL&amp;CO-O""))"),12)</f>
        <v>12</v>
      </c>
      <c r="I22" s="8">
        <f t="shared" ca="1" si="4"/>
        <v>30.76923076923077</v>
      </c>
      <c r="J22" s="5">
        <f ca="1">IFERROR(__xludf.DUMMYFUNCTION("IMPORTRANGE(""https://docs.google.com/spreadsheets/d/1rOGZhKHVnDGFqGTO7UNOJSkSJyQwVuEb2-yhWQit7lw/edit?gid=2139275483#gid=2139275483"", address(row($D20),column($D20),,,""ADSA-O""))"),18)</f>
        <v>18</v>
      </c>
      <c r="K22" s="8">
        <f t="shared" ca="1" si="5"/>
        <v>29.032258064516132</v>
      </c>
      <c r="L22" s="5">
        <f ca="1">IFERROR(__xludf.DUMMYFUNCTION("IMPORTRANGE(""https://docs.google.com/spreadsheets/d/1rOGZhKHVnDGFqGTO7UNOJSkSJyQwVuEb2-yhWQit7lw/edit?gid=352620554#gid=352620554"", address(row($D20),column($D20),,,""JAVA-O""))"),18)</f>
        <v>18</v>
      </c>
      <c r="M22" s="8">
        <f t="shared" ca="1" si="6"/>
        <v>26.086956521739129</v>
      </c>
      <c r="N22" s="5">
        <f ca="1">IFERROR(__xludf.DUMMYFUNCTION("IMPORTRANGE(""https://docs.google.com/spreadsheets/d/1rOGZhKHVnDGFqGTO7UNOJSkSJyQwVuEb2-yhWQit7lw/edit?gid=1434800060#gid=1434800060"", address(row($D20),column($D20),,,""FOSS LAB-O""))"),9)</f>
        <v>9</v>
      </c>
      <c r="O22" s="8">
        <f t="shared" ca="1" si="7"/>
        <v>27.27272727272727</v>
      </c>
      <c r="P22" s="5">
        <f ca="1">IFERROR(__xludf.DUMMYFUNCTION("IMPORTRANGE(""https://docs.google.com/spreadsheets/d/1rOGZhKHVnDGFqGTO7UNOJSkSJyQwVuEb2-yhWQit7lw/edit?gid=1510845942#gid=1510845942"", address(row($D20),column($D20),,,""PP-O""))"),22)</f>
        <v>22</v>
      </c>
      <c r="Q22" s="8">
        <f t="shared" ca="1" si="8"/>
        <v>55.000000000000007</v>
      </c>
      <c r="R22" s="5">
        <f ca="1">IFERROR(__xludf.DUMMYFUNCTION("IMPORTRANGE(""https://docs.google.com/spreadsheets/d/1rOGZhKHVnDGFqGTO7UNOJSkSJyQwVuEb2-yhWQit7lw/edit?gid=655644728#gid=655644728"", address(row($D20),column($D20),,,""NPTEL-O""))"),20)</f>
        <v>20</v>
      </c>
      <c r="S22" s="5">
        <f t="shared" ca="1" si="9"/>
        <v>66.666666666666657</v>
      </c>
      <c r="T22" s="6">
        <f ca="1">IFERROR(__xludf.DUMMYFUNCTION("IMPORTRANGE(""https://docs.google.com/spreadsheets/d/1rOGZhKHVnDGFqGTO7UNOJSkSJyQwVuEb2-yhWQit7lw/edit?gid=1409420437#gid=1409420437"", address(row($D20),column($D20),,,""CRT-O""))"),52)</f>
        <v>52</v>
      </c>
      <c r="U22" s="8">
        <f t="shared" ca="1" si="10"/>
        <v>57.142857142857139</v>
      </c>
      <c r="V22" s="6">
        <f t="shared" ca="1" si="0"/>
        <v>167</v>
      </c>
      <c r="W22" s="4">
        <f t="shared" ca="1" si="11"/>
        <v>40</v>
      </c>
      <c r="X22" s="4">
        <v>0</v>
      </c>
      <c r="Y22" s="4">
        <v>0</v>
      </c>
      <c r="Z22" s="4">
        <f t="shared" ca="1" si="1"/>
        <v>167</v>
      </c>
      <c r="AA22" s="10">
        <f t="shared" ca="1" si="12"/>
        <v>40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ht="15.85" customHeight="1" x14ac:dyDescent="0.3">
      <c r="A23" s="8">
        <v>18</v>
      </c>
      <c r="B23" s="11" t="s">
        <v>348</v>
      </c>
      <c r="C23" s="11" t="s">
        <v>349</v>
      </c>
      <c r="D23" s="5">
        <f ca="1">IFERROR(__xludf.DUMMYFUNCTION("IMPORTRANGE(""https://docs.google.com/spreadsheets/d/1rOGZhKHVnDGFqGTO7UNOJSkSJyQwVuEb2-yhWQit7lw/edit?gid=1653662536#gid=1653662536"", address(row($D21),column($D21),,,""DM&amp;GT-O""))"),4)</f>
        <v>4</v>
      </c>
      <c r="E23" s="8">
        <f t="shared" ca="1" si="2"/>
        <v>16</v>
      </c>
      <c r="F23" s="5">
        <f ca="1">IFERROR(__xludf.DUMMYFUNCTION("IMPORTRANGE(""https://docs.google.com/spreadsheets/d/1rOGZhKHVnDGFqGTO7UNOJSkSJyQwVuEb2-yhWQit7lw/edit?gid=1900628561#gid=1900628561"", address(row($D21),column($D21),,,""UHV-O""))"),13)</f>
        <v>13</v>
      </c>
      <c r="G23" s="8">
        <f t="shared" ca="1" si="3"/>
        <v>40.625</v>
      </c>
      <c r="H23" s="5">
        <f ca="1">IFERROR(__xludf.DUMMYFUNCTION("IMPORTRANGE(""https://docs.google.com/spreadsheets/d/1rOGZhKHVnDGFqGTO7UNOJSkSJyQwVuEb2-yhWQit7lw/edit?gid=95164189#gid=95164189"", address(row($D21),column($D21),,,""DL&amp;CO-O""))"),10)</f>
        <v>10</v>
      </c>
      <c r="I23" s="8">
        <f t="shared" ca="1" si="4"/>
        <v>25.641025641025639</v>
      </c>
      <c r="J23" s="5">
        <f ca="1">IFERROR(__xludf.DUMMYFUNCTION("IMPORTRANGE(""https://docs.google.com/spreadsheets/d/1rOGZhKHVnDGFqGTO7UNOJSkSJyQwVuEb2-yhWQit7lw/edit?gid=2139275483#gid=2139275483"", address(row($D21),column($D21),,,""ADSA-O""))"),22)</f>
        <v>22</v>
      </c>
      <c r="K23" s="8">
        <f t="shared" ca="1" si="5"/>
        <v>35.483870967741936</v>
      </c>
      <c r="L23" s="5">
        <f ca="1">IFERROR(__xludf.DUMMYFUNCTION("IMPORTRANGE(""https://docs.google.com/spreadsheets/d/1rOGZhKHVnDGFqGTO7UNOJSkSJyQwVuEb2-yhWQit7lw/edit?gid=352620554#gid=352620554"", address(row($D21),column($D21),,,""JAVA-O""))"),27)</f>
        <v>27</v>
      </c>
      <c r="M23" s="8">
        <f t="shared" ca="1" si="6"/>
        <v>39.130434782608695</v>
      </c>
      <c r="N23" s="5">
        <f ca="1">IFERROR(__xludf.DUMMYFUNCTION("IMPORTRANGE(""https://docs.google.com/spreadsheets/d/1rOGZhKHVnDGFqGTO7UNOJSkSJyQwVuEb2-yhWQit7lw/edit?gid=1434800060#gid=1434800060"", address(row($D21),column($D21),,,""FOSS LAB-O""))"),15)</f>
        <v>15</v>
      </c>
      <c r="O23" s="8">
        <f t="shared" ca="1" si="7"/>
        <v>45.454545454545453</v>
      </c>
      <c r="P23" s="5">
        <f ca="1">IFERROR(__xludf.DUMMYFUNCTION("IMPORTRANGE(""https://docs.google.com/spreadsheets/d/1rOGZhKHVnDGFqGTO7UNOJSkSJyQwVuEb2-yhWQit7lw/edit?gid=1510845942#gid=1510845942"", address(row($D21),column($D21),,,""PP-O""))"),14)</f>
        <v>14</v>
      </c>
      <c r="Q23" s="8">
        <f t="shared" ca="1" si="8"/>
        <v>35</v>
      </c>
      <c r="R23" s="5">
        <f ca="1">IFERROR(__xludf.DUMMYFUNCTION("IMPORTRANGE(""https://docs.google.com/spreadsheets/d/1rOGZhKHVnDGFqGTO7UNOJSkSJyQwVuEb2-yhWQit7lw/edit?gid=655644728#gid=655644728"", address(row($D21),column($D21),,,""NPTEL-O""))"),12)</f>
        <v>12</v>
      </c>
      <c r="S23" s="5">
        <f t="shared" ca="1" si="9"/>
        <v>40</v>
      </c>
      <c r="T23" s="6">
        <f ca="1">IFERROR(__xludf.DUMMYFUNCTION("IMPORTRANGE(""https://docs.google.com/spreadsheets/d/1rOGZhKHVnDGFqGTO7UNOJSkSJyQwVuEb2-yhWQit7lw/edit?gid=1409420437#gid=1409420437"", address(row($D21),column($D21),,,""CRT-O""))"),35)</f>
        <v>35</v>
      </c>
      <c r="U23" s="8">
        <f t="shared" ca="1" si="10"/>
        <v>38.461538461538467</v>
      </c>
      <c r="V23" s="6">
        <f t="shared" ca="1" si="0"/>
        <v>152</v>
      </c>
      <c r="W23" s="4">
        <f t="shared" ca="1" si="11"/>
        <v>36</v>
      </c>
      <c r="X23" s="4">
        <v>0</v>
      </c>
      <c r="Y23" s="4">
        <v>0</v>
      </c>
      <c r="Z23" s="4">
        <f t="shared" ca="1" si="1"/>
        <v>152</v>
      </c>
      <c r="AA23" s="10">
        <f t="shared" ca="1" si="12"/>
        <v>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</row>
    <row r="24" spans="1:39" ht="15.85" customHeight="1" x14ac:dyDescent="0.3">
      <c r="A24" s="8">
        <v>19</v>
      </c>
      <c r="B24" s="11" t="s">
        <v>350</v>
      </c>
      <c r="C24" s="11" t="s">
        <v>351</v>
      </c>
      <c r="D24" s="5">
        <f ca="1">IFERROR(__xludf.DUMMYFUNCTION("IMPORTRANGE(""https://docs.google.com/spreadsheets/d/1rOGZhKHVnDGFqGTO7UNOJSkSJyQwVuEb2-yhWQit7lw/edit?gid=1653662536#gid=1653662536"", address(row($D22),column($D22),,,""DM&amp;GT-O""))"),22)</f>
        <v>22</v>
      </c>
      <c r="E24" s="8">
        <f t="shared" ca="1" si="2"/>
        <v>88</v>
      </c>
      <c r="F24" s="5">
        <f ca="1">IFERROR(__xludf.DUMMYFUNCTION("IMPORTRANGE(""https://docs.google.com/spreadsheets/d/1rOGZhKHVnDGFqGTO7UNOJSkSJyQwVuEb2-yhWQit7lw/edit?gid=1900628561#gid=1900628561"", address(row($D22),column($D22),,,""UHV-O""))"),22)</f>
        <v>22</v>
      </c>
      <c r="G24" s="8">
        <f t="shared" ca="1" si="3"/>
        <v>68.75</v>
      </c>
      <c r="H24" s="5">
        <f ca="1">IFERROR(__xludf.DUMMYFUNCTION("IMPORTRANGE(""https://docs.google.com/spreadsheets/d/1rOGZhKHVnDGFqGTO7UNOJSkSJyQwVuEb2-yhWQit7lw/edit?gid=95164189#gid=95164189"", address(row($D22),column($D22),,,""DL&amp;CO-O""))"),29)</f>
        <v>29</v>
      </c>
      <c r="I24" s="8">
        <f t="shared" ca="1" si="4"/>
        <v>74.358974358974365</v>
      </c>
      <c r="J24" s="5">
        <f ca="1">IFERROR(__xludf.DUMMYFUNCTION("IMPORTRANGE(""https://docs.google.com/spreadsheets/d/1rOGZhKHVnDGFqGTO7UNOJSkSJyQwVuEb2-yhWQit7lw/edit?gid=2139275483#gid=2139275483"", address(row($D22),column($D22),,,""ADSA-O""))"),40)</f>
        <v>40</v>
      </c>
      <c r="K24" s="8">
        <f t="shared" ca="1" si="5"/>
        <v>64.516129032258064</v>
      </c>
      <c r="L24" s="5">
        <f ca="1">IFERROR(__xludf.DUMMYFUNCTION("IMPORTRANGE(""https://docs.google.com/spreadsheets/d/1rOGZhKHVnDGFqGTO7UNOJSkSJyQwVuEb2-yhWQit7lw/edit?gid=352620554#gid=352620554"", address(row($D22),column($D22),,,""JAVA-O""))"),37)</f>
        <v>37</v>
      </c>
      <c r="M24" s="8">
        <f t="shared" ca="1" si="6"/>
        <v>53.623188405797109</v>
      </c>
      <c r="N24" s="5">
        <f ca="1">IFERROR(__xludf.DUMMYFUNCTION("IMPORTRANGE(""https://docs.google.com/spreadsheets/d/1rOGZhKHVnDGFqGTO7UNOJSkSJyQwVuEb2-yhWQit7lw/edit?gid=1434800060#gid=1434800060"", address(row($D22),column($D22),,,""FOSS LAB-O""))"),24)</f>
        <v>24</v>
      </c>
      <c r="O24" s="8">
        <f t="shared" ca="1" si="7"/>
        <v>72.727272727272734</v>
      </c>
      <c r="P24" s="5">
        <f ca="1">IFERROR(__xludf.DUMMYFUNCTION("IMPORTRANGE(""https://docs.google.com/spreadsheets/d/1rOGZhKHVnDGFqGTO7UNOJSkSJyQwVuEb2-yhWQit7lw/edit?gid=1510845942#gid=1510845942"", address(row($D22),column($D22),,,""PP-O""))"),30)</f>
        <v>30</v>
      </c>
      <c r="Q24" s="8">
        <f t="shared" ca="1" si="8"/>
        <v>75</v>
      </c>
      <c r="R24" s="5">
        <f ca="1">IFERROR(__xludf.DUMMYFUNCTION("IMPORTRANGE(""https://docs.google.com/spreadsheets/d/1rOGZhKHVnDGFqGTO7UNOJSkSJyQwVuEb2-yhWQit7lw/edit?gid=655644728#gid=655644728"", address(row($D22),column($D22),,,""NPTEL-O""))"),24)</f>
        <v>24</v>
      </c>
      <c r="S24" s="5">
        <f t="shared" ca="1" si="9"/>
        <v>80</v>
      </c>
      <c r="T24" s="6">
        <f ca="1">IFERROR(__xludf.DUMMYFUNCTION("IMPORTRANGE(""https://docs.google.com/spreadsheets/d/1rOGZhKHVnDGFqGTO7UNOJSkSJyQwVuEb2-yhWQit7lw/edit?gid=1409420437#gid=1409420437"", address(row($D22),column($D22),,,""CRT-O""))"),67)</f>
        <v>67</v>
      </c>
      <c r="U24" s="8">
        <f t="shared" ca="1" si="10"/>
        <v>73.626373626373635</v>
      </c>
      <c r="V24" s="6">
        <f t="shared" ca="1" si="0"/>
        <v>295</v>
      </c>
      <c r="W24" s="4">
        <f t="shared" ca="1" si="11"/>
        <v>70</v>
      </c>
      <c r="X24" s="4">
        <v>0</v>
      </c>
      <c r="Y24" s="4">
        <v>0</v>
      </c>
      <c r="Z24" s="4">
        <f t="shared" ca="1" si="1"/>
        <v>295</v>
      </c>
      <c r="AA24" s="10">
        <f t="shared" ca="1" si="12"/>
        <v>70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</row>
    <row r="25" spans="1:39" ht="15.85" customHeight="1" x14ac:dyDescent="0.3">
      <c r="A25" s="8">
        <v>20</v>
      </c>
      <c r="B25" s="11" t="s">
        <v>352</v>
      </c>
      <c r="C25" s="11" t="s">
        <v>353</v>
      </c>
      <c r="D25" s="5">
        <f ca="1">IFERROR(__xludf.DUMMYFUNCTION("IMPORTRANGE(""https://docs.google.com/spreadsheets/d/1rOGZhKHVnDGFqGTO7UNOJSkSJyQwVuEb2-yhWQit7lw/edit?gid=1653662536#gid=1653662536"", address(row($D23),column($D23),,,""DM&amp;GT-O""))"),18)</f>
        <v>18</v>
      </c>
      <c r="E25" s="8">
        <f t="shared" ca="1" si="2"/>
        <v>72</v>
      </c>
      <c r="F25" s="5">
        <f ca="1">IFERROR(__xludf.DUMMYFUNCTION("IMPORTRANGE(""https://docs.google.com/spreadsheets/d/1rOGZhKHVnDGFqGTO7UNOJSkSJyQwVuEb2-yhWQit7lw/edit?gid=1900628561#gid=1900628561"", address(row($D23),column($D23),,,""UHV-O""))"),26)</f>
        <v>26</v>
      </c>
      <c r="G25" s="8">
        <f t="shared" ca="1" si="3"/>
        <v>81.25</v>
      </c>
      <c r="H25" s="5">
        <f ca="1">IFERROR(__xludf.DUMMYFUNCTION("IMPORTRANGE(""https://docs.google.com/spreadsheets/d/1rOGZhKHVnDGFqGTO7UNOJSkSJyQwVuEb2-yhWQit7lw/edit?gid=95164189#gid=95164189"", address(row($D23),column($D23),,,""DL&amp;CO-O""))"),30)</f>
        <v>30</v>
      </c>
      <c r="I25" s="8">
        <f t="shared" ca="1" si="4"/>
        <v>76.923076923076934</v>
      </c>
      <c r="J25" s="5">
        <f ca="1">IFERROR(__xludf.DUMMYFUNCTION("IMPORTRANGE(""https://docs.google.com/spreadsheets/d/1rOGZhKHVnDGFqGTO7UNOJSkSJyQwVuEb2-yhWQit7lw/edit?gid=2139275483#gid=2139275483"", address(row($D23),column($D23),,,""ADSA-O""))"),48)</f>
        <v>48</v>
      </c>
      <c r="K25" s="8">
        <f t="shared" ca="1" si="5"/>
        <v>77.41935483870968</v>
      </c>
      <c r="L25" s="5">
        <f ca="1">IFERROR(__xludf.DUMMYFUNCTION("IMPORTRANGE(""https://docs.google.com/spreadsheets/d/1rOGZhKHVnDGFqGTO7UNOJSkSJyQwVuEb2-yhWQit7lw/edit?gid=352620554#gid=352620554"", address(row($D23),column($D23),,,""JAVA-O""))"),47)</f>
        <v>47</v>
      </c>
      <c r="M25" s="8">
        <f t="shared" ca="1" si="6"/>
        <v>68.115942028985515</v>
      </c>
      <c r="N25" s="5">
        <f ca="1">IFERROR(__xludf.DUMMYFUNCTION("IMPORTRANGE(""https://docs.google.com/spreadsheets/d/1rOGZhKHVnDGFqGTO7UNOJSkSJyQwVuEb2-yhWQit7lw/edit?gid=1434800060#gid=1434800060"", address(row($D23),column($D23),,,""FOSS LAB-O""))"),26)</f>
        <v>26</v>
      </c>
      <c r="O25" s="8">
        <f t="shared" ca="1" si="7"/>
        <v>78.787878787878782</v>
      </c>
      <c r="P25" s="5">
        <f ca="1">IFERROR(__xludf.DUMMYFUNCTION("IMPORTRANGE(""https://docs.google.com/spreadsheets/d/1rOGZhKHVnDGFqGTO7UNOJSkSJyQwVuEb2-yhWQit7lw/edit?gid=1510845942#gid=1510845942"", address(row($D23),column($D23),,,""PP-O""))"),34)</f>
        <v>34</v>
      </c>
      <c r="Q25" s="8">
        <f t="shared" ca="1" si="8"/>
        <v>85</v>
      </c>
      <c r="R25" s="5">
        <f ca="1">IFERROR(__xludf.DUMMYFUNCTION("IMPORTRANGE(""https://docs.google.com/spreadsheets/d/1rOGZhKHVnDGFqGTO7UNOJSkSJyQwVuEb2-yhWQit7lw/edit?gid=655644728#gid=655644728"", address(row($D23),column($D23),,,""NPTEL-O""))"),24)</f>
        <v>24</v>
      </c>
      <c r="S25" s="5">
        <f t="shared" ca="1" si="9"/>
        <v>80</v>
      </c>
      <c r="T25" s="6">
        <f ca="1">IFERROR(__xludf.DUMMYFUNCTION("IMPORTRANGE(""https://docs.google.com/spreadsheets/d/1rOGZhKHVnDGFqGTO7UNOJSkSJyQwVuEb2-yhWQit7lw/edit?gid=1409420437#gid=1409420437"", address(row($D23),column($D23),,,""CRT-O""))"),84)</f>
        <v>84</v>
      </c>
      <c r="U25" s="8">
        <f t="shared" ca="1" si="10"/>
        <v>92.307692307692307</v>
      </c>
      <c r="V25" s="6">
        <f t="shared" ca="1" si="0"/>
        <v>337</v>
      </c>
      <c r="W25" s="4">
        <f t="shared" ca="1" si="11"/>
        <v>80</v>
      </c>
      <c r="X25" s="4">
        <v>0</v>
      </c>
      <c r="Y25" s="4">
        <v>0</v>
      </c>
      <c r="Z25" s="4">
        <f t="shared" ca="1" si="1"/>
        <v>337</v>
      </c>
      <c r="AA25" s="10">
        <f t="shared" ca="1" si="12"/>
        <v>80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 spans="1:39" ht="15.85" customHeight="1" x14ac:dyDescent="0.3">
      <c r="A26" s="8">
        <v>21</v>
      </c>
      <c r="B26" s="11" t="s">
        <v>354</v>
      </c>
      <c r="C26" s="11" t="s">
        <v>355</v>
      </c>
      <c r="D26" s="5">
        <f ca="1">IFERROR(__xludf.DUMMYFUNCTION("IMPORTRANGE(""https://docs.google.com/spreadsheets/d/1rOGZhKHVnDGFqGTO7UNOJSkSJyQwVuEb2-yhWQit7lw/edit?gid=1653662536#gid=1653662536"", address(row($D24),column($D24),,,""DM&amp;GT-O""))"),14)</f>
        <v>14</v>
      </c>
      <c r="E26" s="8">
        <f t="shared" ca="1" si="2"/>
        <v>56.000000000000007</v>
      </c>
      <c r="F26" s="5">
        <f ca="1">IFERROR(__xludf.DUMMYFUNCTION("IMPORTRANGE(""https://docs.google.com/spreadsheets/d/1rOGZhKHVnDGFqGTO7UNOJSkSJyQwVuEb2-yhWQit7lw/edit?gid=1900628561#gid=1900628561"", address(row($D24),column($D24),,,""UHV-O""))"),23)</f>
        <v>23</v>
      </c>
      <c r="G26" s="8">
        <f t="shared" ca="1" si="3"/>
        <v>71.875</v>
      </c>
      <c r="H26" s="5">
        <f ca="1">IFERROR(__xludf.DUMMYFUNCTION("IMPORTRANGE(""https://docs.google.com/spreadsheets/d/1rOGZhKHVnDGFqGTO7UNOJSkSJyQwVuEb2-yhWQit7lw/edit?gid=95164189#gid=95164189"", address(row($D24),column($D24),,,""DL&amp;CO-O""))"),27)</f>
        <v>27</v>
      </c>
      <c r="I26" s="8">
        <f t="shared" ca="1" si="4"/>
        <v>69.230769230769226</v>
      </c>
      <c r="J26" s="5">
        <f ca="1">IFERROR(__xludf.DUMMYFUNCTION("IMPORTRANGE(""https://docs.google.com/spreadsheets/d/1rOGZhKHVnDGFqGTO7UNOJSkSJyQwVuEb2-yhWQit7lw/edit?gid=2139275483#gid=2139275483"", address(row($D24),column($D24),,,""ADSA-O""))"),46)</f>
        <v>46</v>
      </c>
      <c r="K26" s="8">
        <f t="shared" ca="1" si="5"/>
        <v>74.193548387096769</v>
      </c>
      <c r="L26" s="5">
        <f ca="1">IFERROR(__xludf.DUMMYFUNCTION("IMPORTRANGE(""https://docs.google.com/spreadsheets/d/1rOGZhKHVnDGFqGTO7UNOJSkSJyQwVuEb2-yhWQit7lw/edit?gid=352620554#gid=352620554"", address(row($D24),column($D24),,,""JAVA-O""))"),30)</f>
        <v>30</v>
      </c>
      <c r="M26" s="8">
        <f t="shared" ca="1" si="6"/>
        <v>43.478260869565219</v>
      </c>
      <c r="N26" s="5">
        <f ca="1">IFERROR(__xludf.DUMMYFUNCTION("IMPORTRANGE(""https://docs.google.com/spreadsheets/d/1rOGZhKHVnDGFqGTO7UNOJSkSJyQwVuEb2-yhWQit7lw/edit?gid=1434800060#gid=1434800060"", address(row($D24),column($D24),,,""FOSS LAB-O""))"),9)</f>
        <v>9</v>
      </c>
      <c r="O26" s="8">
        <f t="shared" ca="1" si="7"/>
        <v>27.27272727272727</v>
      </c>
      <c r="P26" s="5">
        <f ca="1">IFERROR(__xludf.DUMMYFUNCTION("IMPORTRANGE(""https://docs.google.com/spreadsheets/d/1rOGZhKHVnDGFqGTO7UNOJSkSJyQwVuEb2-yhWQit7lw/edit?gid=1510845942#gid=1510845942"", address(row($D24),column($D24),,,""PP-O""))"),28)</f>
        <v>28</v>
      </c>
      <c r="Q26" s="8">
        <f t="shared" ca="1" si="8"/>
        <v>70</v>
      </c>
      <c r="R26" s="5">
        <f ca="1">IFERROR(__xludf.DUMMYFUNCTION("IMPORTRANGE(""https://docs.google.com/spreadsheets/d/1rOGZhKHVnDGFqGTO7UNOJSkSJyQwVuEb2-yhWQit7lw/edit?gid=655644728#gid=655644728"", address(row($D24),column($D24),,,""NPTEL-O""))"),26)</f>
        <v>26</v>
      </c>
      <c r="S26" s="5">
        <f t="shared" ca="1" si="9"/>
        <v>86.666666666666671</v>
      </c>
      <c r="T26" s="6">
        <f ca="1">IFERROR(__xludf.DUMMYFUNCTION("IMPORTRANGE(""https://docs.google.com/spreadsheets/d/1rOGZhKHVnDGFqGTO7UNOJSkSJyQwVuEb2-yhWQit7lw/edit?gid=1409420437#gid=1409420437"", address(row($D24),column($D24),,,""CRT-O""))"),48)</f>
        <v>48</v>
      </c>
      <c r="U26" s="8">
        <f t="shared" ca="1" si="10"/>
        <v>52.747252747252752</v>
      </c>
      <c r="V26" s="6">
        <f t="shared" ca="1" si="0"/>
        <v>251</v>
      </c>
      <c r="W26" s="4">
        <f t="shared" ca="1" si="11"/>
        <v>60</v>
      </c>
      <c r="X26" s="4">
        <v>0</v>
      </c>
      <c r="Y26" s="4">
        <v>0</v>
      </c>
      <c r="Z26" s="4">
        <f t="shared" ca="1" si="1"/>
        <v>251</v>
      </c>
      <c r="AA26" s="10">
        <f t="shared" ca="1" si="12"/>
        <v>60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ht="15.85" customHeight="1" x14ac:dyDescent="0.3">
      <c r="A27" s="8">
        <v>22</v>
      </c>
      <c r="B27" s="11" t="s">
        <v>356</v>
      </c>
      <c r="C27" s="11" t="s">
        <v>357</v>
      </c>
      <c r="D27" s="5">
        <f ca="1">IFERROR(__xludf.DUMMYFUNCTION("IMPORTRANGE(""https://docs.google.com/spreadsheets/d/1rOGZhKHVnDGFqGTO7UNOJSkSJyQwVuEb2-yhWQit7lw/edit?gid=1653662536#gid=1653662536"", address(row($D25),column($D25),,,""DM&amp;GT-O""))"),6)</f>
        <v>6</v>
      </c>
      <c r="E27" s="8">
        <f t="shared" ca="1" si="2"/>
        <v>24</v>
      </c>
      <c r="F27" s="5">
        <f ca="1">IFERROR(__xludf.DUMMYFUNCTION("IMPORTRANGE(""https://docs.google.com/spreadsheets/d/1rOGZhKHVnDGFqGTO7UNOJSkSJyQwVuEb2-yhWQit7lw/edit?gid=1900628561#gid=1900628561"", address(row($D25),column($D25),,,""UHV-O""))"),7)</f>
        <v>7</v>
      </c>
      <c r="G27" s="8">
        <f t="shared" ca="1" si="3"/>
        <v>21.875</v>
      </c>
      <c r="H27" s="5">
        <f ca="1">IFERROR(__xludf.DUMMYFUNCTION("IMPORTRANGE(""https://docs.google.com/spreadsheets/d/1rOGZhKHVnDGFqGTO7UNOJSkSJyQwVuEb2-yhWQit7lw/edit?gid=95164189#gid=95164189"", address(row($D25),column($D25),,,""DL&amp;CO-O""))"),10)</f>
        <v>10</v>
      </c>
      <c r="I27" s="8">
        <f t="shared" ca="1" si="4"/>
        <v>25.641025641025639</v>
      </c>
      <c r="J27" s="5">
        <f ca="1">IFERROR(__xludf.DUMMYFUNCTION("IMPORTRANGE(""https://docs.google.com/spreadsheets/d/1rOGZhKHVnDGFqGTO7UNOJSkSJyQwVuEb2-yhWQit7lw/edit?gid=2139275483#gid=2139275483"", address(row($D25),column($D25),,,""ADSA-O""))"),26)</f>
        <v>26</v>
      </c>
      <c r="K27" s="8">
        <f t="shared" ca="1" si="5"/>
        <v>41.935483870967744</v>
      </c>
      <c r="L27" s="5">
        <f ca="1">IFERROR(__xludf.DUMMYFUNCTION("IMPORTRANGE(""https://docs.google.com/spreadsheets/d/1rOGZhKHVnDGFqGTO7UNOJSkSJyQwVuEb2-yhWQit7lw/edit?gid=352620554#gid=352620554"", address(row($D25),column($D25),,,""JAVA-O""))"),19)</f>
        <v>19</v>
      </c>
      <c r="M27" s="8">
        <f t="shared" ca="1" si="6"/>
        <v>27.536231884057973</v>
      </c>
      <c r="N27" s="5">
        <f ca="1">IFERROR(__xludf.DUMMYFUNCTION("IMPORTRANGE(""https://docs.google.com/spreadsheets/d/1rOGZhKHVnDGFqGTO7UNOJSkSJyQwVuEb2-yhWQit7lw/edit?gid=1434800060#gid=1434800060"", address(row($D25),column($D25),,,""FOSS LAB-O""))"),15)</f>
        <v>15</v>
      </c>
      <c r="O27" s="8">
        <f t="shared" ca="1" si="7"/>
        <v>45.454545454545453</v>
      </c>
      <c r="P27" s="5">
        <f ca="1">IFERROR(__xludf.DUMMYFUNCTION("IMPORTRANGE(""https://docs.google.com/spreadsheets/d/1rOGZhKHVnDGFqGTO7UNOJSkSJyQwVuEb2-yhWQit7lw/edit?gid=1510845942#gid=1510845942"", address(row($D25),column($D25),,,""PP-O""))"),24)</f>
        <v>24</v>
      </c>
      <c r="Q27" s="8">
        <f t="shared" ca="1" si="8"/>
        <v>60</v>
      </c>
      <c r="R27" s="5">
        <f ca="1">IFERROR(__xludf.DUMMYFUNCTION("IMPORTRANGE(""https://docs.google.com/spreadsheets/d/1rOGZhKHVnDGFqGTO7UNOJSkSJyQwVuEb2-yhWQit7lw/edit?gid=655644728#gid=655644728"", address(row($D25),column($D25),,,""NPTEL-O""))"),14)</f>
        <v>14</v>
      </c>
      <c r="S27" s="5">
        <f t="shared" ca="1" si="9"/>
        <v>46.666666666666664</v>
      </c>
      <c r="T27" s="6">
        <f ca="1">IFERROR(__xludf.DUMMYFUNCTION("IMPORTRANGE(""https://docs.google.com/spreadsheets/d/1rOGZhKHVnDGFqGTO7UNOJSkSJyQwVuEb2-yhWQit7lw/edit?gid=1409420437#gid=1409420437"", address(row($D25),column($D25),,,""CRT-O""))"),27)</f>
        <v>27</v>
      </c>
      <c r="U27" s="8">
        <f t="shared" ca="1" si="10"/>
        <v>29.670329670329672</v>
      </c>
      <c r="V27" s="6">
        <f t="shared" ca="1" si="0"/>
        <v>148</v>
      </c>
      <c r="W27" s="4">
        <f t="shared" ca="1" si="11"/>
        <v>35</v>
      </c>
      <c r="X27" s="4">
        <v>0</v>
      </c>
      <c r="Y27" s="4">
        <v>0</v>
      </c>
      <c r="Z27" s="4">
        <f t="shared" ca="1" si="1"/>
        <v>148</v>
      </c>
      <c r="AA27" s="10">
        <f t="shared" ca="1" si="12"/>
        <v>35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ht="15.85" customHeight="1" x14ac:dyDescent="0.3">
      <c r="A28" s="8">
        <v>23</v>
      </c>
      <c r="B28" s="11" t="s">
        <v>358</v>
      </c>
      <c r="C28" s="11" t="s">
        <v>359</v>
      </c>
      <c r="D28" s="5">
        <f ca="1">IFERROR(__xludf.DUMMYFUNCTION("IMPORTRANGE(""https://docs.google.com/spreadsheets/d/1rOGZhKHVnDGFqGTO7UNOJSkSJyQwVuEb2-yhWQit7lw/edit?gid=1653662536#gid=1653662536"", address(row($D26),column($D26),,,""DM&amp;GT-O""))"),5)</f>
        <v>5</v>
      </c>
      <c r="E28" s="8">
        <f t="shared" ca="1" si="2"/>
        <v>20</v>
      </c>
      <c r="F28" s="5">
        <f ca="1">IFERROR(__xludf.DUMMYFUNCTION("IMPORTRANGE(""https://docs.google.com/spreadsheets/d/1rOGZhKHVnDGFqGTO7UNOJSkSJyQwVuEb2-yhWQit7lw/edit?gid=1900628561#gid=1900628561"", address(row($D26),column($D26),,,""UHV-O""))"),9)</f>
        <v>9</v>
      </c>
      <c r="G28" s="8">
        <f t="shared" ca="1" si="3"/>
        <v>28.125</v>
      </c>
      <c r="H28" s="5">
        <f ca="1">IFERROR(__xludf.DUMMYFUNCTION("IMPORTRANGE(""https://docs.google.com/spreadsheets/d/1rOGZhKHVnDGFqGTO7UNOJSkSJyQwVuEb2-yhWQit7lw/edit?gid=95164189#gid=95164189"", address(row($D26),column($D26),,,""DL&amp;CO-O""))"),11)</f>
        <v>11</v>
      </c>
      <c r="I28" s="8">
        <f t="shared" ca="1" si="4"/>
        <v>28.205128205128204</v>
      </c>
      <c r="J28" s="5">
        <f ca="1">IFERROR(__xludf.DUMMYFUNCTION("IMPORTRANGE(""https://docs.google.com/spreadsheets/d/1rOGZhKHVnDGFqGTO7UNOJSkSJyQwVuEb2-yhWQit7lw/edit?gid=2139275483#gid=2139275483"", address(row($D26),column($D26),,,""ADSA-O""))"),24)</f>
        <v>24</v>
      </c>
      <c r="K28" s="8">
        <f t="shared" ca="1" si="5"/>
        <v>38.70967741935484</v>
      </c>
      <c r="L28" s="5">
        <f ca="1">IFERROR(__xludf.DUMMYFUNCTION("IMPORTRANGE(""https://docs.google.com/spreadsheets/d/1rOGZhKHVnDGFqGTO7UNOJSkSJyQwVuEb2-yhWQit7lw/edit?gid=352620554#gid=352620554"", address(row($D26),column($D26),,,""JAVA-O""))"),23)</f>
        <v>23</v>
      </c>
      <c r="M28" s="8">
        <f t="shared" ca="1" si="6"/>
        <v>33.333333333333329</v>
      </c>
      <c r="N28" s="5">
        <f ca="1">IFERROR(__xludf.DUMMYFUNCTION("IMPORTRANGE(""https://docs.google.com/spreadsheets/d/1rOGZhKHVnDGFqGTO7UNOJSkSJyQwVuEb2-yhWQit7lw/edit?gid=1434800060#gid=1434800060"", address(row($D26),column($D26),,,""FOSS LAB-O""))"),21)</f>
        <v>21</v>
      </c>
      <c r="O28" s="8">
        <f t="shared" ca="1" si="7"/>
        <v>63.636363636363633</v>
      </c>
      <c r="P28" s="5">
        <f ca="1">IFERROR(__xludf.DUMMYFUNCTION("IMPORTRANGE(""https://docs.google.com/spreadsheets/d/1rOGZhKHVnDGFqGTO7UNOJSkSJyQwVuEb2-yhWQit7lw/edit?gid=1510845942#gid=1510845942"", address(row($D26),column($D26),,,""PP-O""))"),24)</f>
        <v>24</v>
      </c>
      <c r="Q28" s="8">
        <f t="shared" ca="1" si="8"/>
        <v>60</v>
      </c>
      <c r="R28" s="5">
        <f ca="1">IFERROR(__xludf.DUMMYFUNCTION("IMPORTRANGE(""https://docs.google.com/spreadsheets/d/1rOGZhKHVnDGFqGTO7UNOJSkSJyQwVuEb2-yhWQit7lw/edit?gid=655644728#gid=655644728"", address(row($D26),column($D26),,,""NPTEL-O""))"),18)</f>
        <v>18</v>
      </c>
      <c r="S28" s="5">
        <f t="shared" ca="1" si="9"/>
        <v>60</v>
      </c>
      <c r="T28" s="6">
        <f ca="1">IFERROR(__xludf.DUMMYFUNCTION("IMPORTRANGE(""https://docs.google.com/spreadsheets/d/1rOGZhKHVnDGFqGTO7UNOJSkSJyQwVuEb2-yhWQit7lw/edit?gid=1409420437#gid=1409420437"", address(row($D26),column($D26),,,""CRT-O""))"),35)</f>
        <v>35</v>
      </c>
      <c r="U28" s="8">
        <f t="shared" ca="1" si="10"/>
        <v>38.461538461538467</v>
      </c>
      <c r="V28" s="6">
        <f t="shared" ca="1" si="0"/>
        <v>170</v>
      </c>
      <c r="W28" s="4">
        <f t="shared" ca="1" si="11"/>
        <v>40</v>
      </c>
      <c r="X28" s="4">
        <v>0</v>
      </c>
      <c r="Y28" s="4">
        <v>0</v>
      </c>
      <c r="Z28" s="4">
        <f t="shared" ca="1" si="1"/>
        <v>170</v>
      </c>
      <c r="AA28" s="10">
        <f t="shared" ca="1" si="12"/>
        <v>40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 spans="1:39" ht="15.85" customHeight="1" x14ac:dyDescent="0.3">
      <c r="A29" s="8">
        <v>24</v>
      </c>
      <c r="B29" s="11" t="s">
        <v>360</v>
      </c>
      <c r="C29" s="11" t="s">
        <v>361</v>
      </c>
      <c r="D29" s="5">
        <f ca="1">IFERROR(__xludf.DUMMYFUNCTION("IMPORTRANGE(""https://docs.google.com/spreadsheets/d/1rOGZhKHVnDGFqGTO7UNOJSkSJyQwVuEb2-yhWQit7lw/edit?gid=1653662536#gid=1653662536"", address(row($D27),column($D27),,,""DM&amp;GT-O""))"),19)</f>
        <v>19</v>
      </c>
      <c r="E29" s="8">
        <f t="shared" ca="1" si="2"/>
        <v>76</v>
      </c>
      <c r="F29" s="5">
        <f ca="1">IFERROR(__xludf.DUMMYFUNCTION("IMPORTRANGE(""https://docs.google.com/spreadsheets/d/1rOGZhKHVnDGFqGTO7UNOJSkSJyQwVuEb2-yhWQit7lw/edit?gid=1900628561#gid=1900628561"", address(row($D27),column($D27),,,""UHV-O""))"),24)</f>
        <v>24</v>
      </c>
      <c r="G29" s="8">
        <f t="shared" ca="1" si="3"/>
        <v>75</v>
      </c>
      <c r="H29" s="5">
        <f ca="1">IFERROR(__xludf.DUMMYFUNCTION("IMPORTRANGE(""https://docs.google.com/spreadsheets/d/1rOGZhKHVnDGFqGTO7UNOJSkSJyQwVuEb2-yhWQit7lw/edit?gid=95164189#gid=95164189"", address(row($D27),column($D27),,,""DL&amp;CO-O""))"),30)</f>
        <v>30</v>
      </c>
      <c r="I29" s="8">
        <f t="shared" ca="1" si="4"/>
        <v>76.923076923076934</v>
      </c>
      <c r="J29" s="5">
        <f ca="1">IFERROR(__xludf.DUMMYFUNCTION("IMPORTRANGE(""https://docs.google.com/spreadsheets/d/1rOGZhKHVnDGFqGTO7UNOJSkSJyQwVuEb2-yhWQit7lw/edit?gid=2139275483#gid=2139275483"", address(row($D27),column($D27),,,""ADSA-O""))"),45)</f>
        <v>45</v>
      </c>
      <c r="K29" s="8">
        <f t="shared" ca="1" si="5"/>
        <v>72.58064516129032</v>
      </c>
      <c r="L29" s="5">
        <f ca="1">IFERROR(__xludf.DUMMYFUNCTION("IMPORTRANGE(""https://docs.google.com/spreadsheets/d/1rOGZhKHVnDGFqGTO7UNOJSkSJyQwVuEb2-yhWQit7lw/edit?gid=352620554#gid=352620554"", address(row($D27),column($D27),,,""JAVA-O""))"),52)</f>
        <v>52</v>
      </c>
      <c r="M29" s="8">
        <f t="shared" ca="1" si="6"/>
        <v>75.362318840579718</v>
      </c>
      <c r="N29" s="5">
        <f ca="1">IFERROR(__xludf.DUMMYFUNCTION("IMPORTRANGE(""https://docs.google.com/spreadsheets/d/1rOGZhKHVnDGFqGTO7UNOJSkSJyQwVuEb2-yhWQit7lw/edit?gid=1434800060#gid=1434800060"", address(row($D27),column($D27),,,""FOSS LAB-O""))"),30)</f>
        <v>30</v>
      </c>
      <c r="O29" s="8">
        <f t="shared" ca="1" si="7"/>
        <v>90.909090909090907</v>
      </c>
      <c r="P29" s="5">
        <f ca="1">IFERROR(__xludf.DUMMYFUNCTION("IMPORTRANGE(""https://docs.google.com/spreadsheets/d/1rOGZhKHVnDGFqGTO7UNOJSkSJyQwVuEb2-yhWQit7lw/edit?gid=1510845942#gid=1510845942"", address(row($D27),column($D27),,,""PP-O""))"),34)</f>
        <v>34</v>
      </c>
      <c r="Q29" s="8">
        <f t="shared" ca="1" si="8"/>
        <v>85</v>
      </c>
      <c r="R29" s="5">
        <f ca="1">IFERROR(__xludf.DUMMYFUNCTION("IMPORTRANGE(""https://docs.google.com/spreadsheets/d/1rOGZhKHVnDGFqGTO7UNOJSkSJyQwVuEb2-yhWQit7lw/edit?gid=655644728#gid=655644728"", address(row($D27),column($D27),,,""NPTEL-O""))"),24)</f>
        <v>24</v>
      </c>
      <c r="S29" s="5">
        <f t="shared" ca="1" si="9"/>
        <v>80</v>
      </c>
      <c r="T29" s="6">
        <f ca="1">IFERROR(__xludf.DUMMYFUNCTION("IMPORTRANGE(""https://docs.google.com/spreadsheets/d/1rOGZhKHVnDGFqGTO7UNOJSkSJyQwVuEb2-yhWQit7lw/edit?gid=1409420437#gid=1409420437"", address(row($D27),column($D27),,,""CRT-O""))"),70)</f>
        <v>70</v>
      </c>
      <c r="U29" s="8">
        <f t="shared" ca="1" si="10"/>
        <v>76.923076923076934</v>
      </c>
      <c r="V29" s="6">
        <f t="shared" ca="1" si="0"/>
        <v>328</v>
      </c>
      <c r="W29" s="4">
        <f t="shared" ca="1" si="11"/>
        <v>78</v>
      </c>
      <c r="X29" s="4">
        <v>0</v>
      </c>
      <c r="Y29" s="4">
        <v>0</v>
      </c>
      <c r="Z29" s="4">
        <f t="shared" ca="1" si="1"/>
        <v>328</v>
      </c>
      <c r="AA29" s="10">
        <f t="shared" ca="1" si="12"/>
        <v>78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ht="15.85" customHeight="1" x14ac:dyDescent="0.3">
      <c r="A30" s="8">
        <v>25</v>
      </c>
      <c r="B30" s="11" t="s">
        <v>362</v>
      </c>
      <c r="C30" s="11" t="s">
        <v>363</v>
      </c>
      <c r="D30" s="5">
        <f ca="1">IFERROR(__xludf.DUMMYFUNCTION("IMPORTRANGE(""https://docs.google.com/spreadsheets/d/1rOGZhKHVnDGFqGTO7UNOJSkSJyQwVuEb2-yhWQit7lw/edit?gid=1653662536#gid=1653662536"", address(row($D28),column($D28),,,""DM&amp;GT-O""))"),3)</f>
        <v>3</v>
      </c>
      <c r="E30" s="8">
        <f t="shared" ca="1" si="2"/>
        <v>12</v>
      </c>
      <c r="F30" s="5">
        <f ca="1">IFERROR(__xludf.DUMMYFUNCTION("IMPORTRANGE(""https://docs.google.com/spreadsheets/d/1rOGZhKHVnDGFqGTO7UNOJSkSJyQwVuEb2-yhWQit7lw/edit?gid=1900628561#gid=1900628561"", address(row($D28),column($D28),,,""UHV-O""))"),6)</f>
        <v>6</v>
      </c>
      <c r="G30" s="8">
        <f t="shared" ca="1" si="3"/>
        <v>18.75</v>
      </c>
      <c r="H30" s="5">
        <f ca="1">IFERROR(__xludf.DUMMYFUNCTION("IMPORTRANGE(""https://docs.google.com/spreadsheets/d/1rOGZhKHVnDGFqGTO7UNOJSkSJyQwVuEb2-yhWQit7lw/edit?gid=95164189#gid=95164189"", address(row($D28),column($D28),,,""DL&amp;CO-O""))"),4)</f>
        <v>4</v>
      </c>
      <c r="I30" s="8">
        <f t="shared" ca="1" si="4"/>
        <v>10.256410256410255</v>
      </c>
      <c r="J30" s="5">
        <f ca="1">IFERROR(__xludf.DUMMYFUNCTION("IMPORTRANGE(""https://docs.google.com/spreadsheets/d/1rOGZhKHVnDGFqGTO7UNOJSkSJyQwVuEb2-yhWQit7lw/edit?gid=2139275483#gid=2139275483"", address(row($D28),column($D28),,,""ADSA-O""))"),16)</f>
        <v>16</v>
      </c>
      <c r="K30" s="8">
        <f t="shared" ca="1" si="5"/>
        <v>25.806451612903224</v>
      </c>
      <c r="L30" s="5">
        <f ca="1">IFERROR(__xludf.DUMMYFUNCTION("IMPORTRANGE(""https://docs.google.com/spreadsheets/d/1rOGZhKHVnDGFqGTO7UNOJSkSJyQwVuEb2-yhWQit7lw/edit?gid=352620554#gid=352620554"", address(row($D28),column($D28),,,""JAVA-O""))"),16)</f>
        <v>16</v>
      </c>
      <c r="M30" s="8">
        <f t="shared" ca="1" si="6"/>
        <v>23.188405797101449</v>
      </c>
      <c r="N30" s="5">
        <f ca="1">IFERROR(__xludf.DUMMYFUNCTION("IMPORTRANGE(""https://docs.google.com/spreadsheets/d/1rOGZhKHVnDGFqGTO7UNOJSkSJyQwVuEb2-yhWQit7lw/edit?gid=1434800060#gid=1434800060"", address(row($D28),column($D28),,,""FOSS LAB-O""))"),12)</f>
        <v>12</v>
      </c>
      <c r="O30" s="8">
        <f t="shared" ca="1" si="7"/>
        <v>36.363636363636367</v>
      </c>
      <c r="P30" s="5">
        <f ca="1">IFERROR(__xludf.DUMMYFUNCTION("IMPORTRANGE(""https://docs.google.com/spreadsheets/d/1rOGZhKHVnDGFqGTO7UNOJSkSJyQwVuEb2-yhWQit7lw/edit?gid=1510845942#gid=1510845942"", address(row($D28),column($D28),,,""PP-O""))"),6)</f>
        <v>6</v>
      </c>
      <c r="Q30" s="8">
        <f t="shared" ca="1" si="8"/>
        <v>15</v>
      </c>
      <c r="R30" s="5">
        <f ca="1">IFERROR(__xludf.DUMMYFUNCTION("IMPORTRANGE(""https://docs.google.com/spreadsheets/d/1rOGZhKHVnDGFqGTO7UNOJSkSJyQwVuEb2-yhWQit7lw/edit?gid=655644728#gid=655644728"", address(row($D28),column($D28),,,""NPTEL-O""))"),10)</f>
        <v>10</v>
      </c>
      <c r="S30" s="5">
        <f t="shared" ca="1" si="9"/>
        <v>33.333333333333329</v>
      </c>
      <c r="T30" s="6">
        <f ca="1">IFERROR(__xludf.DUMMYFUNCTION("IMPORTRANGE(""https://docs.google.com/spreadsheets/d/1rOGZhKHVnDGFqGTO7UNOJSkSJyQwVuEb2-yhWQit7lw/edit?gid=1409420437#gid=1409420437"", address(row($D28),column($D28),,,""CRT-O""))"),32)</f>
        <v>32</v>
      </c>
      <c r="U30" s="8">
        <f t="shared" ca="1" si="10"/>
        <v>35.164835164835168</v>
      </c>
      <c r="V30" s="6">
        <f t="shared" ca="1" si="0"/>
        <v>105</v>
      </c>
      <c r="W30" s="4">
        <f t="shared" ca="1" si="11"/>
        <v>25</v>
      </c>
      <c r="X30" s="4">
        <v>0</v>
      </c>
      <c r="Y30" s="4">
        <v>0</v>
      </c>
      <c r="Z30" s="4">
        <f t="shared" ca="1" si="1"/>
        <v>105</v>
      </c>
      <c r="AA30" s="10">
        <f t="shared" ca="1" si="12"/>
        <v>25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</row>
    <row r="31" spans="1:39" ht="15.85" customHeight="1" x14ac:dyDescent="0.3">
      <c r="A31" s="8">
        <v>26</v>
      </c>
      <c r="B31" s="11" t="s">
        <v>364</v>
      </c>
      <c r="C31" s="11" t="s">
        <v>365</v>
      </c>
      <c r="D31" s="5">
        <f ca="1">IFERROR(__xludf.DUMMYFUNCTION("IMPORTRANGE(""https://docs.google.com/spreadsheets/d/1rOGZhKHVnDGFqGTO7UNOJSkSJyQwVuEb2-yhWQit7lw/edit?gid=1653662536#gid=1653662536"", address(row($D29),column($D29),,,""DM&amp;GT-O""))"),17)</f>
        <v>17</v>
      </c>
      <c r="E31" s="8">
        <f t="shared" ca="1" si="2"/>
        <v>68</v>
      </c>
      <c r="F31" s="5">
        <f ca="1">IFERROR(__xludf.DUMMYFUNCTION("IMPORTRANGE(""https://docs.google.com/spreadsheets/d/1rOGZhKHVnDGFqGTO7UNOJSkSJyQwVuEb2-yhWQit7lw/edit?gid=1900628561#gid=1900628561"", address(row($D29),column($D29),,,""UHV-O""))"),25)</f>
        <v>25</v>
      </c>
      <c r="G31" s="8">
        <f t="shared" ca="1" si="3"/>
        <v>78.125</v>
      </c>
      <c r="H31" s="5">
        <f ca="1">IFERROR(__xludf.DUMMYFUNCTION("IMPORTRANGE(""https://docs.google.com/spreadsheets/d/1rOGZhKHVnDGFqGTO7UNOJSkSJyQwVuEb2-yhWQit7lw/edit?gid=95164189#gid=95164189"", address(row($D29),column($D29),,,""DL&amp;CO-O""))"),32)</f>
        <v>32</v>
      </c>
      <c r="I31" s="8">
        <f t="shared" ca="1" si="4"/>
        <v>82.051282051282044</v>
      </c>
      <c r="J31" s="5">
        <f ca="1">IFERROR(__xludf.DUMMYFUNCTION("IMPORTRANGE(""https://docs.google.com/spreadsheets/d/1rOGZhKHVnDGFqGTO7UNOJSkSJyQwVuEb2-yhWQit7lw/edit?gid=2139275483#gid=2139275483"", address(row($D29),column($D29),,,""ADSA-O""))"),41)</f>
        <v>41</v>
      </c>
      <c r="K31" s="8">
        <f t="shared" ca="1" si="5"/>
        <v>66.129032258064512</v>
      </c>
      <c r="L31" s="5">
        <f ca="1">IFERROR(__xludf.DUMMYFUNCTION("IMPORTRANGE(""https://docs.google.com/spreadsheets/d/1rOGZhKHVnDGFqGTO7UNOJSkSJyQwVuEb2-yhWQit7lw/edit?gid=352620554#gid=352620554"", address(row($D29),column($D29),,,""JAVA-O""))"),50)</f>
        <v>50</v>
      </c>
      <c r="M31" s="8">
        <f t="shared" ca="1" si="6"/>
        <v>72.463768115942031</v>
      </c>
      <c r="N31" s="5">
        <f ca="1">IFERROR(__xludf.DUMMYFUNCTION("IMPORTRANGE(""https://docs.google.com/spreadsheets/d/1rOGZhKHVnDGFqGTO7UNOJSkSJyQwVuEb2-yhWQit7lw/edit?gid=1434800060#gid=1434800060"", address(row($D29),column($D29),,,""FOSS LAB-O""))"),12)</f>
        <v>12</v>
      </c>
      <c r="O31" s="8">
        <f t="shared" ca="1" si="7"/>
        <v>36.363636363636367</v>
      </c>
      <c r="P31" s="5">
        <f ca="1">IFERROR(__xludf.DUMMYFUNCTION("IMPORTRANGE(""https://docs.google.com/spreadsheets/d/1rOGZhKHVnDGFqGTO7UNOJSkSJyQwVuEb2-yhWQit7lw/edit?gid=1510845942#gid=1510845942"", address(row($D29),column($D29),,,""PP-O""))"),32)</f>
        <v>32</v>
      </c>
      <c r="Q31" s="8">
        <f t="shared" ca="1" si="8"/>
        <v>80</v>
      </c>
      <c r="R31" s="5">
        <f ca="1">IFERROR(__xludf.DUMMYFUNCTION("IMPORTRANGE(""https://docs.google.com/spreadsheets/d/1rOGZhKHVnDGFqGTO7UNOJSkSJyQwVuEb2-yhWQit7lw/edit?gid=655644728#gid=655644728"", address(row($D29),column($D29),,,""NPTEL-O""))"),28)</f>
        <v>28</v>
      </c>
      <c r="S31" s="5">
        <f t="shared" ca="1" si="9"/>
        <v>93.333333333333329</v>
      </c>
      <c r="T31" s="6">
        <f ca="1">IFERROR(__xludf.DUMMYFUNCTION("IMPORTRANGE(""https://docs.google.com/spreadsheets/d/1rOGZhKHVnDGFqGTO7UNOJSkSJyQwVuEb2-yhWQit7lw/edit?gid=1409420437#gid=1409420437"", address(row($D29),column($D29),,,""CRT-O""))"),70)</f>
        <v>70</v>
      </c>
      <c r="U31" s="8">
        <f t="shared" ca="1" si="10"/>
        <v>76.923076923076934</v>
      </c>
      <c r="V31" s="6">
        <f t="shared" ca="1" si="0"/>
        <v>307</v>
      </c>
      <c r="W31" s="4">
        <f t="shared" ca="1" si="11"/>
        <v>73</v>
      </c>
      <c r="X31" s="4">
        <v>0</v>
      </c>
      <c r="Y31" s="4">
        <v>0</v>
      </c>
      <c r="Z31" s="4">
        <f t="shared" ca="1" si="1"/>
        <v>307</v>
      </c>
      <c r="AA31" s="10">
        <f t="shared" ca="1" si="12"/>
        <v>73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 spans="1:39" ht="15.85" customHeight="1" x14ac:dyDescent="0.3">
      <c r="A32" s="8">
        <v>27</v>
      </c>
      <c r="B32" s="11" t="s">
        <v>366</v>
      </c>
      <c r="C32" s="11" t="s">
        <v>367</v>
      </c>
      <c r="D32" s="5">
        <f ca="1">IFERROR(__xludf.DUMMYFUNCTION("IMPORTRANGE(""https://docs.google.com/spreadsheets/d/1rOGZhKHVnDGFqGTO7UNOJSkSJyQwVuEb2-yhWQit7lw/edit?gid=1653662536#gid=1653662536"", address(row($D30),column($D30),,,""DM&amp;GT-O""))"),4)</f>
        <v>4</v>
      </c>
      <c r="E32" s="8">
        <f t="shared" ca="1" si="2"/>
        <v>16</v>
      </c>
      <c r="F32" s="5">
        <f ca="1">IFERROR(__xludf.DUMMYFUNCTION("IMPORTRANGE(""https://docs.google.com/spreadsheets/d/1rOGZhKHVnDGFqGTO7UNOJSkSJyQwVuEb2-yhWQit7lw/edit?gid=1900628561#gid=1900628561"", address(row($D30),column($D30),,,""UHV-O""))"),13)</f>
        <v>13</v>
      </c>
      <c r="G32" s="8">
        <f t="shared" ca="1" si="3"/>
        <v>40.625</v>
      </c>
      <c r="H32" s="5">
        <f ca="1">IFERROR(__xludf.DUMMYFUNCTION("IMPORTRANGE(""https://docs.google.com/spreadsheets/d/1rOGZhKHVnDGFqGTO7UNOJSkSJyQwVuEb2-yhWQit7lw/edit?gid=95164189#gid=95164189"", address(row($D30),column($D30),,,""DL&amp;CO-O""))"),11)</f>
        <v>11</v>
      </c>
      <c r="I32" s="8">
        <f t="shared" ca="1" si="4"/>
        <v>28.205128205128204</v>
      </c>
      <c r="J32" s="5">
        <f ca="1">IFERROR(__xludf.DUMMYFUNCTION("IMPORTRANGE(""https://docs.google.com/spreadsheets/d/1rOGZhKHVnDGFqGTO7UNOJSkSJyQwVuEb2-yhWQit7lw/edit?gid=2139275483#gid=2139275483"", address(row($D30),column($D30),,,""ADSA-O""))"),22)</f>
        <v>22</v>
      </c>
      <c r="K32" s="8">
        <f t="shared" ca="1" si="5"/>
        <v>35.483870967741936</v>
      </c>
      <c r="L32" s="5">
        <f ca="1">IFERROR(__xludf.DUMMYFUNCTION("IMPORTRANGE(""https://docs.google.com/spreadsheets/d/1rOGZhKHVnDGFqGTO7UNOJSkSJyQwVuEb2-yhWQit7lw/edit?gid=352620554#gid=352620554"", address(row($D30),column($D30),,,""JAVA-O""))"),21)</f>
        <v>21</v>
      </c>
      <c r="M32" s="8">
        <f t="shared" ca="1" si="6"/>
        <v>30.434782608695656</v>
      </c>
      <c r="N32" s="5">
        <f ca="1">IFERROR(__xludf.DUMMYFUNCTION("IMPORTRANGE(""https://docs.google.com/spreadsheets/d/1rOGZhKHVnDGFqGTO7UNOJSkSJyQwVuEb2-yhWQit7lw/edit?gid=1434800060#gid=1434800060"", address(row($D30),column($D30),,,""FOSS LAB-O""))"),21)</f>
        <v>21</v>
      </c>
      <c r="O32" s="8">
        <f t="shared" ca="1" si="7"/>
        <v>63.636363636363633</v>
      </c>
      <c r="P32" s="5">
        <f ca="1">IFERROR(__xludf.DUMMYFUNCTION("IMPORTRANGE(""https://docs.google.com/spreadsheets/d/1rOGZhKHVnDGFqGTO7UNOJSkSJyQwVuEb2-yhWQit7lw/edit?gid=1510845942#gid=1510845942"", address(row($D30),column($D30),,,""PP-O""))"),24)</f>
        <v>24</v>
      </c>
      <c r="Q32" s="8">
        <f t="shared" ca="1" si="8"/>
        <v>60</v>
      </c>
      <c r="R32" s="5">
        <f ca="1">IFERROR(__xludf.DUMMYFUNCTION("IMPORTRANGE(""https://docs.google.com/spreadsheets/d/1rOGZhKHVnDGFqGTO7UNOJSkSJyQwVuEb2-yhWQit7lw/edit?gid=655644728#gid=655644728"", address(row($D30),column($D30),,,""NPTEL-O""))"),18)</f>
        <v>18</v>
      </c>
      <c r="S32" s="5">
        <f t="shared" ca="1" si="9"/>
        <v>60</v>
      </c>
      <c r="T32" s="6">
        <f ca="1">IFERROR(__xludf.DUMMYFUNCTION("IMPORTRANGE(""https://docs.google.com/spreadsheets/d/1rOGZhKHVnDGFqGTO7UNOJSkSJyQwVuEb2-yhWQit7lw/edit?gid=1409420437#gid=1409420437"", address(row($D30),column($D30),,,""CRT-O""))"),42)</f>
        <v>42</v>
      </c>
      <c r="U32" s="8">
        <f t="shared" ca="1" si="10"/>
        <v>46.153846153846153</v>
      </c>
      <c r="V32" s="6">
        <f t="shared" ca="1" si="0"/>
        <v>176</v>
      </c>
      <c r="W32" s="4">
        <f t="shared" ca="1" si="11"/>
        <v>42</v>
      </c>
      <c r="X32" s="4">
        <v>0</v>
      </c>
      <c r="Y32" s="4">
        <v>0</v>
      </c>
      <c r="Z32" s="4">
        <f t="shared" ca="1" si="1"/>
        <v>176</v>
      </c>
      <c r="AA32" s="10">
        <f t="shared" ca="1" si="12"/>
        <v>42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ht="15.85" customHeight="1" x14ac:dyDescent="0.3">
      <c r="A33" s="8">
        <v>28</v>
      </c>
      <c r="B33" s="11" t="s">
        <v>368</v>
      </c>
      <c r="C33" s="11" t="s">
        <v>369</v>
      </c>
      <c r="D33" s="5">
        <f ca="1">IFERROR(__xludf.DUMMYFUNCTION("IMPORTRANGE(""https://docs.google.com/spreadsheets/d/1rOGZhKHVnDGFqGTO7UNOJSkSJyQwVuEb2-yhWQit7lw/edit?gid=1653662536#gid=1653662536"", address(row($D31),column($D31),,,""DM&amp;GT-O""))"),20)</f>
        <v>20</v>
      </c>
      <c r="E33" s="8">
        <f t="shared" ca="1" si="2"/>
        <v>80</v>
      </c>
      <c r="F33" s="5">
        <f ca="1">IFERROR(__xludf.DUMMYFUNCTION("IMPORTRANGE(""https://docs.google.com/spreadsheets/d/1rOGZhKHVnDGFqGTO7UNOJSkSJyQwVuEb2-yhWQit7lw/edit?gid=1900628561#gid=1900628561"", address(row($D31),column($D31),,,""UHV-O""))"),26)</f>
        <v>26</v>
      </c>
      <c r="G33" s="8">
        <f t="shared" ca="1" si="3"/>
        <v>81.25</v>
      </c>
      <c r="H33" s="5">
        <f ca="1">IFERROR(__xludf.DUMMYFUNCTION("IMPORTRANGE(""https://docs.google.com/spreadsheets/d/1rOGZhKHVnDGFqGTO7UNOJSkSJyQwVuEb2-yhWQit7lw/edit?gid=95164189#gid=95164189"", address(row($D31),column($D31),,,""DL&amp;CO-O""))"),30)</f>
        <v>30</v>
      </c>
      <c r="I33" s="8">
        <f t="shared" ca="1" si="4"/>
        <v>76.923076923076934</v>
      </c>
      <c r="J33" s="5">
        <f ca="1">IFERROR(__xludf.DUMMYFUNCTION("IMPORTRANGE(""https://docs.google.com/spreadsheets/d/1rOGZhKHVnDGFqGTO7UNOJSkSJyQwVuEb2-yhWQit7lw/edit?gid=2139275483#gid=2139275483"", address(row($D31),column($D31),,,""ADSA-O""))"),48)</f>
        <v>48</v>
      </c>
      <c r="K33" s="8">
        <f t="shared" ca="1" si="5"/>
        <v>77.41935483870968</v>
      </c>
      <c r="L33" s="5">
        <f ca="1">IFERROR(__xludf.DUMMYFUNCTION("IMPORTRANGE(""https://docs.google.com/spreadsheets/d/1rOGZhKHVnDGFqGTO7UNOJSkSJyQwVuEb2-yhWQit7lw/edit?gid=352620554#gid=352620554"", address(row($D31),column($D31),,,""JAVA-O""))"),51)</f>
        <v>51</v>
      </c>
      <c r="M33" s="8">
        <f t="shared" ca="1" si="6"/>
        <v>73.91304347826086</v>
      </c>
      <c r="N33" s="5">
        <f ca="1">IFERROR(__xludf.DUMMYFUNCTION("IMPORTRANGE(""https://docs.google.com/spreadsheets/d/1rOGZhKHVnDGFqGTO7UNOJSkSJyQwVuEb2-yhWQit7lw/edit?gid=1434800060#gid=1434800060"", address(row($D31),column($D31),,,""FOSS LAB-O""))"),30)</f>
        <v>30</v>
      </c>
      <c r="O33" s="8">
        <f t="shared" ca="1" si="7"/>
        <v>90.909090909090907</v>
      </c>
      <c r="P33" s="5">
        <f ca="1">IFERROR(__xludf.DUMMYFUNCTION("IMPORTRANGE(""https://docs.google.com/spreadsheets/d/1rOGZhKHVnDGFqGTO7UNOJSkSJyQwVuEb2-yhWQit7lw/edit?gid=1510845942#gid=1510845942"", address(row($D31),column($D31),,,""PP-O""))"),36)</f>
        <v>36</v>
      </c>
      <c r="Q33" s="8">
        <f t="shared" ca="1" si="8"/>
        <v>90</v>
      </c>
      <c r="R33" s="5">
        <f ca="1">IFERROR(__xludf.DUMMYFUNCTION("IMPORTRANGE(""https://docs.google.com/spreadsheets/d/1rOGZhKHVnDGFqGTO7UNOJSkSJyQwVuEb2-yhWQit7lw/edit?gid=655644728#gid=655644728"", address(row($D31),column($D31),,,""NPTEL-O""))"),28)</f>
        <v>28</v>
      </c>
      <c r="S33" s="5">
        <f t="shared" ca="1" si="9"/>
        <v>93.333333333333329</v>
      </c>
      <c r="T33" s="6">
        <f ca="1">IFERROR(__xludf.DUMMYFUNCTION("IMPORTRANGE(""https://docs.google.com/spreadsheets/d/1rOGZhKHVnDGFqGTO7UNOJSkSJyQwVuEb2-yhWQit7lw/edit?gid=1409420437#gid=1409420437"", address(row($D31),column($D31),,,""CRT-O""))"),77)</f>
        <v>77</v>
      </c>
      <c r="U33" s="8">
        <f t="shared" ca="1" si="10"/>
        <v>84.615384615384613</v>
      </c>
      <c r="V33" s="6">
        <f t="shared" ca="1" si="0"/>
        <v>346</v>
      </c>
      <c r="W33" s="4">
        <f t="shared" ca="1" si="11"/>
        <v>82</v>
      </c>
      <c r="X33" s="4">
        <v>0</v>
      </c>
      <c r="Y33" s="4">
        <v>0</v>
      </c>
      <c r="Z33" s="4">
        <f t="shared" ca="1" si="1"/>
        <v>346</v>
      </c>
      <c r="AA33" s="10">
        <f t="shared" ca="1" si="12"/>
        <v>82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 spans="1:39" ht="15.85" customHeight="1" x14ac:dyDescent="0.3">
      <c r="A34" s="8">
        <v>29</v>
      </c>
      <c r="B34" s="11" t="s">
        <v>370</v>
      </c>
      <c r="C34" s="11" t="s">
        <v>371</v>
      </c>
      <c r="D34" s="5">
        <f ca="1">IFERROR(__xludf.DUMMYFUNCTION("IMPORTRANGE(""https://docs.google.com/spreadsheets/d/1rOGZhKHVnDGFqGTO7UNOJSkSJyQwVuEb2-yhWQit7lw/edit?gid=1653662536#gid=1653662536"", address(row($D32),column($D32),,,""DM&amp;GT-O""))"),23)</f>
        <v>23</v>
      </c>
      <c r="E34" s="8">
        <f t="shared" ca="1" si="2"/>
        <v>92</v>
      </c>
      <c r="F34" s="5">
        <f ca="1">IFERROR(__xludf.DUMMYFUNCTION("IMPORTRANGE(""https://docs.google.com/spreadsheets/d/1rOGZhKHVnDGFqGTO7UNOJSkSJyQwVuEb2-yhWQit7lw/edit?gid=1900628561#gid=1900628561"", address(row($D32),column($D32),,,""UHV-O""))"),26)</f>
        <v>26</v>
      </c>
      <c r="G34" s="8">
        <f t="shared" ca="1" si="3"/>
        <v>81.25</v>
      </c>
      <c r="H34" s="5">
        <f ca="1">IFERROR(__xludf.DUMMYFUNCTION("IMPORTRANGE(""https://docs.google.com/spreadsheets/d/1rOGZhKHVnDGFqGTO7UNOJSkSJyQwVuEb2-yhWQit7lw/edit?gid=95164189#gid=95164189"", address(row($D32),column($D32),,,""DL&amp;CO-O""))"),31)</f>
        <v>31</v>
      </c>
      <c r="I34" s="8">
        <f t="shared" ca="1" si="4"/>
        <v>79.487179487179489</v>
      </c>
      <c r="J34" s="5">
        <f ca="1">IFERROR(__xludf.DUMMYFUNCTION("IMPORTRANGE(""https://docs.google.com/spreadsheets/d/1rOGZhKHVnDGFqGTO7UNOJSkSJyQwVuEb2-yhWQit7lw/edit?gid=2139275483#gid=2139275483"", address(row($D32),column($D32),,,""ADSA-O""))"),52)</f>
        <v>52</v>
      </c>
      <c r="K34" s="8">
        <f t="shared" ca="1" si="5"/>
        <v>83.870967741935488</v>
      </c>
      <c r="L34" s="5">
        <f ca="1">IFERROR(__xludf.DUMMYFUNCTION("IMPORTRANGE(""https://docs.google.com/spreadsheets/d/1rOGZhKHVnDGFqGTO7UNOJSkSJyQwVuEb2-yhWQit7lw/edit?gid=352620554#gid=352620554"", address(row($D32),column($D32),,,""JAVA-O""))"),50)</f>
        <v>50</v>
      </c>
      <c r="M34" s="8">
        <f t="shared" ca="1" si="6"/>
        <v>72.463768115942031</v>
      </c>
      <c r="N34" s="5">
        <f ca="1">IFERROR(__xludf.DUMMYFUNCTION("IMPORTRANGE(""https://docs.google.com/spreadsheets/d/1rOGZhKHVnDGFqGTO7UNOJSkSJyQwVuEb2-yhWQit7lw/edit?gid=1434800060#gid=1434800060"", address(row($D32),column($D32),,,""FOSS LAB-O""))"),28)</f>
        <v>28</v>
      </c>
      <c r="O34" s="8">
        <f t="shared" ca="1" si="7"/>
        <v>84.848484848484844</v>
      </c>
      <c r="P34" s="5">
        <f ca="1">IFERROR(__xludf.DUMMYFUNCTION("IMPORTRANGE(""https://docs.google.com/spreadsheets/d/1rOGZhKHVnDGFqGTO7UNOJSkSJyQwVuEb2-yhWQit7lw/edit?gid=1510845942#gid=1510845942"", address(row($D32),column($D32),,,""PP-O""))"),32)</f>
        <v>32</v>
      </c>
      <c r="Q34" s="8">
        <f t="shared" ca="1" si="8"/>
        <v>80</v>
      </c>
      <c r="R34" s="5">
        <f ca="1">IFERROR(__xludf.DUMMYFUNCTION("IMPORTRANGE(""https://docs.google.com/spreadsheets/d/1rOGZhKHVnDGFqGTO7UNOJSkSJyQwVuEb2-yhWQit7lw/edit?gid=655644728#gid=655644728"", address(row($D32),column($D32),,,""NPTEL-O""))"),24)</f>
        <v>24</v>
      </c>
      <c r="S34" s="5">
        <f t="shared" ca="1" si="9"/>
        <v>80</v>
      </c>
      <c r="T34" s="6">
        <f ca="1">IFERROR(__xludf.DUMMYFUNCTION("IMPORTRANGE(""https://docs.google.com/spreadsheets/d/1rOGZhKHVnDGFqGTO7UNOJSkSJyQwVuEb2-yhWQit7lw/edit?gid=1409420437#gid=1409420437"", address(row($D32),column($D32),,,""CRT-O""))"),60)</f>
        <v>60</v>
      </c>
      <c r="U34" s="8">
        <f t="shared" ca="1" si="10"/>
        <v>65.934065934065927</v>
      </c>
      <c r="V34" s="6">
        <f t="shared" ca="1" si="0"/>
        <v>326</v>
      </c>
      <c r="W34" s="4">
        <f t="shared" ca="1" si="11"/>
        <v>77</v>
      </c>
      <c r="X34" s="4">
        <v>0</v>
      </c>
      <c r="Y34" s="4">
        <v>0</v>
      </c>
      <c r="Z34" s="4">
        <f t="shared" ca="1" si="1"/>
        <v>326</v>
      </c>
      <c r="AA34" s="10">
        <f t="shared" ca="1" si="12"/>
        <v>77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39" ht="15.85" customHeight="1" x14ac:dyDescent="0.3">
      <c r="A35" s="8">
        <v>30</v>
      </c>
      <c r="B35" s="11" t="s">
        <v>372</v>
      </c>
      <c r="C35" s="11" t="s">
        <v>373</v>
      </c>
      <c r="D35" s="5">
        <f ca="1">IFERROR(__xludf.DUMMYFUNCTION("IMPORTRANGE(""https://docs.google.com/spreadsheets/d/1rOGZhKHVnDGFqGTO7UNOJSkSJyQwVuEb2-yhWQit7lw/edit?gid=1653662536#gid=1653662536"", address(row($D33),column($D33),,,""DM&amp;GT-O""))"),11)</f>
        <v>11</v>
      </c>
      <c r="E35" s="8">
        <f t="shared" ca="1" si="2"/>
        <v>44</v>
      </c>
      <c r="F35" s="5">
        <f ca="1">IFERROR(__xludf.DUMMYFUNCTION("IMPORTRANGE(""https://docs.google.com/spreadsheets/d/1rOGZhKHVnDGFqGTO7UNOJSkSJyQwVuEb2-yhWQit7lw/edit?gid=1900628561#gid=1900628561"", address(row($D33),column($D33),,,""UHV-O""))"),18)</f>
        <v>18</v>
      </c>
      <c r="G35" s="8">
        <f t="shared" ca="1" si="3"/>
        <v>56.25</v>
      </c>
      <c r="H35" s="5">
        <f ca="1">IFERROR(__xludf.DUMMYFUNCTION("IMPORTRANGE(""https://docs.google.com/spreadsheets/d/1rOGZhKHVnDGFqGTO7UNOJSkSJyQwVuEb2-yhWQit7lw/edit?gid=95164189#gid=95164189"", address(row($D33),column($D33),,,""DL&amp;CO-O""))"),20)</f>
        <v>20</v>
      </c>
      <c r="I35" s="8">
        <f t="shared" ca="1" si="4"/>
        <v>51.282051282051277</v>
      </c>
      <c r="J35" s="5">
        <f ca="1">IFERROR(__xludf.DUMMYFUNCTION("IMPORTRANGE(""https://docs.google.com/spreadsheets/d/1rOGZhKHVnDGFqGTO7UNOJSkSJyQwVuEb2-yhWQit7lw/edit?gid=2139275483#gid=2139275483"", address(row($D33),column($D33),,,""ADSA-O""))"),34)</f>
        <v>34</v>
      </c>
      <c r="K35" s="8">
        <f t="shared" ca="1" si="5"/>
        <v>54.838709677419352</v>
      </c>
      <c r="L35" s="5">
        <f ca="1">IFERROR(__xludf.DUMMYFUNCTION("IMPORTRANGE(""https://docs.google.com/spreadsheets/d/1rOGZhKHVnDGFqGTO7UNOJSkSJyQwVuEb2-yhWQit7lw/edit?gid=352620554#gid=352620554"", address(row($D33),column($D33),,,""JAVA-O""))"),30)</f>
        <v>30</v>
      </c>
      <c r="M35" s="8">
        <f t="shared" ca="1" si="6"/>
        <v>43.478260869565219</v>
      </c>
      <c r="N35" s="5">
        <f ca="1">IFERROR(__xludf.DUMMYFUNCTION("IMPORTRANGE(""https://docs.google.com/spreadsheets/d/1rOGZhKHVnDGFqGTO7UNOJSkSJyQwVuEb2-yhWQit7lw/edit?gid=1434800060#gid=1434800060"", address(row($D33),column($D33),,,""FOSS LAB-O""))"),21)</f>
        <v>21</v>
      </c>
      <c r="O35" s="8">
        <f t="shared" ca="1" si="7"/>
        <v>63.636363636363633</v>
      </c>
      <c r="P35" s="5">
        <f ca="1">IFERROR(__xludf.DUMMYFUNCTION("IMPORTRANGE(""https://docs.google.com/spreadsheets/d/1rOGZhKHVnDGFqGTO7UNOJSkSJyQwVuEb2-yhWQit7lw/edit?gid=1510845942#gid=1510845942"", address(row($D33),column($D33),,,""PP-O""))"),20)</f>
        <v>20</v>
      </c>
      <c r="Q35" s="8">
        <f t="shared" ca="1" si="8"/>
        <v>50</v>
      </c>
      <c r="R35" s="5">
        <f ca="1">IFERROR(__xludf.DUMMYFUNCTION("IMPORTRANGE(""https://docs.google.com/spreadsheets/d/1rOGZhKHVnDGFqGTO7UNOJSkSJyQwVuEb2-yhWQit7lw/edit?gid=655644728#gid=655644728"", address(row($D33),column($D33),,,""NPTEL-O""))"),16)</f>
        <v>16</v>
      </c>
      <c r="S35" s="5">
        <f t="shared" ca="1" si="9"/>
        <v>53.333333333333336</v>
      </c>
      <c r="T35" s="6">
        <f ca="1">IFERROR(__xludf.DUMMYFUNCTION("IMPORTRANGE(""https://docs.google.com/spreadsheets/d/1rOGZhKHVnDGFqGTO7UNOJSkSJyQwVuEb2-yhWQit7lw/edit?gid=1409420437#gid=1409420437"", address(row($D33),column($D33),,,""CRT-O""))"),56)</f>
        <v>56</v>
      </c>
      <c r="U35" s="8">
        <f t="shared" ca="1" si="10"/>
        <v>61.53846153846154</v>
      </c>
      <c r="V35" s="6">
        <f t="shared" ca="1" si="0"/>
        <v>226</v>
      </c>
      <c r="W35" s="4">
        <f t="shared" ca="1" si="11"/>
        <v>54</v>
      </c>
      <c r="X35" s="4">
        <v>0</v>
      </c>
      <c r="Y35" s="4">
        <v>0</v>
      </c>
      <c r="Z35" s="4">
        <f t="shared" ca="1" si="1"/>
        <v>226</v>
      </c>
      <c r="AA35" s="10">
        <f t="shared" ca="1" si="12"/>
        <v>54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spans="1:39" ht="15.85" customHeight="1" x14ac:dyDescent="0.3">
      <c r="A36" s="8">
        <v>31</v>
      </c>
      <c r="B36" s="11" t="s">
        <v>374</v>
      </c>
      <c r="C36" s="11" t="s">
        <v>375</v>
      </c>
      <c r="D36" s="5">
        <f ca="1">IFERROR(__xludf.DUMMYFUNCTION("IMPORTRANGE(""https://docs.google.com/spreadsheets/d/1rOGZhKHVnDGFqGTO7UNOJSkSJyQwVuEb2-yhWQit7lw/edit?gid=1653662536#gid=1653662536"", address(row($D34),column($D34),,,""DM&amp;GT-O""))"),14)</f>
        <v>14</v>
      </c>
      <c r="E36" s="8">
        <f t="shared" ca="1" si="2"/>
        <v>56.000000000000007</v>
      </c>
      <c r="F36" s="5">
        <f ca="1">IFERROR(__xludf.DUMMYFUNCTION("IMPORTRANGE(""https://docs.google.com/spreadsheets/d/1rOGZhKHVnDGFqGTO7UNOJSkSJyQwVuEb2-yhWQit7lw/edit?gid=1900628561#gid=1900628561"", address(row($D34),column($D34),,,""UHV-O""))"),17)</f>
        <v>17</v>
      </c>
      <c r="G36" s="8">
        <f t="shared" ca="1" si="3"/>
        <v>53.125</v>
      </c>
      <c r="H36" s="5">
        <f ca="1">IFERROR(__xludf.DUMMYFUNCTION("IMPORTRANGE(""https://docs.google.com/spreadsheets/d/1rOGZhKHVnDGFqGTO7UNOJSkSJyQwVuEb2-yhWQit7lw/edit?gid=95164189#gid=95164189"", address(row($D34),column($D34),,,""DL&amp;CO-O""))"),18)</f>
        <v>18</v>
      </c>
      <c r="I36" s="8">
        <f t="shared" ca="1" si="4"/>
        <v>46.153846153846153</v>
      </c>
      <c r="J36" s="5">
        <f ca="1">IFERROR(__xludf.DUMMYFUNCTION("IMPORTRANGE(""https://docs.google.com/spreadsheets/d/1rOGZhKHVnDGFqGTO7UNOJSkSJyQwVuEb2-yhWQit7lw/edit?gid=2139275483#gid=2139275483"", address(row($D34),column($D34),,,""ADSA-O""))"),32)</f>
        <v>32</v>
      </c>
      <c r="K36" s="8">
        <f t="shared" ca="1" si="5"/>
        <v>51.612903225806448</v>
      </c>
      <c r="L36" s="5">
        <f ca="1">IFERROR(__xludf.DUMMYFUNCTION("IMPORTRANGE(""https://docs.google.com/spreadsheets/d/1rOGZhKHVnDGFqGTO7UNOJSkSJyQwVuEb2-yhWQit7lw/edit?gid=352620554#gid=352620554"", address(row($D34),column($D34),,,""JAVA-O""))"),31)</f>
        <v>31</v>
      </c>
      <c r="M36" s="8">
        <f t="shared" ca="1" si="6"/>
        <v>44.927536231884055</v>
      </c>
      <c r="N36" s="5">
        <f ca="1">IFERROR(__xludf.DUMMYFUNCTION("IMPORTRANGE(""https://docs.google.com/spreadsheets/d/1rOGZhKHVnDGFqGTO7UNOJSkSJyQwVuEb2-yhWQit7lw/edit?gid=1434800060#gid=1434800060"", address(row($D34),column($D34),,,""FOSS LAB-O""))"),21)</f>
        <v>21</v>
      </c>
      <c r="O36" s="8">
        <f t="shared" ca="1" si="7"/>
        <v>63.636363636363633</v>
      </c>
      <c r="P36" s="5">
        <f ca="1">IFERROR(__xludf.DUMMYFUNCTION("IMPORTRANGE(""https://docs.google.com/spreadsheets/d/1rOGZhKHVnDGFqGTO7UNOJSkSJyQwVuEb2-yhWQit7lw/edit?gid=1510845942#gid=1510845942"", address(row($D34),column($D34),,,""PP-O""))"),16)</f>
        <v>16</v>
      </c>
      <c r="Q36" s="8">
        <f t="shared" ca="1" si="8"/>
        <v>40</v>
      </c>
      <c r="R36" s="5">
        <f ca="1">IFERROR(__xludf.DUMMYFUNCTION("IMPORTRANGE(""https://docs.google.com/spreadsheets/d/1rOGZhKHVnDGFqGTO7UNOJSkSJyQwVuEb2-yhWQit7lw/edit?gid=655644728#gid=655644728"", address(row($D34),column($D34),,,""NPTEL-O""))"),12)</f>
        <v>12</v>
      </c>
      <c r="S36" s="5">
        <f t="shared" ca="1" si="9"/>
        <v>40</v>
      </c>
      <c r="T36" s="6">
        <f ca="1">IFERROR(__xludf.DUMMYFUNCTION("IMPORTRANGE(""https://docs.google.com/spreadsheets/d/1rOGZhKHVnDGFqGTO7UNOJSkSJyQwVuEb2-yhWQit7lw/edit?gid=1409420437#gid=1409420437"", address(row($D34),column($D34),,,""CRT-O""))"),49)</f>
        <v>49</v>
      </c>
      <c r="U36" s="8">
        <f t="shared" ca="1" si="10"/>
        <v>53.846153846153847</v>
      </c>
      <c r="V36" s="6">
        <f t="shared" ca="1" si="0"/>
        <v>210</v>
      </c>
      <c r="W36" s="4">
        <f t="shared" ca="1" si="11"/>
        <v>50</v>
      </c>
      <c r="X36" s="4">
        <v>0</v>
      </c>
      <c r="Y36" s="4">
        <v>0</v>
      </c>
      <c r="Z36" s="4">
        <f t="shared" ca="1" si="1"/>
        <v>210</v>
      </c>
      <c r="AA36" s="10">
        <f t="shared" ca="1" si="12"/>
        <v>50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 spans="1:39" ht="15.85" customHeight="1" x14ac:dyDescent="0.3">
      <c r="A37" s="8">
        <v>32</v>
      </c>
      <c r="B37" s="11" t="s">
        <v>376</v>
      </c>
      <c r="C37" s="11" t="s">
        <v>377</v>
      </c>
      <c r="D37" s="5">
        <f ca="1">IFERROR(__xludf.DUMMYFUNCTION("IMPORTRANGE(""https://docs.google.com/spreadsheets/d/1rOGZhKHVnDGFqGTO7UNOJSkSJyQwVuEb2-yhWQit7lw/edit?gid=1653662536#gid=1653662536"", address(row($D35),column($D35),,,""DM&amp;GT-O""))"),9)</f>
        <v>9</v>
      </c>
      <c r="E37" s="8">
        <f t="shared" ca="1" si="2"/>
        <v>36</v>
      </c>
      <c r="F37" s="5">
        <f ca="1">IFERROR(__xludf.DUMMYFUNCTION("IMPORTRANGE(""https://docs.google.com/spreadsheets/d/1rOGZhKHVnDGFqGTO7UNOJSkSJyQwVuEb2-yhWQit7lw/edit?gid=1900628561#gid=1900628561"", address(row($D35),column($D35),,,""UHV-O""))"),12)</f>
        <v>12</v>
      </c>
      <c r="G37" s="8">
        <f t="shared" ca="1" si="3"/>
        <v>37.5</v>
      </c>
      <c r="H37" s="5">
        <f ca="1">IFERROR(__xludf.DUMMYFUNCTION("IMPORTRANGE(""https://docs.google.com/spreadsheets/d/1rOGZhKHVnDGFqGTO7UNOJSkSJyQwVuEb2-yhWQit7lw/edit?gid=95164189#gid=95164189"", address(row($D35),column($D35),,,""DL&amp;CO-O""))"),13)</f>
        <v>13</v>
      </c>
      <c r="I37" s="8">
        <f t="shared" ca="1" si="4"/>
        <v>33.333333333333329</v>
      </c>
      <c r="J37" s="5">
        <f ca="1">IFERROR(__xludf.DUMMYFUNCTION("IMPORTRANGE(""https://docs.google.com/spreadsheets/d/1rOGZhKHVnDGFqGTO7UNOJSkSJyQwVuEb2-yhWQit7lw/edit?gid=2139275483#gid=2139275483"", address(row($D35),column($D35),,,""ADSA-O""))"),28)</f>
        <v>28</v>
      </c>
      <c r="K37" s="8">
        <f t="shared" ca="1" si="5"/>
        <v>45.161290322580641</v>
      </c>
      <c r="L37" s="5">
        <f ca="1">IFERROR(__xludf.DUMMYFUNCTION("IMPORTRANGE(""https://docs.google.com/spreadsheets/d/1rOGZhKHVnDGFqGTO7UNOJSkSJyQwVuEb2-yhWQit7lw/edit?gid=352620554#gid=352620554"", address(row($D35),column($D35),,,""JAVA-O""))"),30)</f>
        <v>30</v>
      </c>
      <c r="M37" s="8">
        <f t="shared" ca="1" si="6"/>
        <v>43.478260869565219</v>
      </c>
      <c r="N37" s="5">
        <f ca="1">IFERROR(__xludf.DUMMYFUNCTION("IMPORTRANGE(""https://docs.google.com/spreadsheets/d/1rOGZhKHVnDGFqGTO7UNOJSkSJyQwVuEb2-yhWQit7lw/edit?gid=1434800060#gid=1434800060"", address(row($D35),column($D35),,,""FOSS LAB-O""))"),24)</f>
        <v>24</v>
      </c>
      <c r="O37" s="8">
        <f t="shared" ca="1" si="7"/>
        <v>72.727272727272734</v>
      </c>
      <c r="P37" s="5">
        <f ca="1">IFERROR(__xludf.DUMMYFUNCTION("IMPORTRANGE(""https://docs.google.com/spreadsheets/d/1rOGZhKHVnDGFqGTO7UNOJSkSJyQwVuEb2-yhWQit7lw/edit?gid=1510845942#gid=1510845942"", address(row($D35),column($D35),,,""PP-O""))"),16)</f>
        <v>16</v>
      </c>
      <c r="Q37" s="8">
        <f t="shared" ca="1" si="8"/>
        <v>40</v>
      </c>
      <c r="R37" s="5">
        <f ca="1">IFERROR(__xludf.DUMMYFUNCTION("IMPORTRANGE(""https://docs.google.com/spreadsheets/d/1rOGZhKHVnDGFqGTO7UNOJSkSJyQwVuEb2-yhWQit7lw/edit?gid=655644728#gid=655644728"", address(row($D35),column($D35),,,""NPTEL-O""))"),12)</f>
        <v>12</v>
      </c>
      <c r="S37" s="5">
        <f t="shared" ca="1" si="9"/>
        <v>40</v>
      </c>
      <c r="T37" s="6">
        <f ca="1">IFERROR(__xludf.DUMMYFUNCTION("IMPORTRANGE(""https://docs.google.com/spreadsheets/d/1rOGZhKHVnDGFqGTO7UNOJSkSJyQwVuEb2-yhWQit7lw/edit?gid=1409420437#gid=1409420437"", address(row($D35),column($D35),,,""CRT-O""))"),61)</f>
        <v>61</v>
      </c>
      <c r="U37" s="8">
        <f t="shared" ca="1" si="10"/>
        <v>67.032967032967022</v>
      </c>
      <c r="V37" s="6">
        <f t="shared" ca="1" si="0"/>
        <v>205</v>
      </c>
      <c r="W37" s="4">
        <f t="shared" ca="1" si="11"/>
        <v>49</v>
      </c>
      <c r="X37" s="4">
        <v>0</v>
      </c>
      <c r="Y37" s="4">
        <v>0</v>
      </c>
      <c r="Z37" s="4">
        <f t="shared" ca="1" si="1"/>
        <v>205</v>
      </c>
      <c r="AA37" s="10">
        <f t="shared" ca="1" si="12"/>
        <v>49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39" ht="15.85" customHeight="1" x14ac:dyDescent="0.3">
      <c r="A38" s="8">
        <v>33</v>
      </c>
      <c r="B38" s="11" t="s">
        <v>378</v>
      </c>
      <c r="C38" s="11" t="s">
        <v>379</v>
      </c>
      <c r="D38" s="5">
        <f ca="1">IFERROR(__xludf.DUMMYFUNCTION("IMPORTRANGE(""https://docs.google.com/spreadsheets/d/1rOGZhKHVnDGFqGTO7UNOJSkSJyQwVuEb2-yhWQit7lw/edit?gid=1653662536#gid=1653662536"", address(row($D36),column($D36),,,""DM&amp;GT-O""))"),17)</f>
        <v>17</v>
      </c>
      <c r="E38" s="8">
        <f t="shared" ca="1" si="2"/>
        <v>68</v>
      </c>
      <c r="F38" s="5">
        <f ca="1">IFERROR(__xludf.DUMMYFUNCTION("IMPORTRANGE(""https://docs.google.com/spreadsheets/d/1rOGZhKHVnDGFqGTO7UNOJSkSJyQwVuEb2-yhWQit7lw/edit?gid=1900628561#gid=1900628561"", address(row($D36),column($D36),,,""UHV-O""))"),23)</f>
        <v>23</v>
      </c>
      <c r="G38" s="8">
        <f t="shared" ca="1" si="3"/>
        <v>71.875</v>
      </c>
      <c r="H38" s="5">
        <f ca="1">IFERROR(__xludf.DUMMYFUNCTION("IMPORTRANGE(""https://docs.google.com/spreadsheets/d/1rOGZhKHVnDGFqGTO7UNOJSkSJyQwVuEb2-yhWQit7lw/edit?gid=95164189#gid=95164189"", address(row($D36),column($D36),,,""DL&amp;CO-O""))"),25)</f>
        <v>25</v>
      </c>
      <c r="I38" s="8">
        <f t="shared" ca="1" si="4"/>
        <v>64.102564102564102</v>
      </c>
      <c r="J38" s="5">
        <f ca="1">IFERROR(__xludf.DUMMYFUNCTION("IMPORTRANGE(""https://docs.google.com/spreadsheets/d/1rOGZhKHVnDGFqGTO7UNOJSkSJyQwVuEb2-yhWQit7lw/edit?gid=2139275483#gid=2139275483"", address(row($D36),column($D36),,,""ADSA-O""))"),37)</f>
        <v>37</v>
      </c>
      <c r="K38" s="8">
        <f t="shared" ca="1" si="5"/>
        <v>59.677419354838712</v>
      </c>
      <c r="L38" s="5">
        <f ca="1">IFERROR(__xludf.DUMMYFUNCTION("IMPORTRANGE(""https://docs.google.com/spreadsheets/d/1rOGZhKHVnDGFqGTO7UNOJSkSJyQwVuEb2-yhWQit7lw/edit?gid=352620554#gid=352620554"", address(row($D36),column($D36),,,""JAVA-O""))"),50)</f>
        <v>50</v>
      </c>
      <c r="M38" s="8">
        <f t="shared" ca="1" si="6"/>
        <v>72.463768115942031</v>
      </c>
      <c r="N38" s="5">
        <f ca="1">IFERROR(__xludf.DUMMYFUNCTION("IMPORTRANGE(""https://docs.google.com/spreadsheets/d/1rOGZhKHVnDGFqGTO7UNOJSkSJyQwVuEb2-yhWQit7lw/edit?gid=1434800060#gid=1434800060"", address(row($D36),column($D36),,,""FOSS LAB-O""))"),23)</f>
        <v>23</v>
      </c>
      <c r="O38" s="8">
        <f t="shared" ca="1" si="7"/>
        <v>69.696969696969703</v>
      </c>
      <c r="P38" s="5">
        <f ca="1">IFERROR(__xludf.DUMMYFUNCTION("IMPORTRANGE(""https://docs.google.com/spreadsheets/d/1rOGZhKHVnDGFqGTO7UNOJSkSJyQwVuEb2-yhWQit7lw/edit?gid=1510845942#gid=1510845942"", address(row($D36),column($D36),,,""PP-O""))"),28)</f>
        <v>28</v>
      </c>
      <c r="Q38" s="8">
        <f t="shared" ca="1" si="8"/>
        <v>70</v>
      </c>
      <c r="R38" s="5">
        <f ca="1">IFERROR(__xludf.DUMMYFUNCTION("IMPORTRANGE(""https://docs.google.com/spreadsheets/d/1rOGZhKHVnDGFqGTO7UNOJSkSJyQwVuEb2-yhWQit7lw/edit?gid=655644728#gid=655644728"", address(row($D36),column($D36),,,""NPTEL-O""))"),20)</f>
        <v>20</v>
      </c>
      <c r="S38" s="5">
        <f t="shared" ca="1" si="9"/>
        <v>66.666666666666657</v>
      </c>
      <c r="T38" s="6">
        <f ca="1">IFERROR(__xludf.DUMMYFUNCTION("IMPORTRANGE(""https://docs.google.com/spreadsheets/d/1rOGZhKHVnDGFqGTO7UNOJSkSJyQwVuEb2-yhWQit7lw/edit?gid=1409420437#gid=1409420437"", address(row($D36),column($D36),,,""CRT-O""))"),84)</f>
        <v>84</v>
      </c>
      <c r="U38" s="8">
        <f t="shared" ca="1" si="10"/>
        <v>92.307692307692307</v>
      </c>
      <c r="V38" s="6">
        <f t="shared" ca="1" si="0"/>
        <v>307</v>
      </c>
      <c r="W38" s="4">
        <f t="shared" ca="1" si="11"/>
        <v>73</v>
      </c>
      <c r="X38" s="4">
        <v>0</v>
      </c>
      <c r="Y38" s="4">
        <v>0</v>
      </c>
      <c r="Z38" s="4">
        <f t="shared" ca="1" si="1"/>
        <v>307</v>
      </c>
      <c r="AA38" s="10">
        <f t="shared" ca="1" si="12"/>
        <v>73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 spans="1:39" ht="15.85" customHeight="1" x14ac:dyDescent="0.3">
      <c r="A39" s="8">
        <v>34</v>
      </c>
      <c r="B39" s="11" t="s">
        <v>380</v>
      </c>
      <c r="C39" s="11" t="s">
        <v>381</v>
      </c>
      <c r="D39" s="5">
        <f ca="1">IFERROR(__xludf.DUMMYFUNCTION("IMPORTRANGE(""https://docs.google.com/spreadsheets/d/1rOGZhKHVnDGFqGTO7UNOJSkSJyQwVuEb2-yhWQit7lw/edit?gid=1653662536#gid=1653662536"", address(row($D37),column($D37),,,""DM&amp;GT-O""))"),0)</f>
        <v>0</v>
      </c>
      <c r="E39" s="8">
        <f t="shared" ca="1" si="2"/>
        <v>0</v>
      </c>
      <c r="F39" s="5">
        <f ca="1">IFERROR(__xludf.DUMMYFUNCTION("IMPORTRANGE(""https://docs.google.com/spreadsheets/d/1rOGZhKHVnDGFqGTO7UNOJSkSJyQwVuEb2-yhWQit7lw/edit?gid=1900628561#gid=1900628561"", address(row($D37),column($D37),,,""UHV-O""))"),2)</f>
        <v>2</v>
      </c>
      <c r="G39" s="8">
        <f t="shared" ca="1" si="3"/>
        <v>6.25</v>
      </c>
      <c r="H39" s="5">
        <f ca="1">IFERROR(__xludf.DUMMYFUNCTION("IMPORTRANGE(""https://docs.google.com/spreadsheets/d/1rOGZhKHVnDGFqGTO7UNOJSkSJyQwVuEb2-yhWQit7lw/edit?gid=95164189#gid=95164189"", address(row($D37),column($D37),,,""DL&amp;CO-O""))"),3)</f>
        <v>3</v>
      </c>
      <c r="I39" s="8">
        <f t="shared" ca="1" si="4"/>
        <v>7.6923076923076925</v>
      </c>
      <c r="J39" s="5">
        <f ca="1">IFERROR(__xludf.DUMMYFUNCTION("IMPORTRANGE(""https://docs.google.com/spreadsheets/d/1rOGZhKHVnDGFqGTO7UNOJSkSJyQwVuEb2-yhWQit7lw/edit?gid=2139275483#gid=2139275483"", address(row($D37),column($D37),,,""ADSA-O""))"),10)</f>
        <v>10</v>
      </c>
      <c r="K39" s="8">
        <f t="shared" ca="1" si="5"/>
        <v>16.129032258064516</v>
      </c>
      <c r="L39" s="5">
        <f ca="1">IFERROR(__xludf.DUMMYFUNCTION("IMPORTRANGE(""https://docs.google.com/spreadsheets/d/1rOGZhKHVnDGFqGTO7UNOJSkSJyQwVuEb2-yhWQit7lw/edit?gid=352620554#gid=352620554"", address(row($D37),column($D37),,,""JAVA-O""))"),9)</f>
        <v>9</v>
      </c>
      <c r="M39" s="8">
        <f t="shared" ca="1" si="6"/>
        <v>13.043478260869565</v>
      </c>
      <c r="N39" s="5">
        <f ca="1">IFERROR(__xludf.DUMMYFUNCTION("IMPORTRANGE(""https://docs.google.com/spreadsheets/d/1rOGZhKHVnDGFqGTO7UNOJSkSJyQwVuEb2-yhWQit7lw/edit?gid=1434800060#gid=1434800060"", address(row($D37),column($D37),,,""FOSS LAB-O""))"),9)</f>
        <v>9</v>
      </c>
      <c r="O39" s="8">
        <f t="shared" ca="1" si="7"/>
        <v>27.27272727272727</v>
      </c>
      <c r="P39" s="5">
        <f ca="1">IFERROR(__xludf.DUMMYFUNCTION("IMPORTRANGE(""https://docs.google.com/spreadsheets/d/1rOGZhKHVnDGFqGTO7UNOJSkSJyQwVuEb2-yhWQit7lw/edit?gid=1510845942#gid=1510845942"", address(row($D37),column($D37),,,""PP-O""))"),6)</f>
        <v>6</v>
      </c>
      <c r="Q39" s="8">
        <f t="shared" ca="1" si="8"/>
        <v>15</v>
      </c>
      <c r="R39" s="5">
        <f ca="1">IFERROR(__xludf.DUMMYFUNCTION("IMPORTRANGE(""https://docs.google.com/spreadsheets/d/1rOGZhKHVnDGFqGTO7UNOJSkSJyQwVuEb2-yhWQit7lw/edit?gid=655644728#gid=655644728"", address(row($D37),column($D37),,,""NPTEL-O""))"),10)</f>
        <v>10</v>
      </c>
      <c r="S39" s="5">
        <f t="shared" ca="1" si="9"/>
        <v>33.333333333333329</v>
      </c>
      <c r="T39" s="6">
        <f ca="1">IFERROR(__xludf.DUMMYFUNCTION("IMPORTRANGE(""https://docs.google.com/spreadsheets/d/1rOGZhKHVnDGFqGTO7UNOJSkSJyQwVuEb2-yhWQit7lw/edit?gid=1409420437#gid=1409420437"", address(row($D37),column($D37),,,""CRT-O""))"),28)</f>
        <v>28</v>
      </c>
      <c r="U39" s="8">
        <f t="shared" ca="1" si="10"/>
        <v>30.76923076923077</v>
      </c>
      <c r="V39" s="6">
        <f t="shared" ca="1" si="0"/>
        <v>77</v>
      </c>
      <c r="W39" s="4">
        <f t="shared" ca="1" si="11"/>
        <v>18</v>
      </c>
      <c r="X39" s="4">
        <v>0</v>
      </c>
      <c r="Y39" s="4">
        <v>0</v>
      </c>
      <c r="Z39" s="4">
        <f t="shared" ca="1" si="1"/>
        <v>77</v>
      </c>
      <c r="AA39" s="10">
        <f t="shared" ca="1" si="12"/>
        <v>18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 spans="1:39" ht="15.85" customHeight="1" x14ac:dyDescent="0.3">
      <c r="A40" s="8">
        <v>35</v>
      </c>
      <c r="B40" s="11" t="s">
        <v>382</v>
      </c>
      <c r="C40" s="11" t="s">
        <v>383</v>
      </c>
      <c r="D40" s="5">
        <f ca="1">IFERROR(__xludf.DUMMYFUNCTION("IMPORTRANGE(""https://docs.google.com/spreadsheets/d/1rOGZhKHVnDGFqGTO7UNOJSkSJyQwVuEb2-yhWQit7lw/edit?gid=1653662536#gid=1653662536"", address(row($D38),column($D38),,,""DM&amp;GT-O""))"),12)</f>
        <v>12</v>
      </c>
      <c r="E40" s="8">
        <f t="shared" ca="1" si="2"/>
        <v>48</v>
      </c>
      <c r="F40" s="5">
        <f ca="1">IFERROR(__xludf.DUMMYFUNCTION("IMPORTRANGE(""https://docs.google.com/spreadsheets/d/1rOGZhKHVnDGFqGTO7UNOJSkSJyQwVuEb2-yhWQit7lw/edit?gid=1900628561#gid=1900628561"", address(row($D38),column($D38),,,""UHV-O""))"),16)</f>
        <v>16</v>
      </c>
      <c r="G40" s="8">
        <f t="shared" ca="1" si="3"/>
        <v>50</v>
      </c>
      <c r="H40" s="5">
        <f ca="1">IFERROR(__xludf.DUMMYFUNCTION("IMPORTRANGE(""https://docs.google.com/spreadsheets/d/1rOGZhKHVnDGFqGTO7UNOJSkSJyQwVuEb2-yhWQit7lw/edit?gid=95164189#gid=95164189"", address(row($D38),column($D38),,,""DL&amp;CO-O""))"),20)</f>
        <v>20</v>
      </c>
      <c r="I40" s="8">
        <f t="shared" ca="1" si="4"/>
        <v>51.282051282051277</v>
      </c>
      <c r="J40" s="5">
        <f ca="1">IFERROR(__xludf.DUMMYFUNCTION("IMPORTRANGE(""https://docs.google.com/spreadsheets/d/1rOGZhKHVnDGFqGTO7UNOJSkSJyQwVuEb2-yhWQit7lw/edit?gid=2139275483#gid=2139275483"", address(row($D38),column($D38),,,""ADSA-O""))"),30)</f>
        <v>30</v>
      </c>
      <c r="K40" s="8">
        <f t="shared" ca="1" si="5"/>
        <v>48.387096774193552</v>
      </c>
      <c r="L40" s="5">
        <f ca="1">IFERROR(__xludf.DUMMYFUNCTION("IMPORTRANGE(""https://docs.google.com/spreadsheets/d/1rOGZhKHVnDGFqGTO7UNOJSkSJyQwVuEb2-yhWQit7lw/edit?gid=352620554#gid=352620554"", address(row($D38),column($D38),,,""JAVA-O""))"),33)</f>
        <v>33</v>
      </c>
      <c r="M40" s="8">
        <f t="shared" ca="1" si="6"/>
        <v>47.826086956521742</v>
      </c>
      <c r="N40" s="5">
        <f ca="1">IFERROR(__xludf.DUMMYFUNCTION("IMPORTRANGE(""https://docs.google.com/spreadsheets/d/1rOGZhKHVnDGFqGTO7UNOJSkSJyQwVuEb2-yhWQit7lw/edit?gid=1434800060#gid=1434800060"", address(row($D38),column($D38),,,""FOSS LAB-O""))"),12)</f>
        <v>12</v>
      </c>
      <c r="O40" s="8">
        <f t="shared" ca="1" si="7"/>
        <v>36.363636363636367</v>
      </c>
      <c r="P40" s="5">
        <f ca="1">IFERROR(__xludf.DUMMYFUNCTION("IMPORTRANGE(""https://docs.google.com/spreadsheets/d/1rOGZhKHVnDGFqGTO7UNOJSkSJyQwVuEb2-yhWQit7lw/edit?gid=1510845942#gid=1510845942"", address(row($D38),column($D38),,,""PP-O""))"),26)</f>
        <v>26</v>
      </c>
      <c r="Q40" s="8">
        <f t="shared" ca="1" si="8"/>
        <v>65</v>
      </c>
      <c r="R40" s="5">
        <f ca="1">IFERROR(__xludf.DUMMYFUNCTION("IMPORTRANGE(""https://docs.google.com/spreadsheets/d/1rOGZhKHVnDGFqGTO7UNOJSkSJyQwVuEb2-yhWQit7lw/edit?gid=655644728#gid=655644728"", address(row($D38),column($D38),,,""NPTEL-O""))"),22)</f>
        <v>22</v>
      </c>
      <c r="S40" s="5">
        <f t="shared" ca="1" si="9"/>
        <v>73.333333333333329</v>
      </c>
      <c r="T40" s="6">
        <f ca="1">IFERROR(__xludf.DUMMYFUNCTION("IMPORTRANGE(""https://docs.google.com/spreadsheets/d/1rOGZhKHVnDGFqGTO7UNOJSkSJyQwVuEb2-yhWQit7lw/edit?gid=1409420437#gid=1409420437"", address(row($D38),column($D38),,,""CRT-O""))"),91)</f>
        <v>91</v>
      </c>
      <c r="U40" s="8">
        <f t="shared" ca="1" si="10"/>
        <v>100</v>
      </c>
      <c r="V40" s="6">
        <f t="shared" ca="1" si="0"/>
        <v>262</v>
      </c>
      <c r="W40" s="4">
        <f t="shared" ca="1" si="11"/>
        <v>62</v>
      </c>
      <c r="X40" s="4">
        <v>0</v>
      </c>
      <c r="Y40" s="4">
        <v>0</v>
      </c>
      <c r="Z40" s="4">
        <f t="shared" ca="1" si="1"/>
        <v>262</v>
      </c>
      <c r="AA40" s="10">
        <f t="shared" ca="1" si="12"/>
        <v>62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 spans="1:39" ht="15.85" customHeight="1" x14ac:dyDescent="0.3">
      <c r="A41" s="8">
        <v>36</v>
      </c>
      <c r="B41" s="11" t="s">
        <v>384</v>
      </c>
      <c r="C41" s="11" t="s">
        <v>385</v>
      </c>
      <c r="D41" s="5">
        <f ca="1">IFERROR(__xludf.DUMMYFUNCTION("IMPORTRANGE(""https://docs.google.com/spreadsheets/d/1rOGZhKHVnDGFqGTO7UNOJSkSJyQwVuEb2-yhWQit7lw/edit?gid=1653662536#gid=1653662536"", address(row($D39),column($D39),,,""DM&amp;GT-O""))"),18)</f>
        <v>18</v>
      </c>
      <c r="E41" s="8">
        <f t="shared" ca="1" si="2"/>
        <v>72</v>
      </c>
      <c r="F41" s="5">
        <f ca="1">IFERROR(__xludf.DUMMYFUNCTION("IMPORTRANGE(""https://docs.google.com/spreadsheets/d/1rOGZhKHVnDGFqGTO7UNOJSkSJyQwVuEb2-yhWQit7lw/edit?gid=1900628561#gid=1900628561"", address(row($D39),column($D39),,,""UHV-O""))"),25)</f>
        <v>25</v>
      </c>
      <c r="G41" s="8">
        <f t="shared" ca="1" si="3"/>
        <v>78.125</v>
      </c>
      <c r="H41" s="5">
        <f ca="1">IFERROR(__xludf.DUMMYFUNCTION("IMPORTRANGE(""https://docs.google.com/spreadsheets/d/1rOGZhKHVnDGFqGTO7UNOJSkSJyQwVuEb2-yhWQit7lw/edit?gid=95164189#gid=95164189"", address(row($D39),column($D39),,,""DL&amp;CO-O""))"),30)</f>
        <v>30</v>
      </c>
      <c r="I41" s="8">
        <f t="shared" ca="1" si="4"/>
        <v>76.923076923076934</v>
      </c>
      <c r="J41" s="5">
        <f ca="1">IFERROR(__xludf.DUMMYFUNCTION("IMPORTRANGE(""https://docs.google.com/spreadsheets/d/1rOGZhKHVnDGFqGTO7UNOJSkSJyQwVuEb2-yhWQit7lw/edit?gid=2139275483#gid=2139275483"", address(row($D39),column($D39),,,""ADSA-O""))"),40)</f>
        <v>40</v>
      </c>
      <c r="K41" s="8">
        <f t="shared" ca="1" si="5"/>
        <v>64.516129032258064</v>
      </c>
      <c r="L41" s="5">
        <f ca="1">IFERROR(__xludf.DUMMYFUNCTION("IMPORTRANGE(""https://docs.google.com/spreadsheets/d/1rOGZhKHVnDGFqGTO7UNOJSkSJyQwVuEb2-yhWQit7lw/edit?gid=352620554#gid=352620554"", address(row($D39),column($D39),,,""JAVA-O""))"),46)</f>
        <v>46</v>
      </c>
      <c r="M41" s="8">
        <f t="shared" ca="1" si="6"/>
        <v>66.666666666666657</v>
      </c>
      <c r="N41" s="5">
        <f ca="1">IFERROR(__xludf.DUMMYFUNCTION("IMPORTRANGE(""https://docs.google.com/spreadsheets/d/1rOGZhKHVnDGFqGTO7UNOJSkSJyQwVuEb2-yhWQit7lw/edit?gid=1434800060#gid=1434800060"", address(row($D39),column($D39),,,""FOSS LAB-O""))"),21)</f>
        <v>21</v>
      </c>
      <c r="O41" s="8">
        <f t="shared" ca="1" si="7"/>
        <v>63.636363636363633</v>
      </c>
      <c r="P41" s="5">
        <f ca="1">IFERROR(__xludf.DUMMYFUNCTION("IMPORTRANGE(""https://docs.google.com/spreadsheets/d/1rOGZhKHVnDGFqGTO7UNOJSkSJyQwVuEb2-yhWQit7lw/edit?gid=1510845942#gid=1510845942"", address(row($D39),column($D39),,,""PP-O""))"),32)</f>
        <v>32</v>
      </c>
      <c r="Q41" s="8">
        <f t="shared" ca="1" si="8"/>
        <v>80</v>
      </c>
      <c r="R41" s="5">
        <f ca="1">IFERROR(__xludf.DUMMYFUNCTION("IMPORTRANGE(""https://docs.google.com/spreadsheets/d/1rOGZhKHVnDGFqGTO7UNOJSkSJyQwVuEb2-yhWQit7lw/edit?gid=655644728#gid=655644728"", address(row($D39),column($D39),,,""NPTEL-O""))"),26)</f>
        <v>26</v>
      </c>
      <c r="S41" s="5">
        <f t="shared" ca="1" si="9"/>
        <v>86.666666666666671</v>
      </c>
      <c r="T41" s="6">
        <f ca="1">IFERROR(__xludf.DUMMYFUNCTION("IMPORTRANGE(""https://docs.google.com/spreadsheets/d/1rOGZhKHVnDGFqGTO7UNOJSkSJyQwVuEb2-yhWQit7lw/edit?gid=1409420437#gid=1409420437"", address(row($D39),column($D39),,,""CRT-O""))"),70)</f>
        <v>70</v>
      </c>
      <c r="U41" s="8">
        <f t="shared" ca="1" si="10"/>
        <v>76.923076923076934</v>
      </c>
      <c r="V41" s="6">
        <f t="shared" ca="1" si="0"/>
        <v>308</v>
      </c>
      <c r="W41" s="4">
        <f t="shared" ca="1" si="11"/>
        <v>73</v>
      </c>
      <c r="X41" s="4">
        <v>0</v>
      </c>
      <c r="Y41" s="4">
        <v>0</v>
      </c>
      <c r="Z41" s="4">
        <f t="shared" ca="1" si="1"/>
        <v>308</v>
      </c>
      <c r="AA41" s="10">
        <f t="shared" ca="1" si="12"/>
        <v>73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 spans="1:39" ht="15.85" customHeight="1" x14ac:dyDescent="0.3">
      <c r="A42" s="8">
        <v>37</v>
      </c>
      <c r="B42" s="11" t="s">
        <v>386</v>
      </c>
      <c r="C42" s="11" t="s">
        <v>387</v>
      </c>
      <c r="D42" s="5">
        <f ca="1">IFERROR(__xludf.DUMMYFUNCTION("IMPORTRANGE(""https://docs.google.com/spreadsheets/d/1rOGZhKHVnDGFqGTO7UNOJSkSJyQwVuEb2-yhWQit7lw/edit?gid=1653662536#gid=1653662536"", address(row($D40),column($D40),,,""DM&amp;GT-O""))"),18)</f>
        <v>18</v>
      </c>
      <c r="E42" s="8">
        <f t="shared" ca="1" si="2"/>
        <v>72</v>
      </c>
      <c r="F42" s="5">
        <f ca="1">IFERROR(__xludf.DUMMYFUNCTION("IMPORTRANGE(""https://docs.google.com/spreadsheets/d/1rOGZhKHVnDGFqGTO7UNOJSkSJyQwVuEb2-yhWQit7lw/edit?gid=1900628561#gid=1900628561"", address(row($D40),column($D40),,,""UHV-O""))"),22)</f>
        <v>22</v>
      </c>
      <c r="G42" s="8">
        <f t="shared" ca="1" si="3"/>
        <v>68.75</v>
      </c>
      <c r="H42" s="5">
        <f ca="1">IFERROR(__xludf.DUMMYFUNCTION("IMPORTRANGE(""https://docs.google.com/spreadsheets/d/1rOGZhKHVnDGFqGTO7UNOJSkSJyQwVuEb2-yhWQit7lw/edit?gid=95164189#gid=95164189"", address(row($D40),column($D40),,,""DL&amp;CO-O""))"),26)</f>
        <v>26</v>
      </c>
      <c r="I42" s="8">
        <f t="shared" ca="1" si="4"/>
        <v>66.666666666666657</v>
      </c>
      <c r="J42" s="5">
        <f ca="1">IFERROR(__xludf.DUMMYFUNCTION("IMPORTRANGE(""https://docs.google.com/spreadsheets/d/1rOGZhKHVnDGFqGTO7UNOJSkSJyQwVuEb2-yhWQit7lw/edit?gid=2139275483#gid=2139275483"", address(row($D40),column($D40),,,""ADSA-O""))"),43)</f>
        <v>43</v>
      </c>
      <c r="K42" s="8">
        <f t="shared" ca="1" si="5"/>
        <v>69.354838709677423</v>
      </c>
      <c r="L42" s="5">
        <f ca="1">IFERROR(__xludf.DUMMYFUNCTION("IMPORTRANGE(""https://docs.google.com/spreadsheets/d/1rOGZhKHVnDGFqGTO7UNOJSkSJyQwVuEb2-yhWQit7lw/edit?gid=352620554#gid=352620554"", address(row($D40),column($D40),,,""JAVA-O""))"),42)</f>
        <v>42</v>
      </c>
      <c r="M42" s="8">
        <f t="shared" ca="1" si="6"/>
        <v>60.869565217391312</v>
      </c>
      <c r="N42" s="5">
        <f ca="1">IFERROR(__xludf.DUMMYFUNCTION("IMPORTRANGE(""https://docs.google.com/spreadsheets/d/1rOGZhKHVnDGFqGTO7UNOJSkSJyQwVuEb2-yhWQit7lw/edit?gid=1434800060#gid=1434800060"", address(row($D40),column($D40),,,""FOSS LAB-O""))"),24)</f>
        <v>24</v>
      </c>
      <c r="O42" s="8">
        <f t="shared" ca="1" si="7"/>
        <v>72.727272727272734</v>
      </c>
      <c r="P42" s="5">
        <f ca="1">IFERROR(__xludf.DUMMYFUNCTION("IMPORTRANGE(""https://docs.google.com/spreadsheets/d/1rOGZhKHVnDGFqGTO7UNOJSkSJyQwVuEb2-yhWQit7lw/edit?gid=1510845942#gid=1510845942"", address(row($D40),column($D40),,,""PP-O""))"),28)</f>
        <v>28</v>
      </c>
      <c r="Q42" s="8">
        <f t="shared" ca="1" si="8"/>
        <v>70</v>
      </c>
      <c r="R42" s="5">
        <f ca="1">IFERROR(__xludf.DUMMYFUNCTION("IMPORTRANGE(""https://docs.google.com/spreadsheets/d/1rOGZhKHVnDGFqGTO7UNOJSkSJyQwVuEb2-yhWQit7lw/edit?gid=655644728#gid=655644728"", address(row($D40),column($D40),,,""NPTEL-O""))"),24)</f>
        <v>24</v>
      </c>
      <c r="S42" s="5">
        <f t="shared" ca="1" si="9"/>
        <v>80</v>
      </c>
      <c r="T42" s="6">
        <f ca="1">IFERROR(__xludf.DUMMYFUNCTION("IMPORTRANGE(""https://docs.google.com/spreadsheets/d/1rOGZhKHVnDGFqGTO7UNOJSkSJyQwVuEb2-yhWQit7lw/edit?gid=1409420437#gid=1409420437"", address(row($D40),column($D40),,,""CRT-O""))"),77)</f>
        <v>77</v>
      </c>
      <c r="U42" s="8">
        <f t="shared" ca="1" si="10"/>
        <v>84.615384615384613</v>
      </c>
      <c r="V42" s="6">
        <f t="shared" ca="1" si="0"/>
        <v>304</v>
      </c>
      <c r="W42" s="4">
        <f t="shared" ca="1" si="11"/>
        <v>72</v>
      </c>
      <c r="X42" s="4">
        <v>0</v>
      </c>
      <c r="Y42" s="4">
        <v>0</v>
      </c>
      <c r="Z42" s="4">
        <f t="shared" ca="1" si="1"/>
        <v>304</v>
      </c>
      <c r="AA42" s="10">
        <f t="shared" ca="1" si="12"/>
        <v>72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 spans="1:39" ht="15.85" customHeight="1" x14ac:dyDescent="0.3">
      <c r="A43" s="8">
        <v>38</v>
      </c>
      <c r="B43" s="11" t="s">
        <v>388</v>
      </c>
      <c r="C43" s="11" t="s">
        <v>389</v>
      </c>
      <c r="D43" s="5">
        <f ca="1">IFERROR(__xludf.DUMMYFUNCTION("IMPORTRANGE(""https://docs.google.com/spreadsheets/d/1rOGZhKHVnDGFqGTO7UNOJSkSJyQwVuEb2-yhWQit7lw/edit?gid=1653662536#gid=1653662536"", address(row($D41),column($D41),,,""DM&amp;GT-O""))"),19)</f>
        <v>19</v>
      </c>
      <c r="E43" s="8">
        <f t="shared" ca="1" si="2"/>
        <v>76</v>
      </c>
      <c r="F43" s="5">
        <f ca="1">IFERROR(__xludf.DUMMYFUNCTION("IMPORTRANGE(""https://docs.google.com/spreadsheets/d/1rOGZhKHVnDGFqGTO7UNOJSkSJyQwVuEb2-yhWQit7lw/edit?gid=1900628561#gid=1900628561"", address(row($D41),column($D41),,,""UHV-O""))"),20)</f>
        <v>20</v>
      </c>
      <c r="G43" s="8">
        <f t="shared" ca="1" si="3"/>
        <v>62.5</v>
      </c>
      <c r="H43" s="5">
        <f ca="1">IFERROR(__xludf.DUMMYFUNCTION("IMPORTRANGE(""https://docs.google.com/spreadsheets/d/1rOGZhKHVnDGFqGTO7UNOJSkSJyQwVuEb2-yhWQit7lw/edit?gid=95164189#gid=95164189"", address(row($D41),column($D41),,,""DL&amp;CO-O""))"),27)</f>
        <v>27</v>
      </c>
      <c r="I43" s="8">
        <f t="shared" ca="1" si="4"/>
        <v>69.230769230769226</v>
      </c>
      <c r="J43" s="5">
        <f ca="1">IFERROR(__xludf.DUMMYFUNCTION("IMPORTRANGE(""https://docs.google.com/spreadsheets/d/1rOGZhKHVnDGFqGTO7UNOJSkSJyQwVuEb2-yhWQit7lw/edit?gid=2139275483#gid=2139275483"", address(row($D41),column($D41),,,""ADSA-O""))"),49)</f>
        <v>49</v>
      </c>
      <c r="K43" s="8">
        <f t="shared" ca="1" si="5"/>
        <v>79.032258064516128</v>
      </c>
      <c r="L43" s="5">
        <f ca="1">IFERROR(__xludf.DUMMYFUNCTION("IMPORTRANGE(""https://docs.google.com/spreadsheets/d/1rOGZhKHVnDGFqGTO7UNOJSkSJyQwVuEb2-yhWQit7lw/edit?gid=352620554#gid=352620554"", address(row($D41),column($D41),,,""JAVA-O""))"),45)</f>
        <v>45</v>
      </c>
      <c r="M43" s="8">
        <f t="shared" ca="1" si="6"/>
        <v>65.217391304347828</v>
      </c>
      <c r="N43" s="5">
        <f ca="1">IFERROR(__xludf.DUMMYFUNCTION("IMPORTRANGE(""https://docs.google.com/spreadsheets/d/1rOGZhKHVnDGFqGTO7UNOJSkSJyQwVuEb2-yhWQit7lw/edit?gid=1434800060#gid=1434800060"", address(row($D41),column($D41),,,""FOSS LAB-O""))"),24)</f>
        <v>24</v>
      </c>
      <c r="O43" s="8">
        <f t="shared" ca="1" si="7"/>
        <v>72.727272727272734</v>
      </c>
      <c r="P43" s="5">
        <f ca="1">IFERROR(__xludf.DUMMYFUNCTION("IMPORTRANGE(""https://docs.google.com/spreadsheets/d/1rOGZhKHVnDGFqGTO7UNOJSkSJyQwVuEb2-yhWQit7lw/edit?gid=1510845942#gid=1510845942"", address(row($D41),column($D41),,,""PP-O""))"),30)</f>
        <v>30</v>
      </c>
      <c r="Q43" s="8">
        <f t="shared" ca="1" si="8"/>
        <v>75</v>
      </c>
      <c r="R43" s="5">
        <f ca="1">IFERROR(__xludf.DUMMYFUNCTION("IMPORTRANGE(""https://docs.google.com/spreadsheets/d/1rOGZhKHVnDGFqGTO7UNOJSkSJyQwVuEb2-yhWQit7lw/edit?gid=655644728#gid=655644728"", address(row($D41),column($D41),,,""NPTEL-O""))"),24)</f>
        <v>24</v>
      </c>
      <c r="S43" s="5">
        <f t="shared" ca="1" si="9"/>
        <v>80</v>
      </c>
      <c r="T43" s="6">
        <f ca="1">IFERROR(__xludf.DUMMYFUNCTION("IMPORTRANGE(""https://docs.google.com/spreadsheets/d/1rOGZhKHVnDGFqGTO7UNOJSkSJyQwVuEb2-yhWQit7lw/edit?gid=1409420437#gid=1409420437"", address(row($D41),column($D41),,,""CRT-O""))"),81)</f>
        <v>81</v>
      </c>
      <c r="U43" s="8">
        <f t="shared" ca="1" si="10"/>
        <v>89.010989010989007</v>
      </c>
      <c r="V43" s="6">
        <f t="shared" ca="1" si="0"/>
        <v>319</v>
      </c>
      <c r="W43" s="4">
        <f t="shared" ca="1" si="11"/>
        <v>76</v>
      </c>
      <c r="X43" s="4">
        <v>0</v>
      </c>
      <c r="Y43" s="4">
        <v>0</v>
      </c>
      <c r="Z43" s="4">
        <f t="shared" ca="1" si="1"/>
        <v>319</v>
      </c>
      <c r="AA43" s="10">
        <f t="shared" ca="1" si="12"/>
        <v>76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 spans="1:39" ht="15.85" customHeight="1" x14ac:dyDescent="0.3">
      <c r="A44" s="8">
        <v>39</v>
      </c>
      <c r="B44" s="11" t="s">
        <v>390</v>
      </c>
      <c r="C44" s="11" t="s">
        <v>391</v>
      </c>
      <c r="D44" s="5">
        <f ca="1">IFERROR(__xludf.DUMMYFUNCTION("IMPORTRANGE(""https://docs.google.com/spreadsheets/d/1rOGZhKHVnDGFqGTO7UNOJSkSJyQwVuEb2-yhWQit7lw/edit?gid=1653662536#gid=1653662536"", address(row($D42),column($D42),,,""DM&amp;GT-O""))"),13)</f>
        <v>13</v>
      </c>
      <c r="E44" s="8">
        <f t="shared" ca="1" si="2"/>
        <v>52</v>
      </c>
      <c r="F44" s="5">
        <f ca="1">IFERROR(__xludf.DUMMYFUNCTION("IMPORTRANGE(""https://docs.google.com/spreadsheets/d/1rOGZhKHVnDGFqGTO7UNOJSkSJyQwVuEb2-yhWQit7lw/edit?gid=1900628561#gid=1900628561"", address(row($D42),column($D42),,,""UHV-O""))"),19)</f>
        <v>19</v>
      </c>
      <c r="G44" s="8">
        <f t="shared" ca="1" si="3"/>
        <v>59.375</v>
      </c>
      <c r="H44" s="5">
        <f ca="1">IFERROR(__xludf.DUMMYFUNCTION("IMPORTRANGE(""https://docs.google.com/spreadsheets/d/1rOGZhKHVnDGFqGTO7UNOJSkSJyQwVuEb2-yhWQit7lw/edit?gid=95164189#gid=95164189"", address(row($D42),column($D42),,,""DL&amp;CO-O""))"),22)</f>
        <v>22</v>
      </c>
      <c r="I44" s="8">
        <f t="shared" ca="1" si="4"/>
        <v>56.410256410256409</v>
      </c>
      <c r="J44" s="5">
        <f ca="1">IFERROR(__xludf.DUMMYFUNCTION("IMPORTRANGE(""https://docs.google.com/spreadsheets/d/1rOGZhKHVnDGFqGTO7UNOJSkSJyQwVuEb2-yhWQit7lw/edit?gid=2139275483#gid=2139275483"", address(row($D42),column($D42),,,""ADSA-O""))"),37)</f>
        <v>37</v>
      </c>
      <c r="K44" s="8">
        <f t="shared" ca="1" si="5"/>
        <v>59.677419354838712</v>
      </c>
      <c r="L44" s="5">
        <f ca="1">IFERROR(__xludf.DUMMYFUNCTION("IMPORTRANGE(""https://docs.google.com/spreadsheets/d/1rOGZhKHVnDGFqGTO7UNOJSkSJyQwVuEb2-yhWQit7lw/edit?gid=352620554#gid=352620554"", address(row($D42),column($D42),,,""JAVA-O""))"),43)</f>
        <v>43</v>
      </c>
      <c r="M44" s="8">
        <f t="shared" ca="1" si="6"/>
        <v>62.318840579710141</v>
      </c>
      <c r="N44" s="5">
        <f ca="1">IFERROR(__xludf.DUMMYFUNCTION("IMPORTRANGE(""https://docs.google.com/spreadsheets/d/1rOGZhKHVnDGFqGTO7UNOJSkSJyQwVuEb2-yhWQit7lw/edit?gid=1434800060#gid=1434800060"", address(row($D42),column($D42),,,""FOSS LAB-O""))"),19)</f>
        <v>19</v>
      </c>
      <c r="O44" s="8">
        <f t="shared" ca="1" si="7"/>
        <v>57.575757575757578</v>
      </c>
      <c r="P44" s="5">
        <f ca="1">IFERROR(__xludf.DUMMYFUNCTION("IMPORTRANGE(""https://docs.google.com/spreadsheets/d/1rOGZhKHVnDGFqGTO7UNOJSkSJyQwVuEb2-yhWQit7lw/edit?gid=1510845942#gid=1510845942"", address(row($D42),column($D42),,,""PP-O""))"),28)</f>
        <v>28</v>
      </c>
      <c r="Q44" s="8">
        <f t="shared" ca="1" si="8"/>
        <v>70</v>
      </c>
      <c r="R44" s="5">
        <f ca="1">IFERROR(__xludf.DUMMYFUNCTION("IMPORTRANGE(""https://docs.google.com/spreadsheets/d/1rOGZhKHVnDGFqGTO7UNOJSkSJyQwVuEb2-yhWQit7lw/edit?gid=655644728#gid=655644728"", address(row($D42),column($D42),,,""NPTEL-O""))"),20)</f>
        <v>20</v>
      </c>
      <c r="S44" s="5">
        <f t="shared" ca="1" si="9"/>
        <v>66.666666666666657</v>
      </c>
      <c r="T44" s="6">
        <f ca="1">IFERROR(__xludf.DUMMYFUNCTION("IMPORTRANGE(""https://docs.google.com/spreadsheets/d/1rOGZhKHVnDGFqGTO7UNOJSkSJyQwVuEb2-yhWQit7lw/edit?gid=1409420437#gid=1409420437"", address(row($D42),column($D42),,,""CRT-O""))"),77)</f>
        <v>77</v>
      </c>
      <c r="U44" s="8">
        <f t="shared" ca="1" si="10"/>
        <v>84.615384615384613</v>
      </c>
      <c r="V44" s="6">
        <f t="shared" ca="1" si="0"/>
        <v>278</v>
      </c>
      <c r="W44" s="4">
        <f t="shared" ca="1" si="11"/>
        <v>66</v>
      </c>
      <c r="X44" s="4">
        <v>0</v>
      </c>
      <c r="Y44" s="4">
        <v>0</v>
      </c>
      <c r="Z44" s="4">
        <f t="shared" ca="1" si="1"/>
        <v>278</v>
      </c>
      <c r="AA44" s="10">
        <f t="shared" ca="1" si="12"/>
        <v>66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 spans="1:39" ht="15.85" customHeight="1" x14ac:dyDescent="0.3">
      <c r="A45" s="8">
        <v>40</v>
      </c>
      <c r="B45" s="11" t="s">
        <v>392</v>
      </c>
      <c r="C45" s="11" t="s">
        <v>393</v>
      </c>
      <c r="D45" s="5">
        <f ca="1">IFERROR(__xludf.DUMMYFUNCTION("IMPORTRANGE(""https://docs.google.com/spreadsheets/d/1rOGZhKHVnDGFqGTO7UNOJSkSJyQwVuEb2-yhWQit7lw/edit?gid=1653662536#gid=1653662536"", address(row($D43),column($D43),,,""DM&amp;GT-O""))"),8)</f>
        <v>8</v>
      </c>
      <c r="E45" s="8">
        <f t="shared" ca="1" si="2"/>
        <v>32</v>
      </c>
      <c r="F45" s="5">
        <f ca="1">IFERROR(__xludf.DUMMYFUNCTION("IMPORTRANGE(""https://docs.google.com/spreadsheets/d/1rOGZhKHVnDGFqGTO7UNOJSkSJyQwVuEb2-yhWQit7lw/edit?gid=1900628561#gid=1900628561"", address(row($D43),column($D43),,,""UHV-O""))"),12)</f>
        <v>12</v>
      </c>
      <c r="G45" s="8">
        <f t="shared" ca="1" si="3"/>
        <v>37.5</v>
      </c>
      <c r="H45" s="5">
        <f ca="1">IFERROR(__xludf.DUMMYFUNCTION("IMPORTRANGE(""https://docs.google.com/spreadsheets/d/1rOGZhKHVnDGFqGTO7UNOJSkSJyQwVuEb2-yhWQit7lw/edit?gid=95164189#gid=95164189"", address(row($D43),column($D43),,,""DL&amp;CO-O""))"),15)</f>
        <v>15</v>
      </c>
      <c r="I45" s="8">
        <f t="shared" ca="1" si="4"/>
        <v>38.461538461538467</v>
      </c>
      <c r="J45" s="5">
        <f ca="1">IFERROR(__xludf.DUMMYFUNCTION("IMPORTRANGE(""https://docs.google.com/spreadsheets/d/1rOGZhKHVnDGFqGTO7UNOJSkSJyQwVuEb2-yhWQit7lw/edit?gid=2139275483#gid=2139275483"", address(row($D43),column($D43),,,""ADSA-O""))"),30)</f>
        <v>30</v>
      </c>
      <c r="K45" s="8">
        <f t="shared" ca="1" si="5"/>
        <v>48.387096774193552</v>
      </c>
      <c r="L45" s="5">
        <f ca="1">IFERROR(__xludf.DUMMYFUNCTION("IMPORTRANGE(""https://docs.google.com/spreadsheets/d/1rOGZhKHVnDGFqGTO7UNOJSkSJyQwVuEb2-yhWQit7lw/edit?gid=352620554#gid=352620554"", address(row($D43),column($D43),,,""JAVA-O""))"),22)</f>
        <v>22</v>
      </c>
      <c r="M45" s="8">
        <f t="shared" ca="1" si="6"/>
        <v>31.884057971014489</v>
      </c>
      <c r="N45" s="5">
        <f ca="1">IFERROR(__xludf.DUMMYFUNCTION("IMPORTRANGE(""https://docs.google.com/spreadsheets/d/1rOGZhKHVnDGFqGTO7UNOJSkSJyQwVuEb2-yhWQit7lw/edit?gid=1434800060#gid=1434800060"", address(row($D43),column($D43),,,""FOSS LAB-O""))"),18)</f>
        <v>18</v>
      </c>
      <c r="O45" s="8">
        <f t="shared" ca="1" si="7"/>
        <v>54.54545454545454</v>
      </c>
      <c r="P45" s="5">
        <f ca="1">IFERROR(__xludf.DUMMYFUNCTION("IMPORTRANGE(""https://docs.google.com/spreadsheets/d/1rOGZhKHVnDGFqGTO7UNOJSkSJyQwVuEb2-yhWQit7lw/edit?gid=1510845942#gid=1510845942"", address(row($D43),column($D43),,,""PP-O""))"),20)</f>
        <v>20</v>
      </c>
      <c r="Q45" s="8">
        <f t="shared" ca="1" si="8"/>
        <v>50</v>
      </c>
      <c r="R45" s="5">
        <f ca="1">IFERROR(__xludf.DUMMYFUNCTION("IMPORTRANGE(""https://docs.google.com/spreadsheets/d/1rOGZhKHVnDGFqGTO7UNOJSkSJyQwVuEb2-yhWQit7lw/edit?gid=655644728#gid=655644728"", address(row($D43),column($D43),,,""NPTEL-O""))"),22)</f>
        <v>22</v>
      </c>
      <c r="S45" s="5">
        <f t="shared" ca="1" si="9"/>
        <v>73.333333333333329</v>
      </c>
      <c r="T45" s="6">
        <f ca="1">IFERROR(__xludf.DUMMYFUNCTION("IMPORTRANGE(""https://docs.google.com/spreadsheets/d/1rOGZhKHVnDGFqGTO7UNOJSkSJyQwVuEb2-yhWQit7lw/edit?gid=1409420437#gid=1409420437"", address(row($D43),column($D43),,,""CRT-O""))"),51)</f>
        <v>51</v>
      </c>
      <c r="U45" s="8">
        <f t="shared" ca="1" si="10"/>
        <v>56.043956043956044</v>
      </c>
      <c r="V45" s="6">
        <f t="shared" ca="1" si="0"/>
        <v>198</v>
      </c>
      <c r="W45" s="4">
        <f t="shared" ca="1" si="11"/>
        <v>47</v>
      </c>
      <c r="X45" s="4">
        <v>0</v>
      </c>
      <c r="Y45" s="4">
        <v>0</v>
      </c>
      <c r="Z45" s="4">
        <f t="shared" ca="1" si="1"/>
        <v>198</v>
      </c>
      <c r="AA45" s="10">
        <f t="shared" ca="1" si="12"/>
        <v>47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 spans="1:39" ht="15.85" customHeight="1" x14ac:dyDescent="0.3">
      <c r="A46" s="8">
        <v>41</v>
      </c>
      <c r="B46" s="11" t="s">
        <v>394</v>
      </c>
      <c r="C46" s="11" t="s">
        <v>395</v>
      </c>
      <c r="D46" s="5">
        <f ca="1">IFERROR(__xludf.DUMMYFUNCTION("IMPORTRANGE(""https://docs.google.com/spreadsheets/d/1rOGZhKHVnDGFqGTO7UNOJSkSJyQwVuEb2-yhWQit7lw/edit?gid=1653662536#gid=1653662536"", address(row($D44),column($D44),,,""DM&amp;GT-O""))"),12)</f>
        <v>12</v>
      </c>
      <c r="E46" s="8">
        <f t="shared" ca="1" si="2"/>
        <v>48</v>
      </c>
      <c r="F46" s="5">
        <f ca="1">IFERROR(__xludf.DUMMYFUNCTION("IMPORTRANGE(""https://docs.google.com/spreadsheets/d/1rOGZhKHVnDGFqGTO7UNOJSkSJyQwVuEb2-yhWQit7lw/edit?gid=1900628561#gid=1900628561"", address(row($D44),column($D44),,,""UHV-O""))"),20)</f>
        <v>20</v>
      </c>
      <c r="G46" s="8">
        <f t="shared" ca="1" si="3"/>
        <v>62.5</v>
      </c>
      <c r="H46" s="5">
        <f ca="1">IFERROR(__xludf.DUMMYFUNCTION("IMPORTRANGE(""https://docs.google.com/spreadsheets/d/1rOGZhKHVnDGFqGTO7UNOJSkSJyQwVuEb2-yhWQit7lw/edit?gid=95164189#gid=95164189"", address(row($D44),column($D44),,,""DL&amp;CO-O""))"),24)</f>
        <v>24</v>
      </c>
      <c r="I46" s="8">
        <f t="shared" ca="1" si="4"/>
        <v>61.53846153846154</v>
      </c>
      <c r="J46" s="5">
        <f ca="1">IFERROR(__xludf.DUMMYFUNCTION("IMPORTRANGE(""https://docs.google.com/spreadsheets/d/1rOGZhKHVnDGFqGTO7UNOJSkSJyQwVuEb2-yhWQit7lw/edit?gid=2139275483#gid=2139275483"", address(row($D44),column($D44),,,""ADSA-O""))"),35)</f>
        <v>35</v>
      </c>
      <c r="K46" s="8">
        <f t="shared" ca="1" si="5"/>
        <v>56.451612903225815</v>
      </c>
      <c r="L46" s="5">
        <f ca="1">IFERROR(__xludf.DUMMYFUNCTION("IMPORTRANGE(""https://docs.google.com/spreadsheets/d/1rOGZhKHVnDGFqGTO7UNOJSkSJyQwVuEb2-yhWQit7lw/edit?gid=352620554#gid=352620554"", address(row($D44),column($D44),,,""JAVA-O""))"),45)</f>
        <v>45</v>
      </c>
      <c r="M46" s="8">
        <f t="shared" ca="1" si="6"/>
        <v>65.217391304347828</v>
      </c>
      <c r="N46" s="5">
        <f ca="1">IFERROR(__xludf.DUMMYFUNCTION("IMPORTRANGE(""https://docs.google.com/spreadsheets/d/1rOGZhKHVnDGFqGTO7UNOJSkSJyQwVuEb2-yhWQit7lw/edit?gid=1434800060#gid=1434800060"", address(row($D44),column($D44),,,""FOSS LAB-O""))"),25)</f>
        <v>25</v>
      </c>
      <c r="O46" s="8">
        <f t="shared" ca="1" si="7"/>
        <v>75.757575757575751</v>
      </c>
      <c r="P46" s="5">
        <f ca="1">IFERROR(__xludf.DUMMYFUNCTION("IMPORTRANGE(""https://docs.google.com/spreadsheets/d/1rOGZhKHVnDGFqGTO7UNOJSkSJyQwVuEb2-yhWQit7lw/edit?gid=1510845942#gid=1510845942"", address(row($D44),column($D44),,,""PP-O""))"),28)</f>
        <v>28</v>
      </c>
      <c r="Q46" s="8">
        <f t="shared" ca="1" si="8"/>
        <v>70</v>
      </c>
      <c r="R46" s="5">
        <f ca="1">IFERROR(__xludf.DUMMYFUNCTION("IMPORTRANGE(""https://docs.google.com/spreadsheets/d/1rOGZhKHVnDGFqGTO7UNOJSkSJyQwVuEb2-yhWQit7lw/edit?gid=655644728#gid=655644728"", address(row($D44),column($D44),,,""NPTEL-O""))"),26)</f>
        <v>26</v>
      </c>
      <c r="S46" s="5">
        <f t="shared" ca="1" si="9"/>
        <v>86.666666666666671</v>
      </c>
      <c r="T46" s="6">
        <f ca="1">IFERROR(__xludf.DUMMYFUNCTION("IMPORTRANGE(""https://docs.google.com/spreadsheets/d/1rOGZhKHVnDGFqGTO7UNOJSkSJyQwVuEb2-yhWQit7lw/edit?gid=1409420437#gid=1409420437"", address(row($D44),column($D44),,,""CRT-O""))"),70)</f>
        <v>70</v>
      </c>
      <c r="U46" s="8">
        <f t="shared" ca="1" si="10"/>
        <v>76.923076923076934</v>
      </c>
      <c r="V46" s="6">
        <f t="shared" ca="1" si="0"/>
        <v>285</v>
      </c>
      <c r="W46" s="4">
        <f t="shared" ca="1" si="11"/>
        <v>68</v>
      </c>
      <c r="X46" s="4">
        <v>0</v>
      </c>
      <c r="Y46" s="4">
        <v>0</v>
      </c>
      <c r="Z46" s="4">
        <f t="shared" ca="1" si="1"/>
        <v>285</v>
      </c>
      <c r="AA46" s="10">
        <f t="shared" ca="1" si="12"/>
        <v>68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 spans="1:39" ht="15.85" customHeight="1" x14ac:dyDescent="0.3">
      <c r="A47" s="8">
        <v>42</v>
      </c>
      <c r="B47" s="11" t="s">
        <v>396</v>
      </c>
      <c r="C47" s="11" t="s">
        <v>397</v>
      </c>
      <c r="D47" s="5">
        <f ca="1">IFERROR(__xludf.DUMMYFUNCTION("IMPORTRANGE(""https://docs.google.com/spreadsheets/d/1rOGZhKHVnDGFqGTO7UNOJSkSJyQwVuEb2-yhWQit7lw/edit?gid=1653662536#gid=1653662536"", address(row($D45),column($D45),,,""DM&amp;GT-O""))"),22)</f>
        <v>22</v>
      </c>
      <c r="E47" s="8">
        <f t="shared" ca="1" si="2"/>
        <v>88</v>
      </c>
      <c r="F47" s="5">
        <f ca="1">IFERROR(__xludf.DUMMYFUNCTION("IMPORTRANGE(""https://docs.google.com/spreadsheets/d/1rOGZhKHVnDGFqGTO7UNOJSkSJyQwVuEb2-yhWQit7lw/edit?gid=1900628561#gid=1900628561"", address(row($D45),column($D45),,,""UHV-O""))"),29)</f>
        <v>29</v>
      </c>
      <c r="G47" s="8">
        <f t="shared" ca="1" si="3"/>
        <v>90.625</v>
      </c>
      <c r="H47" s="5">
        <f ca="1">IFERROR(__xludf.DUMMYFUNCTION("IMPORTRANGE(""https://docs.google.com/spreadsheets/d/1rOGZhKHVnDGFqGTO7UNOJSkSJyQwVuEb2-yhWQit7lw/edit?gid=95164189#gid=95164189"", address(row($D45),column($D45),,,""DL&amp;CO-O""))"),35)</f>
        <v>35</v>
      </c>
      <c r="I47" s="8">
        <f t="shared" ca="1" si="4"/>
        <v>89.743589743589752</v>
      </c>
      <c r="J47" s="5">
        <f ca="1">IFERROR(__xludf.DUMMYFUNCTION("IMPORTRANGE(""https://docs.google.com/spreadsheets/d/1rOGZhKHVnDGFqGTO7UNOJSkSJyQwVuEb2-yhWQit7lw/edit?gid=2139275483#gid=2139275483"", address(row($D45),column($D45),,,""ADSA-O""))"),58)</f>
        <v>58</v>
      </c>
      <c r="K47" s="8">
        <f t="shared" ca="1" si="5"/>
        <v>93.548387096774192</v>
      </c>
      <c r="L47" s="5">
        <f ca="1">IFERROR(__xludf.DUMMYFUNCTION("IMPORTRANGE(""https://docs.google.com/spreadsheets/d/1rOGZhKHVnDGFqGTO7UNOJSkSJyQwVuEb2-yhWQit7lw/edit?gid=352620554#gid=352620554"", address(row($D45),column($D45),,,""JAVA-O""))"),65)</f>
        <v>65</v>
      </c>
      <c r="M47" s="8">
        <f t="shared" ca="1" si="6"/>
        <v>94.20289855072464</v>
      </c>
      <c r="N47" s="5">
        <f ca="1">IFERROR(__xludf.DUMMYFUNCTION("IMPORTRANGE(""https://docs.google.com/spreadsheets/d/1rOGZhKHVnDGFqGTO7UNOJSkSJyQwVuEb2-yhWQit7lw/edit?gid=1434800060#gid=1434800060"", address(row($D45),column($D45),,,""FOSS LAB-O""))"),33)</f>
        <v>33</v>
      </c>
      <c r="O47" s="8">
        <f t="shared" ca="1" si="7"/>
        <v>100</v>
      </c>
      <c r="P47" s="5">
        <f ca="1">IFERROR(__xludf.DUMMYFUNCTION("IMPORTRANGE(""https://docs.google.com/spreadsheets/d/1rOGZhKHVnDGFqGTO7UNOJSkSJyQwVuEb2-yhWQit7lw/edit?gid=1510845942#gid=1510845942"", address(row($D45),column($D45),,,""PP-O""))"),38)</f>
        <v>38</v>
      </c>
      <c r="Q47" s="8">
        <f t="shared" ca="1" si="8"/>
        <v>95</v>
      </c>
      <c r="R47" s="5">
        <f ca="1">IFERROR(__xludf.DUMMYFUNCTION("IMPORTRANGE(""https://docs.google.com/spreadsheets/d/1rOGZhKHVnDGFqGTO7UNOJSkSJyQwVuEb2-yhWQit7lw/edit?gid=655644728#gid=655644728"", address(row($D45),column($D45),,,""NPTEL-O""))"),26)</f>
        <v>26</v>
      </c>
      <c r="S47" s="5">
        <f t="shared" ca="1" si="9"/>
        <v>86.666666666666671</v>
      </c>
      <c r="T47" s="6">
        <f ca="1">IFERROR(__xludf.DUMMYFUNCTION("IMPORTRANGE(""https://docs.google.com/spreadsheets/d/1rOGZhKHVnDGFqGTO7UNOJSkSJyQwVuEb2-yhWQit7lw/edit?gid=1409420437#gid=1409420437"", address(row($D45),column($D45),,,""CRT-O""))"),91)</f>
        <v>91</v>
      </c>
      <c r="U47" s="8">
        <f t="shared" ca="1" si="10"/>
        <v>100</v>
      </c>
      <c r="V47" s="6">
        <f t="shared" ca="1" si="0"/>
        <v>397</v>
      </c>
      <c r="W47" s="4">
        <f t="shared" ca="1" si="11"/>
        <v>94</v>
      </c>
      <c r="X47" s="4">
        <v>0</v>
      </c>
      <c r="Y47" s="4">
        <v>0</v>
      </c>
      <c r="Z47" s="4">
        <f t="shared" ca="1" si="1"/>
        <v>397</v>
      </c>
      <c r="AA47" s="10">
        <f t="shared" ca="1" si="12"/>
        <v>94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 spans="1:39" ht="15.85" customHeight="1" x14ac:dyDescent="0.3">
      <c r="A48" s="8">
        <v>43</v>
      </c>
      <c r="B48" s="11" t="s">
        <v>398</v>
      </c>
      <c r="C48" s="11" t="s">
        <v>399</v>
      </c>
      <c r="D48" s="5">
        <f ca="1">IFERROR(__xludf.DUMMYFUNCTION("IMPORTRANGE(""https://docs.google.com/spreadsheets/d/1rOGZhKHVnDGFqGTO7UNOJSkSJyQwVuEb2-yhWQit7lw/edit?gid=1653662536#gid=1653662536"", address(row($D46),column($D46),,,""DM&amp;GT-O""))"),8)</f>
        <v>8</v>
      </c>
      <c r="E48" s="8">
        <f t="shared" ca="1" si="2"/>
        <v>32</v>
      </c>
      <c r="F48" s="5">
        <f ca="1">IFERROR(__xludf.DUMMYFUNCTION("IMPORTRANGE(""https://docs.google.com/spreadsheets/d/1rOGZhKHVnDGFqGTO7UNOJSkSJyQwVuEb2-yhWQit7lw/edit?gid=1900628561#gid=1900628561"", address(row($D46),column($D46),,,""UHV-O""))"),11)</f>
        <v>11</v>
      </c>
      <c r="G48" s="8">
        <f t="shared" ca="1" si="3"/>
        <v>34.375</v>
      </c>
      <c r="H48" s="5">
        <f ca="1">IFERROR(__xludf.DUMMYFUNCTION("IMPORTRANGE(""https://docs.google.com/spreadsheets/d/1rOGZhKHVnDGFqGTO7UNOJSkSJyQwVuEb2-yhWQit7lw/edit?gid=95164189#gid=95164189"", address(row($D46),column($D46),,,""DL&amp;CO-O""))"),11)</f>
        <v>11</v>
      </c>
      <c r="I48" s="8">
        <f t="shared" ca="1" si="4"/>
        <v>28.205128205128204</v>
      </c>
      <c r="J48" s="5">
        <f ca="1">IFERROR(__xludf.DUMMYFUNCTION("IMPORTRANGE(""https://docs.google.com/spreadsheets/d/1rOGZhKHVnDGFqGTO7UNOJSkSJyQwVuEb2-yhWQit7lw/edit?gid=2139275483#gid=2139275483"", address(row($D46),column($D46),,,""ADSA-O""))"),22)</f>
        <v>22</v>
      </c>
      <c r="K48" s="8">
        <f t="shared" ca="1" si="5"/>
        <v>35.483870967741936</v>
      </c>
      <c r="L48" s="5">
        <f ca="1">IFERROR(__xludf.DUMMYFUNCTION("IMPORTRANGE(""https://docs.google.com/spreadsheets/d/1rOGZhKHVnDGFqGTO7UNOJSkSJyQwVuEb2-yhWQit7lw/edit?gid=352620554#gid=352620554"", address(row($D46),column($D46),,,""JAVA-O""))"),24)</f>
        <v>24</v>
      </c>
      <c r="M48" s="8">
        <f t="shared" ca="1" si="6"/>
        <v>34.782608695652172</v>
      </c>
      <c r="N48" s="5">
        <f ca="1">IFERROR(__xludf.DUMMYFUNCTION("IMPORTRANGE(""https://docs.google.com/spreadsheets/d/1rOGZhKHVnDGFqGTO7UNOJSkSJyQwVuEb2-yhWQit7lw/edit?gid=1434800060#gid=1434800060"", address(row($D46),column($D46),,,""FOSS LAB-O""))"),9)</f>
        <v>9</v>
      </c>
      <c r="O48" s="8">
        <f t="shared" ca="1" si="7"/>
        <v>27.27272727272727</v>
      </c>
      <c r="P48" s="5">
        <f ca="1">IFERROR(__xludf.DUMMYFUNCTION("IMPORTRANGE(""https://docs.google.com/spreadsheets/d/1rOGZhKHVnDGFqGTO7UNOJSkSJyQwVuEb2-yhWQit7lw/edit?gid=1510845942#gid=1510845942"", address(row($D46),column($D46),,,""PP-O""))"),22)</f>
        <v>22</v>
      </c>
      <c r="Q48" s="8">
        <f t="shared" ca="1" si="8"/>
        <v>55.000000000000007</v>
      </c>
      <c r="R48" s="5">
        <f ca="1">IFERROR(__xludf.DUMMYFUNCTION("IMPORTRANGE(""https://docs.google.com/spreadsheets/d/1rOGZhKHVnDGFqGTO7UNOJSkSJyQwVuEb2-yhWQit7lw/edit?gid=655644728#gid=655644728"", address(row($D46),column($D46),,,""NPTEL-O""))"),14)</f>
        <v>14</v>
      </c>
      <c r="S48" s="5">
        <f t="shared" ca="1" si="9"/>
        <v>46.666666666666664</v>
      </c>
      <c r="T48" s="6">
        <f ca="1">IFERROR(__xludf.DUMMYFUNCTION("IMPORTRANGE(""https://docs.google.com/spreadsheets/d/1rOGZhKHVnDGFqGTO7UNOJSkSJyQwVuEb2-yhWQit7lw/edit?gid=1409420437#gid=1409420437"", address(row($D46),column($D46),,,""CRT-O""))"),60)</f>
        <v>60</v>
      </c>
      <c r="U48" s="8">
        <f t="shared" ca="1" si="10"/>
        <v>65.934065934065927</v>
      </c>
      <c r="V48" s="6">
        <f t="shared" ca="1" si="0"/>
        <v>181</v>
      </c>
      <c r="W48" s="4">
        <f t="shared" ca="1" si="11"/>
        <v>43</v>
      </c>
      <c r="X48" s="4">
        <v>0</v>
      </c>
      <c r="Y48" s="4">
        <v>0</v>
      </c>
      <c r="Z48" s="4">
        <f t="shared" ca="1" si="1"/>
        <v>181</v>
      </c>
      <c r="AA48" s="10">
        <f t="shared" ca="1" si="12"/>
        <v>43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 spans="1:39" ht="15.85" customHeight="1" x14ac:dyDescent="0.3">
      <c r="A49" s="8">
        <v>44</v>
      </c>
      <c r="B49" s="11" t="s">
        <v>400</v>
      </c>
      <c r="C49" s="11" t="s">
        <v>401</v>
      </c>
      <c r="D49" s="5">
        <f ca="1">IFERROR(__xludf.DUMMYFUNCTION("IMPORTRANGE(""https://docs.google.com/spreadsheets/d/1rOGZhKHVnDGFqGTO7UNOJSkSJyQwVuEb2-yhWQit7lw/edit?gid=1653662536#gid=1653662536"", address(row($D47),column($D47),,,""DM&amp;GT-O""))"),10)</f>
        <v>10</v>
      </c>
      <c r="E49" s="8">
        <f t="shared" ca="1" si="2"/>
        <v>40</v>
      </c>
      <c r="F49" s="5">
        <f ca="1">IFERROR(__xludf.DUMMYFUNCTION("IMPORTRANGE(""https://docs.google.com/spreadsheets/d/1rOGZhKHVnDGFqGTO7UNOJSkSJyQwVuEb2-yhWQit7lw/edit?gid=1900628561#gid=1900628561"", address(row($D47),column($D47),,,""UHV-O""))"),16)</f>
        <v>16</v>
      </c>
      <c r="G49" s="8">
        <f t="shared" ca="1" si="3"/>
        <v>50</v>
      </c>
      <c r="H49" s="5">
        <f ca="1">IFERROR(__xludf.DUMMYFUNCTION("IMPORTRANGE(""https://docs.google.com/spreadsheets/d/1rOGZhKHVnDGFqGTO7UNOJSkSJyQwVuEb2-yhWQit7lw/edit?gid=95164189#gid=95164189"", address(row($D47),column($D47),,,""DL&amp;CO-O""))"),17)</f>
        <v>17</v>
      </c>
      <c r="I49" s="8">
        <f t="shared" ca="1" si="4"/>
        <v>43.589743589743591</v>
      </c>
      <c r="J49" s="5">
        <f ca="1">IFERROR(__xludf.DUMMYFUNCTION("IMPORTRANGE(""https://docs.google.com/spreadsheets/d/1rOGZhKHVnDGFqGTO7UNOJSkSJyQwVuEb2-yhWQit7lw/edit?gid=2139275483#gid=2139275483"", address(row($D47),column($D47),,,""ADSA-O""))"),30)</f>
        <v>30</v>
      </c>
      <c r="K49" s="8">
        <f t="shared" ca="1" si="5"/>
        <v>48.387096774193552</v>
      </c>
      <c r="L49" s="5">
        <f ca="1">IFERROR(__xludf.DUMMYFUNCTION("IMPORTRANGE(""https://docs.google.com/spreadsheets/d/1rOGZhKHVnDGFqGTO7UNOJSkSJyQwVuEb2-yhWQit7lw/edit?gid=352620554#gid=352620554"", address(row($D47),column($D47),,,""JAVA-O""))"),30)</f>
        <v>30</v>
      </c>
      <c r="M49" s="8">
        <f t="shared" ca="1" si="6"/>
        <v>43.478260869565219</v>
      </c>
      <c r="N49" s="5">
        <f ca="1">IFERROR(__xludf.DUMMYFUNCTION("IMPORTRANGE(""https://docs.google.com/spreadsheets/d/1rOGZhKHVnDGFqGTO7UNOJSkSJyQwVuEb2-yhWQit7lw/edit?gid=1434800060#gid=1434800060"", address(row($D47),column($D47),,,""FOSS LAB-O""))"),21)</f>
        <v>21</v>
      </c>
      <c r="O49" s="8">
        <f t="shared" ca="1" si="7"/>
        <v>63.636363636363633</v>
      </c>
      <c r="P49" s="5">
        <f ca="1">IFERROR(__xludf.DUMMYFUNCTION("IMPORTRANGE(""https://docs.google.com/spreadsheets/d/1rOGZhKHVnDGFqGTO7UNOJSkSJyQwVuEb2-yhWQit7lw/edit?gid=1510845942#gid=1510845942"", address(row($D47),column($D47),,,""PP-O""))"),18)</f>
        <v>18</v>
      </c>
      <c r="Q49" s="8">
        <f t="shared" ca="1" si="8"/>
        <v>45</v>
      </c>
      <c r="R49" s="5">
        <f ca="1">IFERROR(__xludf.DUMMYFUNCTION("IMPORTRANGE(""https://docs.google.com/spreadsheets/d/1rOGZhKHVnDGFqGTO7UNOJSkSJyQwVuEb2-yhWQit7lw/edit?gid=655644728#gid=655644728"", address(row($D47),column($D47),,,""NPTEL-O""))"),22)</f>
        <v>22</v>
      </c>
      <c r="S49" s="5">
        <f t="shared" ca="1" si="9"/>
        <v>73.333333333333329</v>
      </c>
      <c r="T49" s="6">
        <f ca="1">IFERROR(__xludf.DUMMYFUNCTION("IMPORTRANGE(""https://docs.google.com/spreadsheets/d/1rOGZhKHVnDGFqGTO7UNOJSkSJyQwVuEb2-yhWQit7lw/edit?gid=1409420437#gid=1409420437"", address(row($D47),column($D47),,,""CRT-O""))"),35)</f>
        <v>35</v>
      </c>
      <c r="U49" s="8">
        <f t="shared" ca="1" si="10"/>
        <v>38.461538461538467</v>
      </c>
      <c r="V49" s="6">
        <f t="shared" ca="1" si="0"/>
        <v>199</v>
      </c>
      <c r="W49" s="4">
        <f t="shared" ca="1" si="11"/>
        <v>47</v>
      </c>
      <c r="X49" s="4">
        <v>0</v>
      </c>
      <c r="Y49" s="4">
        <v>0</v>
      </c>
      <c r="Z49" s="4">
        <f t="shared" ca="1" si="1"/>
        <v>199</v>
      </c>
      <c r="AA49" s="10">
        <f t="shared" ca="1" si="12"/>
        <v>47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 spans="1:39" ht="15.85" customHeight="1" x14ac:dyDescent="0.3">
      <c r="A50" s="8">
        <v>45</v>
      </c>
      <c r="B50" s="11" t="s">
        <v>402</v>
      </c>
      <c r="C50" s="11" t="s">
        <v>403</v>
      </c>
      <c r="D50" s="5">
        <f ca="1">IFERROR(__xludf.DUMMYFUNCTION("IMPORTRANGE(""https://docs.google.com/spreadsheets/d/1rOGZhKHVnDGFqGTO7UNOJSkSJyQwVuEb2-yhWQit7lw/edit?gid=1653662536#gid=1653662536"", address(row($D48),column($D48),,,""DM&amp;GT-O""))"),24)</f>
        <v>24</v>
      </c>
      <c r="E50" s="8">
        <f t="shared" ca="1" si="2"/>
        <v>96</v>
      </c>
      <c r="F50" s="5">
        <f ca="1">IFERROR(__xludf.DUMMYFUNCTION("IMPORTRANGE(""https://docs.google.com/spreadsheets/d/1rOGZhKHVnDGFqGTO7UNOJSkSJyQwVuEb2-yhWQit7lw/edit?gid=1900628561#gid=1900628561"", address(row($D48),column($D48),,,""UHV-O""))"),26)</f>
        <v>26</v>
      </c>
      <c r="G50" s="8">
        <f t="shared" ca="1" si="3"/>
        <v>81.25</v>
      </c>
      <c r="H50" s="5">
        <f ca="1">IFERROR(__xludf.DUMMYFUNCTION("IMPORTRANGE(""https://docs.google.com/spreadsheets/d/1rOGZhKHVnDGFqGTO7UNOJSkSJyQwVuEb2-yhWQit7lw/edit?gid=95164189#gid=95164189"", address(row($D48),column($D48),,,""DL&amp;CO-O""))"),37)</f>
        <v>37</v>
      </c>
      <c r="I50" s="8">
        <f t="shared" ca="1" si="4"/>
        <v>94.871794871794862</v>
      </c>
      <c r="J50" s="5">
        <f ca="1">IFERROR(__xludf.DUMMYFUNCTION("IMPORTRANGE(""https://docs.google.com/spreadsheets/d/1rOGZhKHVnDGFqGTO7UNOJSkSJyQwVuEb2-yhWQit7lw/edit?gid=2139275483#gid=2139275483"", address(row($D48),column($D48),,,""ADSA-O""))"),53)</f>
        <v>53</v>
      </c>
      <c r="K50" s="8">
        <f t="shared" ca="1" si="5"/>
        <v>85.483870967741936</v>
      </c>
      <c r="L50" s="5">
        <f ca="1">IFERROR(__xludf.DUMMYFUNCTION("IMPORTRANGE(""https://docs.google.com/spreadsheets/d/1rOGZhKHVnDGFqGTO7UNOJSkSJyQwVuEb2-yhWQit7lw/edit?gid=352620554#gid=352620554"", address(row($D48),column($D48),,,""JAVA-O""))"),52)</f>
        <v>52</v>
      </c>
      <c r="M50" s="8">
        <f t="shared" ca="1" si="6"/>
        <v>75.362318840579718</v>
      </c>
      <c r="N50" s="5">
        <f ca="1">IFERROR(__xludf.DUMMYFUNCTION("IMPORTRANGE(""https://docs.google.com/spreadsheets/d/1rOGZhKHVnDGFqGTO7UNOJSkSJyQwVuEb2-yhWQit7lw/edit?gid=1434800060#gid=1434800060"", address(row($D48),column($D48),,,""FOSS LAB-O""))"),29)</f>
        <v>29</v>
      </c>
      <c r="O50" s="8">
        <f t="shared" ca="1" si="7"/>
        <v>87.878787878787875</v>
      </c>
      <c r="P50" s="5">
        <f ca="1">IFERROR(__xludf.DUMMYFUNCTION("IMPORTRANGE(""https://docs.google.com/spreadsheets/d/1rOGZhKHVnDGFqGTO7UNOJSkSJyQwVuEb2-yhWQit7lw/edit?gid=1510845942#gid=1510845942"", address(row($D48),column($D48),,,""PP-O""))"),34)</f>
        <v>34</v>
      </c>
      <c r="Q50" s="8">
        <f t="shared" ca="1" si="8"/>
        <v>85</v>
      </c>
      <c r="R50" s="5">
        <f ca="1">IFERROR(__xludf.DUMMYFUNCTION("IMPORTRANGE(""https://docs.google.com/spreadsheets/d/1rOGZhKHVnDGFqGTO7UNOJSkSJyQwVuEb2-yhWQit7lw/edit?gid=655644728#gid=655644728"", address(row($D48),column($D48),,,""NPTEL-O""))"),30)</f>
        <v>30</v>
      </c>
      <c r="S50" s="5">
        <f t="shared" ca="1" si="9"/>
        <v>100</v>
      </c>
      <c r="T50" s="6">
        <f ca="1">IFERROR(__xludf.DUMMYFUNCTION("IMPORTRANGE(""https://docs.google.com/spreadsheets/d/1rOGZhKHVnDGFqGTO7UNOJSkSJyQwVuEb2-yhWQit7lw/edit?gid=1409420437#gid=1409420437"", address(row($D48),column($D48),,,""CRT-O""))"),84)</f>
        <v>84</v>
      </c>
      <c r="U50" s="8">
        <f t="shared" ca="1" si="10"/>
        <v>92.307692307692307</v>
      </c>
      <c r="V50" s="6">
        <f t="shared" ca="1" si="0"/>
        <v>369</v>
      </c>
      <c r="W50" s="4">
        <f t="shared" ca="1" si="11"/>
        <v>88</v>
      </c>
      <c r="X50" s="4">
        <v>0</v>
      </c>
      <c r="Y50" s="4">
        <v>0</v>
      </c>
      <c r="Z50" s="4">
        <f t="shared" ca="1" si="1"/>
        <v>369</v>
      </c>
      <c r="AA50" s="10">
        <f t="shared" ca="1" si="12"/>
        <v>88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 spans="1:39" ht="15.85" customHeight="1" x14ac:dyDescent="0.3">
      <c r="A51" s="8">
        <v>46</v>
      </c>
      <c r="B51" s="11" t="s">
        <v>404</v>
      </c>
      <c r="C51" s="11" t="s">
        <v>405</v>
      </c>
      <c r="D51" s="5">
        <f ca="1">IFERROR(__xludf.DUMMYFUNCTION("IMPORTRANGE(""https://docs.google.com/spreadsheets/d/1rOGZhKHVnDGFqGTO7UNOJSkSJyQwVuEb2-yhWQit7lw/edit?gid=1653662536#gid=1653662536"", address(row($D49),column($D49),,,""DM&amp;GT-O""))"),17)</f>
        <v>17</v>
      </c>
      <c r="E51" s="8">
        <f t="shared" ca="1" si="2"/>
        <v>68</v>
      </c>
      <c r="F51" s="5">
        <f ca="1">IFERROR(__xludf.DUMMYFUNCTION("IMPORTRANGE(""https://docs.google.com/spreadsheets/d/1rOGZhKHVnDGFqGTO7UNOJSkSJyQwVuEb2-yhWQit7lw/edit?gid=1900628561#gid=1900628561"", address(row($D49),column($D49),,,""UHV-O""))"),26)</f>
        <v>26</v>
      </c>
      <c r="G51" s="8">
        <f t="shared" ca="1" si="3"/>
        <v>81.25</v>
      </c>
      <c r="H51" s="5">
        <f ca="1">IFERROR(__xludf.DUMMYFUNCTION("IMPORTRANGE(""https://docs.google.com/spreadsheets/d/1rOGZhKHVnDGFqGTO7UNOJSkSJyQwVuEb2-yhWQit7lw/edit?gid=95164189#gid=95164189"", address(row($D49),column($D49),,,""DL&amp;CO-O""))"),26)</f>
        <v>26</v>
      </c>
      <c r="I51" s="8">
        <f t="shared" ca="1" si="4"/>
        <v>66.666666666666657</v>
      </c>
      <c r="J51" s="5">
        <f ca="1">IFERROR(__xludf.DUMMYFUNCTION("IMPORTRANGE(""https://docs.google.com/spreadsheets/d/1rOGZhKHVnDGFqGTO7UNOJSkSJyQwVuEb2-yhWQit7lw/edit?gid=2139275483#gid=2139275483"", address(row($D49),column($D49),,,""ADSA-O""))"),42)</f>
        <v>42</v>
      </c>
      <c r="K51" s="8">
        <f t="shared" ca="1" si="5"/>
        <v>67.741935483870961</v>
      </c>
      <c r="L51" s="5">
        <f ca="1">IFERROR(__xludf.DUMMYFUNCTION("IMPORTRANGE(""https://docs.google.com/spreadsheets/d/1rOGZhKHVnDGFqGTO7UNOJSkSJyQwVuEb2-yhWQit7lw/edit?gid=352620554#gid=352620554"", address(row($D49),column($D49),,,""JAVA-O""))"),41)</f>
        <v>41</v>
      </c>
      <c r="M51" s="8">
        <f t="shared" ca="1" si="6"/>
        <v>59.420289855072461</v>
      </c>
      <c r="N51" s="5">
        <f ca="1">IFERROR(__xludf.DUMMYFUNCTION("IMPORTRANGE(""https://docs.google.com/spreadsheets/d/1rOGZhKHVnDGFqGTO7UNOJSkSJyQwVuEb2-yhWQit7lw/edit?gid=1434800060#gid=1434800060"", address(row($D49),column($D49),,,""FOSS LAB-O""))"),18)</f>
        <v>18</v>
      </c>
      <c r="O51" s="8">
        <f t="shared" ca="1" si="7"/>
        <v>54.54545454545454</v>
      </c>
      <c r="P51" s="5">
        <f ca="1">IFERROR(__xludf.DUMMYFUNCTION("IMPORTRANGE(""https://docs.google.com/spreadsheets/d/1rOGZhKHVnDGFqGTO7UNOJSkSJyQwVuEb2-yhWQit7lw/edit?gid=1510845942#gid=1510845942"", address(row($D49),column($D49),,,""PP-O""))"),28)</f>
        <v>28</v>
      </c>
      <c r="Q51" s="8">
        <f t="shared" ca="1" si="8"/>
        <v>70</v>
      </c>
      <c r="R51" s="5">
        <f ca="1">IFERROR(__xludf.DUMMYFUNCTION("IMPORTRANGE(""https://docs.google.com/spreadsheets/d/1rOGZhKHVnDGFqGTO7UNOJSkSJyQwVuEb2-yhWQit7lw/edit?gid=655644728#gid=655644728"", address(row($D49),column($D49),,,""NPTEL-O""))"),22)</f>
        <v>22</v>
      </c>
      <c r="S51" s="5">
        <f t="shared" ca="1" si="9"/>
        <v>73.333333333333329</v>
      </c>
      <c r="T51" s="6">
        <f ca="1">IFERROR(__xludf.DUMMYFUNCTION("IMPORTRANGE(""https://docs.google.com/spreadsheets/d/1rOGZhKHVnDGFqGTO7UNOJSkSJyQwVuEb2-yhWQit7lw/edit?gid=1409420437#gid=1409420437"", address(row($D49),column($D49),,,""CRT-O""))"),70)</f>
        <v>70</v>
      </c>
      <c r="U51" s="8">
        <f t="shared" ca="1" si="10"/>
        <v>76.923076923076934</v>
      </c>
      <c r="V51" s="6">
        <f t="shared" ca="1" si="0"/>
        <v>290</v>
      </c>
      <c r="W51" s="4">
        <f t="shared" ca="1" si="11"/>
        <v>69</v>
      </c>
      <c r="X51" s="4">
        <v>0</v>
      </c>
      <c r="Y51" s="4">
        <v>0</v>
      </c>
      <c r="Z51" s="4">
        <f t="shared" ca="1" si="1"/>
        <v>290</v>
      </c>
      <c r="AA51" s="10">
        <f t="shared" ca="1" si="12"/>
        <v>69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 spans="1:39" ht="15.85" customHeight="1" x14ac:dyDescent="0.3">
      <c r="A52" s="8">
        <v>47</v>
      </c>
      <c r="B52" s="11" t="s">
        <v>406</v>
      </c>
      <c r="C52" s="11" t="s">
        <v>407</v>
      </c>
      <c r="D52" s="5">
        <f ca="1">IFERROR(__xludf.DUMMYFUNCTION("IMPORTRANGE(""https://docs.google.com/spreadsheets/d/1rOGZhKHVnDGFqGTO7UNOJSkSJyQwVuEb2-yhWQit7lw/edit?gid=1653662536#gid=1653662536"", address(row($D50),column($D50),,,""DM&amp;GT-O""))"),22)</f>
        <v>22</v>
      </c>
      <c r="E52" s="8">
        <f t="shared" ca="1" si="2"/>
        <v>88</v>
      </c>
      <c r="F52" s="5">
        <f ca="1">IFERROR(__xludf.DUMMYFUNCTION("IMPORTRANGE(""https://docs.google.com/spreadsheets/d/1rOGZhKHVnDGFqGTO7UNOJSkSJyQwVuEb2-yhWQit7lw/edit?gid=1900628561#gid=1900628561"", address(row($D50),column($D50),,,""UHV-O""))"),24)</f>
        <v>24</v>
      </c>
      <c r="G52" s="8">
        <f t="shared" ca="1" si="3"/>
        <v>75</v>
      </c>
      <c r="H52" s="5">
        <f ca="1">IFERROR(__xludf.DUMMYFUNCTION("IMPORTRANGE(""https://docs.google.com/spreadsheets/d/1rOGZhKHVnDGFqGTO7UNOJSkSJyQwVuEb2-yhWQit7lw/edit?gid=95164189#gid=95164189"", address(row($D50),column($D50),,,""DL&amp;CO-O""))"),27)</f>
        <v>27</v>
      </c>
      <c r="I52" s="8">
        <f t="shared" ca="1" si="4"/>
        <v>69.230769230769226</v>
      </c>
      <c r="J52" s="5">
        <f ca="1">IFERROR(__xludf.DUMMYFUNCTION("IMPORTRANGE(""https://docs.google.com/spreadsheets/d/1rOGZhKHVnDGFqGTO7UNOJSkSJyQwVuEb2-yhWQit7lw/edit?gid=2139275483#gid=2139275483"", address(row($D50),column($D50),,,""ADSA-O""))"),46)</f>
        <v>46</v>
      </c>
      <c r="K52" s="8">
        <f t="shared" ca="1" si="5"/>
        <v>74.193548387096769</v>
      </c>
      <c r="L52" s="5">
        <f ca="1">IFERROR(__xludf.DUMMYFUNCTION("IMPORTRANGE(""https://docs.google.com/spreadsheets/d/1rOGZhKHVnDGFqGTO7UNOJSkSJyQwVuEb2-yhWQit7lw/edit?gid=352620554#gid=352620554"", address(row($D50),column($D50),,,""JAVA-O""))"),53)</f>
        <v>53</v>
      </c>
      <c r="M52" s="8">
        <f t="shared" ca="1" si="6"/>
        <v>76.811594202898547</v>
      </c>
      <c r="N52" s="5">
        <f ca="1">IFERROR(__xludf.DUMMYFUNCTION("IMPORTRANGE(""https://docs.google.com/spreadsheets/d/1rOGZhKHVnDGFqGTO7UNOJSkSJyQwVuEb2-yhWQit7lw/edit?gid=1434800060#gid=1434800060"", address(row($D50),column($D50),,,""FOSS LAB-O""))"),21)</f>
        <v>21</v>
      </c>
      <c r="O52" s="8">
        <f t="shared" ca="1" si="7"/>
        <v>63.636363636363633</v>
      </c>
      <c r="P52" s="5">
        <f ca="1">IFERROR(__xludf.DUMMYFUNCTION("IMPORTRANGE(""https://docs.google.com/spreadsheets/d/1rOGZhKHVnDGFqGTO7UNOJSkSJyQwVuEb2-yhWQit7lw/edit?gid=1510845942#gid=1510845942"", address(row($D50),column($D50),,,""PP-O""))"),30)</f>
        <v>30</v>
      </c>
      <c r="Q52" s="8">
        <f t="shared" ca="1" si="8"/>
        <v>75</v>
      </c>
      <c r="R52" s="5">
        <f ca="1">IFERROR(__xludf.DUMMYFUNCTION("IMPORTRANGE(""https://docs.google.com/spreadsheets/d/1rOGZhKHVnDGFqGTO7UNOJSkSJyQwVuEb2-yhWQit7lw/edit?gid=655644728#gid=655644728"", address(row($D50),column($D50),,,""NPTEL-O""))"),20)</f>
        <v>20</v>
      </c>
      <c r="S52" s="5">
        <f t="shared" ca="1" si="9"/>
        <v>66.666666666666657</v>
      </c>
      <c r="T52" s="6">
        <f ca="1">IFERROR(__xludf.DUMMYFUNCTION("IMPORTRANGE(""https://docs.google.com/spreadsheets/d/1rOGZhKHVnDGFqGTO7UNOJSkSJyQwVuEb2-yhWQit7lw/edit?gid=1409420437#gid=1409420437"", address(row($D50),column($D50),,,""CRT-O""))"),56)</f>
        <v>56</v>
      </c>
      <c r="U52" s="8">
        <f t="shared" ca="1" si="10"/>
        <v>61.53846153846154</v>
      </c>
      <c r="V52" s="6">
        <f t="shared" ca="1" si="0"/>
        <v>299</v>
      </c>
      <c r="W52" s="4">
        <f t="shared" ca="1" si="11"/>
        <v>71</v>
      </c>
      <c r="X52" s="4">
        <v>0</v>
      </c>
      <c r="Y52" s="4">
        <v>0</v>
      </c>
      <c r="Z52" s="4">
        <f t="shared" ca="1" si="1"/>
        <v>299</v>
      </c>
      <c r="AA52" s="10">
        <f t="shared" ca="1" si="12"/>
        <v>71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 spans="1:39" ht="15.85" customHeight="1" x14ac:dyDescent="0.3">
      <c r="A53" s="8">
        <v>48</v>
      </c>
      <c r="B53" s="11" t="s">
        <v>408</v>
      </c>
      <c r="C53" s="11" t="s">
        <v>409</v>
      </c>
      <c r="D53" s="5">
        <f ca="1">IFERROR(__xludf.DUMMYFUNCTION("IMPORTRANGE(""https://docs.google.com/spreadsheets/d/1rOGZhKHVnDGFqGTO7UNOJSkSJyQwVuEb2-yhWQit7lw/edit?gid=1653662536#gid=1653662536"", address(row($D51),column($D51),,,""DM&amp;GT-O""))"),17)</f>
        <v>17</v>
      </c>
      <c r="E53" s="8">
        <f t="shared" ca="1" si="2"/>
        <v>68</v>
      </c>
      <c r="F53" s="5">
        <f ca="1">IFERROR(__xludf.DUMMYFUNCTION("IMPORTRANGE(""https://docs.google.com/spreadsheets/d/1rOGZhKHVnDGFqGTO7UNOJSkSJyQwVuEb2-yhWQit7lw/edit?gid=1900628561#gid=1900628561"", address(row($D51),column($D51),,,""UHV-O""))"),23)</f>
        <v>23</v>
      </c>
      <c r="G53" s="8">
        <f t="shared" ca="1" si="3"/>
        <v>71.875</v>
      </c>
      <c r="H53" s="5">
        <f ca="1">IFERROR(__xludf.DUMMYFUNCTION("IMPORTRANGE(""https://docs.google.com/spreadsheets/d/1rOGZhKHVnDGFqGTO7UNOJSkSJyQwVuEb2-yhWQit7lw/edit?gid=95164189#gid=95164189"", address(row($D51),column($D51),,,""DL&amp;CO-O""))"),31)</f>
        <v>31</v>
      </c>
      <c r="I53" s="8">
        <f t="shared" ca="1" si="4"/>
        <v>79.487179487179489</v>
      </c>
      <c r="J53" s="5">
        <f ca="1">IFERROR(__xludf.DUMMYFUNCTION("IMPORTRANGE(""https://docs.google.com/spreadsheets/d/1rOGZhKHVnDGFqGTO7UNOJSkSJyQwVuEb2-yhWQit7lw/edit?gid=2139275483#gid=2139275483"", address(row($D51),column($D51),,,""ADSA-O""))"),37)</f>
        <v>37</v>
      </c>
      <c r="K53" s="8">
        <f t="shared" ca="1" si="5"/>
        <v>59.677419354838712</v>
      </c>
      <c r="L53" s="5">
        <f ca="1">IFERROR(__xludf.DUMMYFUNCTION("IMPORTRANGE(""https://docs.google.com/spreadsheets/d/1rOGZhKHVnDGFqGTO7UNOJSkSJyQwVuEb2-yhWQit7lw/edit?gid=352620554#gid=352620554"", address(row($D51),column($D51),,,""JAVA-O""))"),47)</f>
        <v>47</v>
      </c>
      <c r="M53" s="8">
        <f t="shared" ca="1" si="6"/>
        <v>68.115942028985515</v>
      </c>
      <c r="N53" s="5">
        <f ca="1">IFERROR(__xludf.DUMMYFUNCTION("IMPORTRANGE(""https://docs.google.com/spreadsheets/d/1rOGZhKHVnDGFqGTO7UNOJSkSJyQwVuEb2-yhWQit7lw/edit?gid=1434800060#gid=1434800060"", address(row($D51),column($D51),,,""FOSS LAB-O""))"),23)</f>
        <v>23</v>
      </c>
      <c r="O53" s="8">
        <f t="shared" ca="1" si="7"/>
        <v>69.696969696969703</v>
      </c>
      <c r="P53" s="5">
        <f ca="1">IFERROR(__xludf.DUMMYFUNCTION("IMPORTRANGE(""https://docs.google.com/spreadsheets/d/1rOGZhKHVnDGFqGTO7UNOJSkSJyQwVuEb2-yhWQit7lw/edit?gid=1510845942#gid=1510845942"", address(row($D51),column($D51),,,""PP-O""))"),28)</f>
        <v>28</v>
      </c>
      <c r="Q53" s="8">
        <f t="shared" ca="1" si="8"/>
        <v>70</v>
      </c>
      <c r="R53" s="5">
        <f ca="1">IFERROR(__xludf.DUMMYFUNCTION("IMPORTRANGE(""https://docs.google.com/spreadsheets/d/1rOGZhKHVnDGFqGTO7UNOJSkSJyQwVuEb2-yhWQit7lw/edit?gid=655644728#gid=655644728"", address(row($D51),column($D51),,,""NPTEL-O""))"),26)</f>
        <v>26</v>
      </c>
      <c r="S53" s="5">
        <f t="shared" ca="1" si="9"/>
        <v>86.666666666666671</v>
      </c>
      <c r="T53" s="6">
        <f ca="1">IFERROR(__xludf.DUMMYFUNCTION("IMPORTRANGE(""https://docs.google.com/spreadsheets/d/1rOGZhKHVnDGFqGTO7UNOJSkSJyQwVuEb2-yhWQit7lw/edit?gid=1409420437#gid=1409420437"", address(row($D51),column($D51),,,""CRT-O""))"),87)</f>
        <v>87</v>
      </c>
      <c r="U53" s="8">
        <f t="shared" ca="1" si="10"/>
        <v>95.604395604395606</v>
      </c>
      <c r="V53" s="6">
        <f t="shared" ca="1" si="0"/>
        <v>319</v>
      </c>
      <c r="W53" s="4">
        <f t="shared" ca="1" si="11"/>
        <v>76</v>
      </c>
      <c r="X53" s="4">
        <v>0</v>
      </c>
      <c r="Y53" s="4">
        <v>0</v>
      </c>
      <c r="Z53" s="4">
        <f t="shared" ca="1" si="1"/>
        <v>319</v>
      </c>
      <c r="AA53" s="10">
        <f t="shared" ca="1" si="12"/>
        <v>76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 spans="1:39" ht="15.85" customHeight="1" x14ac:dyDescent="0.3">
      <c r="A54" s="8">
        <v>49</v>
      </c>
      <c r="B54" s="11" t="s">
        <v>410</v>
      </c>
      <c r="C54" s="11" t="s">
        <v>411</v>
      </c>
      <c r="D54" s="5">
        <f ca="1">IFERROR(__xludf.DUMMYFUNCTION("IMPORTRANGE(""https://docs.google.com/spreadsheets/d/1rOGZhKHVnDGFqGTO7UNOJSkSJyQwVuEb2-yhWQit7lw/edit?gid=1653662536#gid=1653662536"", address(row($D52),column($D52),,,""DM&amp;GT-O""))"),11)</f>
        <v>11</v>
      </c>
      <c r="E54" s="8">
        <f t="shared" ca="1" si="2"/>
        <v>44</v>
      </c>
      <c r="F54" s="5">
        <f ca="1">IFERROR(__xludf.DUMMYFUNCTION("IMPORTRANGE(""https://docs.google.com/spreadsheets/d/1rOGZhKHVnDGFqGTO7UNOJSkSJyQwVuEb2-yhWQit7lw/edit?gid=1900628561#gid=1900628561"", address(row($D52),column($D52),,,""UHV-O""))"),13)</f>
        <v>13</v>
      </c>
      <c r="G54" s="8">
        <f t="shared" ca="1" si="3"/>
        <v>40.625</v>
      </c>
      <c r="H54" s="5">
        <f ca="1">IFERROR(__xludf.DUMMYFUNCTION("IMPORTRANGE(""https://docs.google.com/spreadsheets/d/1rOGZhKHVnDGFqGTO7UNOJSkSJyQwVuEb2-yhWQit7lw/edit?gid=95164189#gid=95164189"", address(row($D52),column($D52),,,""DL&amp;CO-O""))"),17)</f>
        <v>17</v>
      </c>
      <c r="I54" s="8">
        <f t="shared" ca="1" si="4"/>
        <v>43.589743589743591</v>
      </c>
      <c r="J54" s="5">
        <f ca="1">IFERROR(__xludf.DUMMYFUNCTION("IMPORTRANGE(""https://docs.google.com/spreadsheets/d/1rOGZhKHVnDGFqGTO7UNOJSkSJyQwVuEb2-yhWQit7lw/edit?gid=2139275483#gid=2139275483"", address(row($D52),column($D52),,,""ADSA-O""))"),26)</f>
        <v>26</v>
      </c>
      <c r="K54" s="8">
        <f t="shared" ca="1" si="5"/>
        <v>41.935483870967744</v>
      </c>
      <c r="L54" s="5">
        <f ca="1">IFERROR(__xludf.DUMMYFUNCTION("IMPORTRANGE(""https://docs.google.com/spreadsheets/d/1rOGZhKHVnDGFqGTO7UNOJSkSJyQwVuEb2-yhWQit7lw/edit?gid=352620554#gid=352620554"", address(row($D52),column($D52),,,""JAVA-O""))"),27)</f>
        <v>27</v>
      </c>
      <c r="M54" s="8">
        <f t="shared" ca="1" si="6"/>
        <v>39.130434782608695</v>
      </c>
      <c r="N54" s="5">
        <f ca="1">IFERROR(__xludf.DUMMYFUNCTION("IMPORTRANGE(""https://docs.google.com/spreadsheets/d/1rOGZhKHVnDGFqGTO7UNOJSkSJyQwVuEb2-yhWQit7lw/edit?gid=1434800060#gid=1434800060"", address(row($D52),column($D52),,,""FOSS LAB-O""))"),18)</f>
        <v>18</v>
      </c>
      <c r="O54" s="8">
        <f t="shared" ca="1" si="7"/>
        <v>54.54545454545454</v>
      </c>
      <c r="P54" s="5">
        <f ca="1">IFERROR(__xludf.DUMMYFUNCTION("IMPORTRANGE(""https://docs.google.com/spreadsheets/d/1rOGZhKHVnDGFqGTO7UNOJSkSJyQwVuEb2-yhWQit7lw/edit?gid=1510845942#gid=1510845942"", address(row($D52),column($D52),,,""PP-O""))"),22)</f>
        <v>22</v>
      </c>
      <c r="Q54" s="8">
        <f t="shared" ca="1" si="8"/>
        <v>55.000000000000007</v>
      </c>
      <c r="R54" s="5">
        <f ca="1">IFERROR(__xludf.DUMMYFUNCTION("IMPORTRANGE(""https://docs.google.com/spreadsheets/d/1rOGZhKHVnDGFqGTO7UNOJSkSJyQwVuEb2-yhWQit7lw/edit?gid=655644728#gid=655644728"", address(row($D52),column($D52),,,""NPTEL-O""))"),20)</f>
        <v>20</v>
      </c>
      <c r="S54" s="5">
        <f t="shared" ca="1" si="9"/>
        <v>66.666666666666657</v>
      </c>
      <c r="T54" s="6">
        <f ca="1">IFERROR(__xludf.DUMMYFUNCTION("IMPORTRANGE(""https://docs.google.com/spreadsheets/d/1rOGZhKHVnDGFqGTO7UNOJSkSJyQwVuEb2-yhWQit7lw/edit?gid=1409420437#gid=1409420437"", address(row($D52),column($D52),,,""CRT-O""))"),58)</f>
        <v>58</v>
      </c>
      <c r="U54" s="8">
        <f t="shared" ca="1" si="10"/>
        <v>63.73626373626373</v>
      </c>
      <c r="V54" s="6">
        <f t="shared" ca="1" si="0"/>
        <v>212</v>
      </c>
      <c r="W54" s="4">
        <f t="shared" ca="1" si="11"/>
        <v>50</v>
      </c>
      <c r="X54" s="4">
        <v>0</v>
      </c>
      <c r="Y54" s="4">
        <v>0</v>
      </c>
      <c r="Z54" s="4">
        <f t="shared" ca="1" si="1"/>
        <v>212</v>
      </c>
      <c r="AA54" s="10">
        <f t="shared" ca="1" si="12"/>
        <v>50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 spans="1:39" ht="15.85" customHeight="1" x14ac:dyDescent="0.3">
      <c r="A55" s="8">
        <v>50</v>
      </c>
      <c r="B55" s="11" t="s">
        <v>412</v>
      </c>
      <c r="C55" s="11" t="s">
        <v>413</v>
      </c>
      <c r="D55" s="5">
        <f ca="1">IFERROR(__xludf.DUMMYFUNCTION("IMPORTRANGE(""https://docs.google.com/spreadsheets/d/1rOGZhKHVnDGFqGTO7UNOJSkSJyQwVuEb2-yhWQit7lw/edit?gid=1653662536#gid=1653662536"", address(row($D53),column($D53),,,""DM&amp;GT-O""))"),18)</f>
        <v>18</v>
      </c>
      <c r="E55" s="8">
        <f t="shared" ca="1" si="2"/>
        <v>72</v>
      </c>
      <c r="F55" s="5">
        <f ca="1">IFERROR(__xludf.DUMMYFUNCTION("IMPORTRANGE(""https://docs.google.com/spreadsheets/d/1rOGZhKHVnDGFqGTO7UNOJSkSJyQwVuEb2-yhWQit7lw/edit?gid=1900628561#gid=1900628561"", address(row($D53),column($D53),,,""UHV-O""))"),23)</f>
        <v>23</v>
      </c>
      <c r="G55" s="8">
        <f t="shared" ca="1" si="3"/>
        <v>71.875</v>
      </c>
      <c r="H55" s="5">
        <f ca="1">IFERROR(__xludf.DUMMYFUNCTION("IMPORTRANGE(""https://docs.google.com/spreadsheets/d/1rOGZhKHVnDGFqGTO7UNOJSkSJyQwVuEb2-yhWQit7lw/edit?gid=95164189#gid=95164189"", address(row($D53),column($D53),,,""DL&amp;CO-O""))"),29)</f>
        <v>29</v>
      </c>
      <c r="I55" s="8">
        <f t="shared" ca="1" si="4"/>
        <v>74.358974358974365</v>
      </c>
      <c r="J55" s="5">
        <f ca="1">IFERROR(__xludf.DUMMYFUNCTION("IMPORTRANGE(""https://docs.google.com/spreadsheets/d/1rOGZhKHVnDGFqGTO7UNOJSkSJyQwVuEb2-yhWQit7lw/edit?gid=2139275483#gid=2139275483"", address(row($D53),column($D53),,,""ADSA-O""))"),50)</f>
        <v>50</v>
      </c>
      <c r="K55" s="8">
        <f t="shared" ca="1" si="5"/>
        <v>80.645161290322577</v>
      </c>
      <c r="L55" s="5">
        <f ca="1">IFERROR(__xludf.DUMMYFUNCTION("IMPORTRANGE(""https://docs.google.com/spreadsheets/d/1rOGZhKHVnDGFqGTO7UNOJSkSJyQwVuEb2-yhWQit7lw/edit?gid=352620554#gid=352620554"", address(row($D53),column($D53),,,""JAVA-O""))"),45)</f>
        <v>45</v>
      </c>
      <c r="M55" s="8">
        <f t="shared" ca="1" si="6"/>
        <v>65.217391304347828</v>
      </c>
      <c r="N55" s="5">
        <f ca="1">IFERROR(__xludf.DUMMYFUNCTION("IMPORTRANGE(""https://docs.google.com/spreadsheets/d/1rOGZhKHVnDGFqGTO7UNOJSkSJyQwVuEb2-yhWQit7lw/edit?gid=1434800060#gid=1434800060"", address(row($D53),column($D53),,,""FOSS LAB-O""))"),20)</f>
        <v>20</v>
      </c>
      <c r="O55" s="8">
        <f t="shared" ca="1" si="7"/>
        <v>60.606060606060609</v>
      </c>
      <c r="P55" s="5">
        <f ca="1">IFERROR(__xludf.DUMMYFUNCTION("IMPORTRANGE(""https://docs.google.com/spreadsheets/d/1rOGZhKHVnDGFqGTO7UNOJSkSJyQwVuEb2-yhWQit7lw/edit?gid=1510845942#gid=1510845942"", address(row($D53),column($D53),,,""PP-O""))"),28)</f>
        <v>28</v>
      </c>
      <c r="Q55" s="8">
        <f t="shared" ca="1" si="8"/>
        <v>70</v>
      </c>
      <c r="R55" s="5">
        <f ca="1">IFERROR(__xludf.DUMMYFUNCTION("IMPORTRANGE(""https://docs.google.com/spreadsheets/d/1rOGZhKHVnDGFqGTO7UNOJSkSJyQwVuEb2-yhWQit7lw/edit?gid=655644728#gid=655644728"", address(row($D53),column($D53),,,""NPTEL-O""))"),28)</f>
        <v>28</v>
      </c>
      <c r="S55" s="5">
        <f t="shared" ca="1" si="9"/>
        <v>93.333333333333329</v>
      </c>
      <c r="T55" s="6">
        <f ca="1">IFERROR(__xludf.DUMMYFUNCTION("IMPORTRANGE(""https://docs.google.com/spreadsheets/d/1rOGZhKHVnDGFqGTO7UNOJSkSJyQwVuEb2-yhWQit7lw/edit?gid=1409420437#gid=1409420437"", address(row($D53),column($D53),,,""CRT-O""))"),84)</f>
        <v>84</v>
      </c>
      <c r="U55" s="8">
        <f t="shared" ca="1" si="10"/>
        <v>92.307692307692307</v>
      </c>
      <c r="V55" s="6">
        <f t="shared" ca="1" si="0"/>
        <v>325</v>
      </c>
      <c r="W55" s="4">
        <f t="shared" ca="1" si="11"/>
        <v>77</v>
      </c>
      <c r="X55" s="4">
        <v>0</v>
      </c>
      <c r="Y55" s="4">
        <v>0</v>
      </c>
      <c r="Z55" s="4">
        <f t="shared" ca="1" si="1"/>
        <v>325</v>
      </c>
      <c r="AA55" s="10">
        <f t="shared" ca="1" si="12"/>
        <v>77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 spans="1:39" ht="15.85" customHeight="1" x14ac:dyDescent="0.3">
      <c r="A56" s="8">
        <v>51</v>
      </c>
      <c r="B56" s="11" t="s">
        <v>414</v>
      </c>
      <c r="C56" s="11" t="s">
        <v>415</v>
      </c>
      <c r="D56" s="5">
        <f ca="1">IFERROR(__xludf.DUMMYFUNCTION("IMPORTRANGE(""https://docs.google.com/spreadsheets/d/1rOGZhKHVnDGFqGTO7UNOJSkSJyQwVuEb2-yhWQit7lw/edit?gid=1653662536#gid=1653662536"", address(row($D54),column($D54),,,""DM&amp;GT-O""))"),10)</f>
        <v>10</v>
      </c>
      <c r="E56" s="8">
        <f t="shared" ca="1" si="2"/>
        <v>40</v>
      </c>
      <c r="F56" s="5">
        <f ca="1">IFERROR(__xludf.DUMMYFUNCTION("IMPORTRANGE(""https://docs.google.com/spreadsheets/d/1rOGZhKHVnDGFqGTO7UNOJSkSJyQwVuEb2-yhWQit7lw/edit?gid=1900628561#gid=1900628561"", address(row($D54),column($D54),,,""UHV-O""))"),14)</f>
        <v>14</v>
      </c>
      <c r="G56" s="8">
        <f t="shared" ca="1" si="3"/>
        <v>43.75</v>
      </c>
      <c r="H56" s="5">
        <f ca="1">IFERROR(__xludf.DUMMYFUNCTION("IMPORTRANGE(""https://docs.google.com/spreadsheets/d/1rOGZhKHVnDGFqGTO7UNOJSkSJyQwVuEb2-yhWQit7lw/edit?gid=95164189#gid=95164189"", address(row($D54),column($D54),,,""DL&amp;CO-O""))"),17)</f>
        <v>17</v>
      </c>
      <c r="I56" s="8">
        <f t="shared" ca="1" si="4"/>
        <v>43.589743589743591</v>
      </c>
      <c r="J56" s="5">
        <f ca="1">IFERROR(__xludf.DUMMYFUNCTION("IMPORTRANGE(""https://docs.google.com/spreadsheets/d/1rOGZhKHVnDGFqGTO7UNOJSkSJyQwVuEb2-yhWQit7lw/edit?gid=2139275483#gid=2139275483"", address(row($D54),column($D54),,,""ADSA-O""))"),22)</f>
        <v>22</v>
      </c>
      <c r="K56" s="8">
        <f t="shared" ca="1" si="5"/>
        <v>35.483870967741936</v>
      </c>
      <c r="L56" s="5">
        <f ca="1">IFERROR(__xludf.DUMMYFUNCTION("IMPORTRANGE(""https://docs.google.com/spreadsheets/d/1rOGZhKHVnDGFqGTO7UNOJSkSJyQwVuEb2-yhWQit7lw/edit?gid=352620554#gid=352620554"", address(row($D54),column($D54),,,""JAVA-O""))"),22)</f>
        <v>22</v>
      </c>
      <c r="M56" s="8">
        <f t="shared" ca="1" si="6"/>
        <v>31.884057971014489</v>
      </c>
      <c r="N56" s="5">
        <f ca="1">IFERROR(__xludf.DUMMYFUNCTION("IMPORTRANGE(""https://docs.google.com/spreadsheets/d/1rOGZhKHVnDGFqGTO7UNOJSkSJyQwVuEb2-yhWQit7lw/edit?gid=1434800060#gid=1434800060"", address(row($D54),column($D54),,,""FOSS LAB-O""))"),18)</f>
        <v>18</v>
      </c>
      <c r="O56" s="8">
        <f t="shared" ca="1" si="7"/>
        <v>54.54545454545454</v>
      </c>
      <c r="P56" s="5">
        <f ca="1">IFERROR(__xludf.DUMMYFUNCTION("IMPORTRANGE(""https://docs.google.com/spreadsheets/d/1rOGZhKHVnDGFqGTO7UNOJSkSJyQwVuEb2-yhWQit7lw/edit?gid=1510845942#gid=1510845942"", address(row($D54),column($D54),,,""PP-O""))"),20)</f>
        <v>20</v>
      </c>
      <c r="Q56" s="8">
        <f t="shared" ca="1" si="8"/>
        <v>50</v>
      </c>
      <c r="R56" s="5">
        <f ca="1">IFERROR(__xludf.DUMMYFUNCTION("IMPORTRANGE(""https://docs.google.com/spreadsheets/d/1rOGZhKHVnDGFqGTO7UNOJSkSJyQwVuEb2-yhWQit7lw/edit?gid=655644728#gid=655644728"", address(row($D54),column($D54),,,""NPTEL-O""))"),20)</f>
        <v>20</v>
      </c>
      <c r="S56" s="5">
        <f t="shared" ca="1" si="9"/>
        <v>66.666666666666657</v>
      </c>
      <c r="T56" s="6">
        <f ca="1">IFERROR(__xludf.DUMMYFUNCTION("IMPORTRANGE(""https://docs.google.com/spreadsheets/d/1rOGZhKHVnDGFqGTO7UNOJSkSJyQwVuEb2-yhWQit7lw/edit?gid=1409420437#gid=1409420437"", address(row($D54),column($D54),,,""CRT-O""))"),56)</f>
        <v>56</v>
      </c>
      <c r="U56" s="8">
        <f t="shared" ca="1" si="10"/>
        <v>61.53846153846154</v>
      </c>
      <c r="V56" s="6">
        <f t="shared" ca="1" si="0"/>
        <v>199</v>
      </c>
      <c r="W56" s="4">
        <f t="shared" ca="1" si="11"/>
        <v>47</v>
      </c>
      <c r="X56" s="4">
        <v>0</v>
      </c>
      <c r="Y56" s="4">
        <v>0</v>
      </c>
      <c r="Z56" s="4">
        <f t="shared" ca="1" si="1"/>
        <v>199</v>
      </c>
      <c r="AA56" s="10">
        <f t="shared" ca="1" si="12"/>
        <v>47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 spans="1:39" ht="15.85" customHeight="1" x14ac:dyDescent="0.3">
      <c r="A57" s="8">
        <v>52</v>
      </c>
      <c r="B57" s="11" t="s">
        <v>416</v>
      </c>
      <c r="C57" s="11" t="s">
        <v>417</v>
      </c>
      <c r="D57" s="5">
        <f ca="1">IFERROR(__xludf.DUMMYFUNCTION("IMPORTRANGE(""https://docs.google.com/spreadsheets/d/1rOGZhKHVnDGFqGTO7UNOJSkSJyQwVuEb2-yhWQit7lw/edit?gid=1653662536#gid=1653662536"", address(row($D55),column($D55),,,""DM&amp;GT-O""))"),16)</f>
        <v>16</v>
      </c>
      <c r="E57" s="8">
        <f t="shared" ca="1" si="2"/>
        <v>64</v>
      </c>
      <c r="F57" s="5">
        <f ca="1">IFERROR(__xludf.DUMMYFUNCTION("IMPORTRANGE(""https://docs.google.com/spreadsheets/d/1rOGZhKHVnDGFqGTO7UNOJSkSJyQwVuEb2-yhWQit7lw/edit?gid=1900628561#gid=1900628561"", address(row($D55),column($D55),,,""UHV-O""))"),25)</f>
        <v>25</v>
      </c>
      <c r="G57" s="8">
        <f t="shared" ca="1" si="3"/>
        <v>78.125</v>
      </c>
      <c r="H57" s="5">
        <f ca="1">IFERROR(__xludf.DUMMYFUNCTION("IMPORTRANGE(""https://docs.google.com/spreadsheets/d/1rOGZhKHVnDGFqGTO7UNOJSkSJyQwVuEb2-yhWQit7lw/edit?gid=95164189#gid=95164189"", address(row($D55),column($D55),,,""DL&amp;CO-O""))"),30)</f>
        <v>30</v>
      </c>
      <c r="I57" s="8">
        <f t="shared" ca="1" si="4"/>
        <v>76.923076923076934</v>
      </c>
      <c r="J57" s="5">
        <f ca="1">IFERROR(__xludf.DUMMYFUNCTION("IMPORTRANGE(""https://docs.google.com/spreadsheets/d/1rOGZhKHVnDGFqGTO7UNOJSkSJyQwVuEb2-yhWQit7lw/edit?gid=2139275483#gid=2139275483"", address(row($D55),column($D55),,,""ADSA-O""))"),45)</f>
        <v>45</v>
      </c>
      <c r="K57" s="8">
        <f t="shared" ca="1" si="5"/>
        <v>72.58064516129032</v>
      </c>
      <c r="L57" s="5">
        <f ca="1">IFERROR(__xludf.DUMMYFUNCTION("IMPORTRANGE(""https://docs.google.com/spreadsheets/d/1rOGZhKHVnDGFqGTO7UNOJSkSJyQwVuEb2-yhWQit7lw/edit?gid=352620554#gid=352620554"", address(row($D55),column($D55),,,""JAVA-O""))"),53)</f>
        <v>53</v>
      </c>
      <c r="M57" s="8">
        <f t="shared" ca="1" si="6"/>
        <v>76.811594202898547</v>
      </c>
      <c r="N57" s="5">
        <f ca="1">IFERROR(__xludf.DUMMYFUNCTION("IMPORTRANGE(""https://docs.google.com/spreadsheets/d/1rOGZhKHVnDGFqGTO7UNOJSkSJyQwVuEb2-yhWQit7lw/edit?gid=1434800060#gid=1434800060"", address(row($D55),column($D55),,,""FOSS LAB-O""))"),22)</f>
        <v>22</v>
      </c>
      <c r="O57" s="8">
        <f t="shared" ca="1" si="7"/>
        <v>66.666666666666657</v>
      </c>
      <c r="P57" s="5">
        <f ca="1">IFERROR(__xludf.DUMMYFUNCTION("IMPORTRANGE(""https://docs.google.com/spreadsheets/d/1rOGZhKHVnDGFqGTO7UNOJSkSJyQwVuEb2-yhWQit7lw/edit?gid=1510845942#gid=1510845942"", address(row($D55),column($D55),,,""PP-O""))"),30)</f>
        <v>30</v>
      </c>
      <c r="Q57" s="8">
        <f t="shared" ca="1" si="8"/>
        <v>75</v>
      </c>
      <c r="R57" s="5">
        <f ca="1">IFERROR(__xludf.DUMMYFUNCTION("IMPORTRANGE(""https://docs.google.com/spreadsheets/d/1rOGZhKHVnDGFqGTO7UNOJSkSJyQwVuEb2-yhWQit7lw/edit?gid=655644728#gid=655644728"", address(row($D55),column($D55),,,""NPTEL-O""))"),26)</f>
        <v>26</v>
      </c>
      <c r="S57" s="5">
        <f t="shared" ca="1" si="9"/>
        <v>86.666666666666671</v>
      </c>
      <c r="T57" s="6">
        <f ca="1">IFERROR(__xludf.DUMMYFUNCTION("IMPORTRANGE(""https://docs.google.com/spreadsheets/d/1rOGZhKHVnDGFqGTO7UNOJSkSJyQwVuEb2-yhWQit7lw/edit?gid=1409420437#gid=1409420437"", address(row($D55),column($D55),,,""CRT-O""))"),70)</f>
        <v>70</v>
      </c>
      <c r="U57" s="8">
        <f t="shared" ca="1" si="10"/>
        <v>76.923076923076934</v>
      </c>
      <c r="V57" s="6">
        <f t="shared" ca="1" si="0"/>
        <v>317</v>
      </c>
      <c r="W57" s="4">
        <f t="shared" ca="1" si="11"/>
        <v>75</v>
      </c>
      <c r="X57" s="4">
        <v>0</v>
      </c>
      <c r="Y57" s="4">
        <v>0</v>
      </c>
      <c r="Z57" s="4">
        <f t="shared" ca="1" si="1"/>
        <v>317</v>
      </c>
      <c r="AA57" s="10">
        <f t="shared" ca="1" si="12"/>
        <v>75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 spans="1:39" ht="15.85" customHeight="1" x14ac:dyDescent="0.3">
      <c r="A58" s="8">
        <v>53</v>
      </c>
      <c r="B58" s="11" t="s">
        <v>418</v>
      </c>
      <c r="C58" s="11" t="s">
        <v>419</v>
      </c>
      <c r="D58" s="5">
        <f ca="1">IFERROR(__xludf.DUMMYFUNCTION("IMPORTRANGE(""https://docs.google.com/spreadsheets/d/1rOGZhKHVnDGFqGTO7UNOJSkSJyQwVuEb2-yhWQit7lw/edit?gid=1653662536#gid=1653662536"", address(row($D56),column($D56),,,""DM&amp;GT-O""))"),7)</f>
        <v>7</v>
      </c>
      <c r="E58" s="8">
        <f t="shared" ca="1" si="2"/>
        <v>28.000000000000004</v>
      </c>
      <c r="F58" s="5">
        <f ca="1">IFERROR(__xludf.DUMMYFUNCTION("IMPORTRANGE(""https://docs.google.com/spreadsheets/d/1rOGZhKHVnDGFqGTO7UNOJSkSJyQwVuEb2-yhWQit7lw/edit?gid=1900628561#gid=1900628561"", address(row($D56),column($D56),,,""UHV-O""))"),8)</f>
        <v>8</v>
      </c>
      <c r="G58" s="8">
        <f t="shared" ca="1" si="3"/>
        <v>25</v>
      </c>
      <c r="H58" s="5">
        <f ca="1">IFERROR(__xludf.DUMMYFUNCTION("IMPORTRANGE(""https://docs.google.com/spreadsheets/d/1rOGZhKHVnDGFqGTO7UNOJSkSJyQwVuEb2-yhWQit7lw/edit?gid=95164189#gid=95164189"", address(row($D56),column($D56),,,""DL&amp;CO-O""))"),11)</f>
        <v>11</v>
      </c>
      <c r="I58" s="8">
        <f t="shared" ca="1" si="4"/>
        <v>28.205128205128204</v>
      </c>
      <c r="J58" s="5">
        <f ca="1">IFERROR(__xludf.DUMMYFUNCTION("IMPORTRANGE(""https://docs.google.com/spreadsheets/d/1rOGZhKHVnDGFqGTO7UNOJSkSJyQwVuEb2-yhWQit7lw/edit?gid=2139275483#gid=2139275483"", address(row($D56),column($D56),,,""ADSA-O""))"),14)</f>
        <v>14</v>
      </c>
      <c r="K58" s="8">
        <f t="shared" ca="1" si="5"/>
        <v>22.58064516129032</v>
      </c>
      <c r="L58" s="5">
        <f ca="1">IFERROR(__xludf.DUMMYFUNCTION("IMPORTRANGE(""https://docs.google.com/spreadsheets/d/1rOGZhKHVnDGFqGTO7UNOJSkSJyQwVuEb2-yhWQit7lw/edit?gid=352620554#gid=352620554"", address(row($D56),column($D56),,,""JAVA-O""))"),18)</f>
        <v>18</v>
      </c>
      <c r="M58" s="8">
        <f t="shared" ca="1" si="6"/>
        <v>26.086956521739129</v>
      </c>
      <c r="N58" s="5">
        <f ca="1">IFERROR(__xludf.DUMMYFUNCTION("IMPORTRANGE(""https://docs.google.com/spreadsheets/d/1rOGZhKHVnDGFqGTO7UNOJSkSJyQwVuEb2-yhWQit7lw/edit?gid=1434800060#gid=1434800060"", address(row($D56),column($D56),,,""FOSS LAB-O""))"),15)</f>
        <v>15</v>
      </c>
      <c r="O58" s="8">
        <f t="shared" ca="1" si="7"/>
        <v>45.454545454545453</v>
      </c>
      <c r="P58" s="5">
        <f ca="1">IFERROR(__xludf.DUMMYFUNCTION("IMPORTRANGE(""https://docs.google.com/spreadsheets/d/1rOGZhKHVnDGFqGTO7UNOJSkSJyQwVuEb2-yhWQit7lw/edit?gid=1510845942#gid=1510845942"", address(row($D56),column($D56),,,""PP-O""))"),18)</f>
        <v>18</v>
      </c>
      <c r="Q58" s="8">
        <f t="shared" ca="1" si="8"/>
        <v>45</v>
      </c>
      <c r="R58" s="5">
        <f ca="1">IFERROR(__xludf.DUMMYFUNCTION("IMPORTRANGE(""https://docs.google.com/spreadsheets/d/1rOGZhKHVnDGFqGTO7UNOJSkSJyQwVuEb2-yhWQit7lw/edit?gid=655644728#gid=655644728"", address(row($D56),column($D56),,,""NPTEL-O""))"),16)</f>
        <v>16</v>
      </c>
      <c r="S58" s="5">
        <f t="shared" ca="1" si="9"/>
        <v>53.333333333333336</v>
      </c>
      <c r="T58" s="6">
        <f ca="1">IFERROR(__xludf.DUMMYFUNCTION("IMPORTRANGE(""https://docs.google.com/spreadsheets/d/1rOGZhKHVnDGFqGTO7UNOJSkSJyQwVuEb2-yhWQit7lw/edit?gid=1409420437#gid=1409420437"", address(row($D56),column($D56),,,""CRT-O""))"),49)</f>
        <v>49</v>
      </c>
      <c r="U58" s="8">
        <f t="shared" ca="1" si="10"/>
        <v>53.846153846153847</v>
      </c>
      <c r="V58" s="6">
        <f t="shared" ca="1" si="0"/>
        <v>156</v>
      </c>
      <c r="W58" s="4">
        <f t="shared" ca="1" si="11"/>
        <v>37</v>
      </c>
      <c r="X58" s="4">
        <v>0</v>
      </c>
      <c r="Y58" s="4">
        <v>0</v>
      </c>
      <c r="Z58" s="4">
        <f t="shared" ca="1" si="1"/>
        <v>156</v>
      </c>
      <c r="AA58" s="10">
        <f t="shared" ca="1" si="12"/>
        <v>37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 spans="1:39" ht="15.85" customHeight="1" x14ac:dyDescent="0.3">
      <c r="A59" s="8">
        <v>54</v>
      </c>
      <c r="B59" s="11" t="s">
        <v>420</v>
      </c>
      <c r="C59" s="11" t="s">
        <v>421</v>
      </c>
      <c r="D59" s="5">
        <f ca="1">IFERROR(__xludf.DUMMYFUNCTION("IMPORTRANGE(""https://docs.google.com/spreadsheets/d/1rOGZhKHVnDGFqGTO7UNOJSkSJyQwVuEb2-yhWQit7lw/edit?gid=1653662536#gid=1653662536"", address(row($D57),column($D57),,,""DM&amp;GT-O""))"),19)</f>
        <v>19</v>
      </c>
      <c r="E59" s="8">
        <f t="shared" ca="1" si="2"/>
        <v>76</v>
      </c>
      <c r="F59" s="5">
        <f ca="1">IFERROR(__xludf.DUMMYFUNCTION("IMPORTRANGE(""https://docs.google.com/spreadsheets/d/1rOGZhKHVnDGFqGTO7UNOJSkSJyQwVuEb2-yhWQit7lw/edit?gid=1900628561#gid=1900628561"", address(row($D57),column($D57),,,""UHV-O""))"),23)</f>
        <v>23</v>
      </c>
      <c r="G59" s="8">
        <f t="shared" ca="1" si="3"/>
        <v>71.875</v>
      </c>
      <c r="H59" s="5">
        <f ca="1">IFERROR(__xludf.DUMMYFUNCTION("IMPORTRANGE(""https://docs.google.com/spreadsheets/d/1rOGZhKHVnDGFqGTO7UNOJSkSJyQwVuEb2-yhWQit7lw/edit?gid=95164189#gid=95164189"", address(row($D57),column($D57),,,""DL&amp;CO-O""))"),29)</f>
        <v>29</v>
      </c>
      <c r="I59" s="8">
        <f t="shared" ca="1" si="4"/>
        <v>74.358974358974365</v>
      </c>
      <c r="J59" s="5">
        <f ca="1">IFERROR(__xludf.DUMMYFUNCTION("IMPORTRANGE(""https://docs.google.com/spreadsheets/d/1rOGZhKHVnDGFqGTO7UNOJSkSJyQwVuEb2-yhWQit7lw/edit?gid=2139275483#gid=2139275483"", address(row($D57),column($D57),,,""ADSA-O""))"),44)</f>
        <v>44</v>
      </c>
      <c r="K59" s="8">
        <f t="shared" ca="1" si="5"/>
        <v>70.967741935483872</v>
      </c>
      <c r="L59" s="5">
        <f ca="1">IFERROR(__xludf.DUMMYFUNCTION("IMPORTRANGE(""https://docs.google.com/spreadsheets/d/1rOGZhKHVnDGFqGTO7UNOJSkSJyQwVuEb2-yhWQit7lw/edit?gid=352620554#gid=352620554"", address(row($D57),column($D57),,,""JAVA-O""))"),46)</f>
        <v>46</v>
      </c>
      <c r="M59" s="8">
        <f t="shared" ca="1" si="6"/>
        <v>66.666666666666657</v>
      </c>
      <c r="N59" s="5">
        <f ca="1">IFERROR(__xludf.DUMMYFUNCTION("IMPORTRANGE(""https://docs.google.com/spreadsheets/d/1rOGZhKHVnDGFqGTO7UNOJSkSJyQwVuEb2-yhWQit7lw/edit?gid=1434800060#gid=1434800060"", address(row($D57),column($D57),,,""FOSS LAB-O""))"),21)</f>
        <v>21</v>
      </c>
      <c r="O59" s="8">
        <f t="shared" ca="1" si="7"/>
        <v>63.636363636363633</v>
      </c>
      <c r="P59" s="5">
        <f ca="1">IFERROR(__xludf.DUMMYFUNCTION("IMPORTRANGE(""https://docs.google.com/spreadsheets/d/1rOGZhKHVnDGFqGTO7UNOJSkSJyQwVuEb2-yhWQit7lw/edit?gid=1510845942#gid=1510845942"", address(row($D57),column($D57),,,""PP-O""))"),34)</f>
        <v>34</v>
      </c>
      <c r="Q59" s="8">
        <f t="shared" ca="1" si="8"/>
        <v>85</v>
      </c>
      <c r="R59" s="5">
        <f ca="1">IFERROR(__xludf.DUMMYFUNCTION("IMPORTRANGE(""https://docs.google.com/spreadsheets/d/1rOGZhKHVnDGFqGTO7UNOJSkSJyQwVuEb2-yhWQit7lw/edit?gid=655644728#gid=655644728"", address(row($D57),column($D57),,,""NPTEL-O""))"),26)</f>
        <v>26</v>
      </c>
      <c r="S59" s="5">
        <f t="shared" ca="1" si="9"/>
        <v>86.666666666666671</v>
      </c>
      <c r="T59" s="6">
        <f ca="1">IFERROR(__xludf.DUMMYFUNCTION("IMPORTRANGE(""https://docs.google.com/spreadsheets/d/1rOGZhKHVnDGFqGTO7UNOJSkSJyQwVuEb2-yhWQit7lw/edit?gid=1409420437#gid=1409420437"", address(row($D57),column($D57),,,""CRT-O""))"),73)</f>
        <v>73</v>
      </c>
      <c r="U59" s="8">
        <f t="shared" ca="1" si="10"/>
        <v>80.219780219780219</v>
      </c>
      <c r="V59" s="6">
        <f t="shared" ca="1" si="0"/>
        <v>315</v>
      </c>
      <c r="W59" s="4">
        <f t="shared" ca="1" si="11"/>
        <v>75</v>
      </c>
      <c r="X59" s="4">
        <v>0</v>
      </c>
      <c r="Y59" s="4">
        <v>0</v>
      </c>
      <c r="Z59" s="4">
        <f t="shared" ca="1" si="1"/>
        <v>315</v>
      </c>
      <c r="AA59" s="10">
        <f t="shared" ca="1" si="12"/>
        <v>75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 spans="1:39" ht="15.85" customHeight="1" x14ac:dyDescent="0.3">
      <c r="A60" s="8">
        <v>55</v>
      </c>
      <c r="B60" s="11" t="s">
        <v>422</v>
      </c>
      <c r="C60" s="11" t="s">
        <v>423</v>
      </c>
      <c r="D60" s="5">
        <f ca="1">IFERROR(__xludf.DUMMYFUNCTION("IMPORTRANGE(""https://docs.google.com/spreadsheets/d/1rOGZhKHVnDGFqGTO7UNOJSkSJyQwVuEb2-yhWQit7lw/edit?gid=1653662536#gid=1653662536"", address(row($D58),column($D58),,,""DM&amp;GT-O""))"),11)</f>
        <v>11</v>
      </c>
      <c r="E60" s="8">
        <f t="shared" ca="1" si="2"/>
        <v>44</v>
      </c>
      <c r="F60" s="5">
        <f ca="1">IFERROR(__xludf.DUMMYFUNCTION("IMPORTRANGE(""https://docs.google.com/spreadsheets/d/1rOGZhKHVnDGFqGTO7UNOJSkSJyQwVuEb2-yhWQit7lw/edit?gid=1900628561#gid=1900628561"", address(row($D58),column($D58),,,""UHV-O""))"),14)</f>
        <v>14</v>
      </c>
      <c r="G60" s="8">
        <f t="shared" ca="1" si="3"/>
        <v>43.75</v>
      </c>
      <c r="H60" s="5">
        <f ca="1">IFERROR(__xludf.DUMMYFUNCTION("IMPORTRANGE(""https://docs.google.com/spreadsheets/d/1rOGZhKHVnDGFqGTO7UNOJSkSJyQwVuEb2-yhWQit7lw/edit?gid=95164189#gid=95164189"", address(row($D58),column($D58),,,""DL&amp;CO-O""))"),18)</f>
        <v>18</v>
      </c>
      <c r="I60" s="8">
        <f t="shared" ca="1" si="4"/>
        <v>46.153846153846153</v>
      </c>
      <c r="J60" s="5">
        <f ca="1">IFERROR(__xludf.DUMMYFUNCTION("IMPORTRANGE(""https://docs.google.com/spreadsheets/d/1rOGZhKHVnDGFqGTO7UNOJSkSJyQwVuEb2-yhWQit7lw/edit?gid=2139275483#gid=2139275483"", address(row($D58),column($D58),,,""ADSA-O""))"),32)</f>
        <v>32</v>
      </c>
      <c r="K60" s="8">
        <f t="shared" ca="1" si="5"/>
        <v>51.612903225806448</v>
      </c>
      <c r="L60" s="5">
        <f ca="1">IFERROR(__xludf.DUMMYFUNCTION("IMPORTRANGE(""https://docs.google.com/spreadsheets/d/1rOGZhKHVnDGFqGTO7UNOJSkSJyQwVuEb2-yhWQit7lw/edit?gid=352620554#gid=352620554"", address(row($D58),column($D58),,,""JAVA-O""))"),28)</f>
        <v>28</v>
      </c>
      <c r="M60" s="8">
        <f t="shared" ca="1" si="6"/>
        <v>40.579710144927539</v>
      </c>
      <c r="N60" s="5">
        <f ca="1">IFERROR(__xludf.DUMMYFUNCTION("IMPORTRANGE(""https://docs.google.com/spreadsheets/d/1rOGZhKHVnDGFqGTO7UNOJSkSJyQwVuEb2-yhWQit7lw/edit?gid=1434800060#gid=1434800060"", address(row($D58),column($D58),,,""FOSS LAB-O""))"),18)</f>
        <v>18</v>
      </c>
      <c r="O60" s="8">
        <f t="shared" ca="1" si="7"/>
        <v>54.54545454545454</v>
      </c>
      <c r="P60" s="5">
        <f ca="1">IFERROR(__xludf.DUMMYFUNCTION("IMPORTRANGE(""https://docs.google.com/spreadsheets/d/1rOGZhKHVnDGFqGTO7UNOJSkSJyQwVuEb2-yhWQit7lw/edit?gid=1510845942#gid=1510845942"", address(row($D58),column($D58),,,""PP-O""))"),26)</f>
        <v>26</v>
      </c>
      <c r="Q60" s="8">
        <f t="shared" ca="1" si="8"/>
        <v>65</v>
      </c>
      <c r="R60" s="5">
        <f ca="1">IFERROR(__xludf.DUMMYFUNCTION("IMPORTRANGE(""https://docs.google.com/spreadsheets/d/1rOGZhKHVnDGFqGTO7UNOJSkSJyQwVuEb2-yhWQit7lw/edit?gid=655644728#gid=655644728"", address(row($D58),column($D58),,,""NPTEL-O""))"),18)</f>
        <v>18</v>
      </c>
      <c r="S60" s="5">
        <f t="shared" ca="1" si="9"/>
        <v>60</v>
      </c>
      <c r="T60" s="6">
        <f ca="1">IFERROR(__xludf.DUMMYFUNCTION("IMPORTRANGE(""https://docs.google.com/spreadsheets/d/1rOGZhKHVnDGFqGTO7UNOJSkSJyQwVuEb2-yhWQit7lw/edit?gid=1409420437#gid=1409420437"", address(row($D58),column($D58),,,""CRT-O""))"),67)</f>
        <v>67</v>
      </c>
      <c r="U60" s="8">
        <f t="shared" ca="1" si="10"/>
        <v>73.626373626373635</v>
      </c>
      <c r="V60" s="6">
        <f t="shared" ca="1" si="0"/>
        <v>232</v>
      </c>
      <c r="W60" s="4">
        <f t="shared" ca="1" si="11"/>
        <v>55</v>
      </c>
      <c r="X60" s="4">
        <v>0</v>
      </c>
      <c r="Y60" s="4">
        <v>0</v>
      </c>
      <c r="Z60" s="4">
        <f t="shared" ca="1" si="1"/>
        <v>232</v>
      </c>
      <c r="AA60" s="10">
        <f t="shared" ca="1" si="12"/>
        <v>55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 spans="1:39" ht="15.85" customHeight="1" x14ac:dyDescent="0.3">
      <c r="A61" s="8">
        <v>56</v>
      </c>
      <c r="B61" s="11" t="s">
        <v>424</v>
      </c>
      <c r="C61" s="11" t="s">
        <v>425</v>
      </c>
      <c r="D61" s="5">
        <f ca="1">IFERROR(__xludf.DUMMYFUNCTION("IMPORTRANGE(""https://docs.google.com/spreadsheets/d/1rOGZhKHVnDGFqGTO7UNOJSkSJyQwVuEb2-yhWQit7lw/edit?gid=1653662536#gid=1653662536"", address(row($D59),column($D59),,,""DM&amp;GT-O""))"),11)</f>
        <v>11</v>
      </c>
      <c r="E61" s="8">
        <f t="shared" ca="1" si="2"/>
        <v>44</v>
      </c>
      <c r="F61" s="5">
        <f ca="1">IFERROR(__xludf.DUMMYFUNCTION("IMPORTRANGE(""https://docs.google.com/spreadsheets/d/1rOGZhKHVnDGFqGTO7UNOJSkSJyQwVuEb2-yhWQit7lw/edit?gid=1900628561#gid=1900628561"", address(row($D59),column($D59),,,""UHV-O""))"),16)</f>
        <v>16</v>
      </c>
      <c r="G61" s="8">
        <f t="shared" ca="1" si="3"/>
        <v>50</v>
      </c>
      <c r="H61" s="5">
        <f ca="1">IFERROR(__xludf.DUMMYFUNCTION("IMPORTRANGE(""https://docs.google.com/spreadsheets/d/1rOGZhKHVnDGFqGTO7UNOJSkSJyQwVuEb2-yhWQit7lw/edit?gid=95164189#gid=95164189"", address(row($D59),column($D59),,,""DL&amp;CO-O""))"),17)</f>
        <v>17</v>
      </c>
      <c r="I61" s="8">
        <f t="shared" ca="1" si="4"/>
        <v>43.589743589743591</v>
      </c>
      <c r="J61" s="5">
        <f ca="1">IFERROR(__xludf.DUMMYFUNCTION("IMPORTRANGE(""https://docs.google.com/spreadsheets/d/1rOGZhKHVnDGFqGTO7UNOJSkSJyQwVuEb2-yhWQit7lw/edit?gid=2139275483#gid=2139275483"", address(row($D59),column($D59),,,""ADSA-O""))"),28)</f>
        <v>28</v>
      </c>
      <c r="K61" s="8">
        <f t="shared" ca="1" si="5"/>
        <v>45.161290322580641</v>
      </c>
      <c r="L61" s="5">
        <f ca="1">IFERROR(__xludf.DUMMYFUNCTION("IMPORTRANGE(""https://docs.google.com/spreadsheets/d/1rOGZhKHVnDGFqGTO7UNOJSkSJyQwVuEb2-yhWQit7lw/edit?gid=352620554#gid=352620554"", address(row($D59),column($D59),,,""JAVA-O""))"),25)</f>
        <v>25</v>
      </c>
      <c r="M61" s="8">
        <f t="shared" ca="1" si="6"/>
        <v>36.231884057971016</v>
      </c>
      <c r="N61" s="5">
        <f ca="1">IFERROR(__xludf.DUMMYFUNCTION("IMPORTRANGE(""https://docs.google.com/spreadsheets/d/1rOGZhKHVnDGFqGTO7UNOJSkSJyQwVuEb2-yhWQit7lw/edit?gid=1434800060#gid=1434800060"", address(row($D59),column($D59),,,""FOSS LAB-O""))"),21)</f>
        <v>21</v>
      </c>
      <c r="O61" s="8">
        <f t="shared" ca="1" si="7"/>
        <v>63.636363636363633</v>
      </c>
      <c r="P61" s="5">
        <f ca="1">IFERROR(__xludf.DUMMYFUNCTION("IMPORTRANGE(""https://docs.google.com/spreadsheets/d/1rOGZhKHVnDGFqGTO7UNOJSkSJyQwVuEb2-yhWQit7lw/edit?gid=1510845942#gid=1510845942"", address(row($D59),column($D59),,,""PP-O""))"),18)</f>
        <v>18</v>
      </c>
      <c r="Q61" s="8">
        <f t="shared" ca="1" si="8"/>
        <v>45</v>
      </c>
      <c r="R61" s="5">
        <f ca="1">IFERROR(__xludf.DUMMYFUNCTION("IMPORTRANGE(""https://docs.google.com/spreadsheets/d/1rOGZhKHVnDGFqGTO7UNOJSkSJyQwVuEb2-yhWQit7lw/edit?gid=655644728#gid=655644728"", address(row($D59),column($D59),,,""NPTEL-O""))"),18)</f>
        <v>18</v>
      </c>
      <c r="S61" s="5">
        <f t="shared" ca="1" si="9"/>
        <v>60</v>
      </c>
      <c r="T61" s="6">
        <f ca="1">IFERROR(__xludf.DUMMYFUNCTION("IMPORTRANGE(""https://docs.google.com/spreadsheets/d/1rOGZhKHVnDGFqGTO7UNOJSkSJyQwVuEb2-yhWQit7lw/edit?gid=1409420437#gid=1409420437"", address(row($D59),column($D59),,,""CRT-O""))"),49)</f>
        <v>49</v>
      </c>
      <c r="U61" s="8">
        <f t="shared" ca="1" si="10"/>
        <v>53.846153846153847</v>
      </c>
      <c r="V61" s="6">
        <f t="shared" ca="1" si="0"/>
        <v>203</v>
      </c>
      <c r="W61" s="4">
        <f t="shared" ca="1" si="11"/>
        <v>48</v>
      </c>
      <c r="X61" s="4">
        <v>0</v>
      </c>
      <c r="Y61" s="4">
        <v>0</v>
      </c>
      <c r="Z61" s="4">
        <f t="shared" ca="1" si="1"/>
        <v>203</v>
      </c>
      <c r="AA61" s="10">
        <f t="shared" ca="1" si="12"/>
        <v>48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 spans="1:39" ht="15.85" customHeight="1" x14ac:dyDescent="0.3">
      <c r="A62" s="8">
        <v>57</v>
      </c>
      <c r="B62" s="11" t="s">
        <v>426</v>
      </c>
      <c r="C62" s="11" t="s">
        <v>427</v>
      </c>
      <c r="D62" s="5">
        <f ca="1">IFERROR(__xludf.DUMMYFUNCTION("IMPORTRANGE(""https://docs.google.com/spreadsheets/d/1rOGZhKHVnDGFqGTO7UNOJSkSJyQwVuEb2-yhWQit7lw/edit?gid=1653662536#gid=1653662536"", address(row($D60),column($D60),,,""DM&amp;GT-O""))"),4)</f>
        <v>4</v>
      </c>
      <c r="E62" s="8">
        <f t="shared" ca="1" si="2"/>
        <v>16</v>
      </c>
      <c r="F62" s="5">
        <f ca="1">IFERROR(__xludf.DUMMYFUNCTION("IMPORTRANGE(""https://docs.google.com/spreadsheets/d/1rOGZhKHVnDGFqGTO7UNOJSkSJyQwVuEb2-yhWQit7lw/edit?gid=1900628561#gid=1900628561"", address(row($D60),column($D60),,,""UHV-O""))"),10)</f>
        <v>10</v>
      </c>
      <c r="G62" s="8">
        <f t="shared" ca="1" si="3"/>
        <v>31.25</v>
      </c>
      <c r="H62" s="5">
        <f ca="1">IFERROR(__xludf.DUMMYFUNCTION("IMPORTRANGE(""https://docs.google.com/spreadsheets/d/1rOGZhKHVnDGFqGTO7UNOJSkSJyQwVuEb2-yhWQit7lw/edit?gid=95164189#gid=95164189"", address(row($D60),column($D60),,,""DL&amp;CO-O""))"),10)</f>
        <v>10</v>
      </c>
      <c r="I62" s="8">
        <f t="shared" ca="1" si="4"/>
        <v>25.641025641025639</v>
      </c>
      <c r="J62" s="5">
        <f ca="1">IFERROR(__xludf.DUMMYFUNCTION("IMPORTRANGE(""https://docs.google.com/spreadsheets/d/1rOGZhKHVnDGFqGTO7UNOJSkSJyQwVuEb2-yhWQit7lw/edit?gid=2139275483#gid=2139275483"", address(row($D60),column($D60),,,""ADSA-O""))"),16)</f>
        <v>16</v>
      </c>
      <c r="K62" s="8">
        <f t="shared" ca="1" si="5"/>
        <v>25.806451612903224</v>
      </c>
      <c r="L62" s="5">
        <f ca="1">IFERROR(__xludf.DUMMYFUNCTION("IMPORTRANGE(""https://docs.google.com/spreadsheets/d/1rOGZhKHVnDGFqGTO7UNOJSkSJyQwVuEb2-yhWQit7lw/edit?gid=352620554#gid=352620554"", address(row($D60),column($D60),,,""JAVA-O""))"),18)</f>
        <v>18</v>
      </c>
      <c r="M62" s="8">
        <f t="shared" ca="1" si="6"/>
        <v>26.086956521739129</v>
      </c>
      <c r="N62" s="5">
        <f ca="1">IFERROR(__xludf.DUMMYFUNCTION("IMPORTRANGE(""https://docs.google.com/spreadsheets/d/1rOGZhKHVnDGFqGTO7UNOJSkSJyQwVuEb2-yhWQit7lw/edit?gid=1434800060#gid=1434800060"", address(row($D60),column($D60),,,""FOSS LAB-O""))"),15)</f>
        <v>15</v>
      </c>
      <c r="O62" s="8">
        <f t="shared" ca="1" si="7"/>
        <v>45.454545454545453</v>
      </c>
      <c r="P62" s="5">
        <f ca="1">IFERROR(__xludf.DUMMYFUNCTION("IMPORTRANGE(""https://docs.google.com/spreadsheets/d/1rOGZhKHVnDGFqGTO7UNOJSkSJyQwVuEb2-yhWQit7lw/edit?gid=1510845942#gid=1510845942"", address(row($D60),column($D60),,,""PP-O""))"),18)</f>
        <v>18</v>
      </c>
      <c r="Q62" s="8">
        <f t="shared" ca="1" si="8"/>
        <v>45</v>
      </c>
      <c r="R62" s="5">
        <f ca="1">IFERROR(__xludf.DUMMYFUNCTION("IMPORTRANGE(""https://docs.google.com/spreadsheets/d/1rOGZhKHVnDGFqGTO7UNOJSkSJyQwVuEb2-yhWQit7lw/edit?gid=655644728#gid=655644728"", address(row($D60),column($D60),,,""NPTEL-O""))"),14)</f>
        <v>14</v>
      </c>
      <c r="S62" s="5">
        <f t="shared" ca="1" si="9"/>
        <v>46.666666666666664</v>
      </c>
      <c r="T62" s="6">
        <f ca="1">IFERROR(__xludf.DUMMYFUNCTION("IMPORTRANGE(""https://docs.google.com/spreadsheets/d/1rOGZhKHVnDGFqGTO7UNOJSkSJyQwVuEb2-yhWQit7lw/edit?gid=1409420437#gid=1409420437"", address(row($D60),column($D60),,,""CRT-O""))"),21)</f>
        <v>21</v>
      </c>
      <c r="U62" s="8">
        <f t="shared" ca="1" si="10"/>
        <v>23.076923076923077</v>
      </c>
      <c r="V62" s="6">
        <f t="shared" ca="1" si="0"/>
        <v>126</v>
      </c>
      <c r="W62" s="4">
        <f t="shared" ca="1" si="11"/>
        <v>30</v>
      </c>
      <c r="X62" s="4">
        <v>0</v>
      </c>
      <c r="Y62" s="4">
        <v>0</v>
      </c>
      <c r="Z62" s="4">
        <f t="shared" ca="1" si="1"/>
        <v>126</v>
      </c>
      <c r="AA62" s="10">
        <f t="shared" ca="1" si="12"/>
        <v>30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</row>
    <row r="63" spans="1:39" ht="15.85" customHeight="1" x14ac:dyDescent="0.3">
      <c r="A63" s="8">
        <v>58</v>
      </c>
      <c r="B63" s="11" t="s">
        <v>428</v>
      </c>
      <c r="C63" s="11" t="s">
        <v>429</v>
      </c>
      <c r="D63" s="5">
        <f ca="1">IFERROR(__xludf.DUMMYFUNCTION("IMPORTRANGE(""https://docs.google.com/spreadsheets/d/1rOGZhKHVnDGFqGTO7UNOJSkSJyQwVuEb2-yhWQit7lw/edit?gid=1653662536#gid=1653662536"", address(row($D61),column($D61),,,""DM&amp;GT-O""))"),16)</f>
        <v>16</v>
      </c>
      <c r="E63" s="8">
        <f t="shared" ca="1" si="2"/>
        <v>64</v>
      </c>
      <c r="F63" s="5">
        <f ca="1">IFERROR(__xludf.DUMMYFUNCTION("IMPORTRANGE(""https://docs.google.com/spreadsheets/d/1rOGZhKHVnDGFqGTO7UNOJSkSJyQwVuEb2-yhWQit7lw/edit?gid=1900628561#gid=1900628561"", address(row($D61),column($D61),,,""UHV-O""))"),22)</f>
        <v>22</v>
      </c>
      <c r="G63" s="8">
        <f t="shared" ca="1" si="3"/>
        <v>68.75</v>
      </c>
      <c r="H63" s="5">
        <f ca="1">IFERROR(__xludf.DUMMYFUNCTION("IMPORTRANGE(""https://docs.google.com/spreadsheets/d/1rOGZhKHVnDGFqGTO7UNOJSkSJyQwVuEb2-yhWQit7lw/edit?gid=95164189#gid=95164189"", address(row($D61),column($D61),,,""DL&amp;CO-O""))"),28)</f>
        <v>28</v>
      </c>
      <c r="I63" s="8">
        <f t="shared" ca="1" si="4"/>
        <v>71.794871794871796</v>
      </c>
      <c r="J63" s="5">
        <f ca="1">IFERROR(__xludf.DUMMYFUNCTION("IMPORTRANGE(""https://docs.google.com/spreadsheets/d/1rOGZhKHVnDGFqGTO7UNOJSkSJyQwVuEb2-yhWQit7lw/edit?gid=2139275483#gid=2139275483"", address(row($D61),column($D61),,,""ADSA-O""))"),42)</f>
        <v>42</v>
      </c>
      <c r="K63" s="8">
        <f t="shared" ca="1" si="5"/>
        <v>67.741935483870961</v>
      </c>
      <c r="L63" s="5">
        <f ca="1">IFERROR(__xludf.DUMMYFUNCTION("IMPORTRANGE(""https://docs.google.com/spreadsheets/d/1rOGZhKHVnDGFqGTO7UNOJSkSJyQwVuEb2-yhWQit7lw/edit?gid=352620554#gid=352620554"", address(row($D61),column($D61),,,""JAVA-O""))"),38)</f>
        <v>38</v>
      </c>
      <c r="M63" s="8">
        <f t="shared" ca="1" si="6"/>
        <v>55.072463768115945</v>
      </c>
      <c r="N63" s="5">
        <f ca="1">IFERROR(__xludf.DUMMYFUNCTION("IMPORTRANGE(""https://docs.google.com/spreadsheets/d/1rOGZhKHVnDGFqGTO7UNOJSkSJyQwVuEb2-yhWQit7lw/edit?gid=1434800060#gid=1434800060"", address(row($D61),column($D61),,,""FOSS LAB-O""))"),23)</f>
        <v>23</v>
      </c>
      <c r="O63" s="8">
        <f t="shared" ca="1" si="7"/>
        <v>69.696969696969703</v>
      </c>
      <c r="P63" s="5">
        <f ca="1">IFERROR(__xludf.DUMMYFUNCTION("IMPORTRANGE(""https://docs.google.com/spreadsheets/d/1rOGZhKHVnDGFqGTO7UNOJSkSJyQwVuEb2-yhWQit7lw/edit?gid=1510845942#gid=1510845942"", address(row($D61),column($D61),,,""PP-O""))"),30)</f>
        <v>30</v>
      </c>
      <c r="Q63" s="8">
        <f t="shared" ca="1" si="8"/>
        <v>75</v>
      </c>
      <c r="R63" s="5">
        <f ca="1">IFERROR(__xludf.DUMMYFUNCTION("IMPORTRANGE(""https://docs.google.com/spreadsheets/d/1rOGZhKHVnDGFqGTO7UNOJSkSJyQwVuEb2-yhWQit7lw/edit?gid=655644728#gid=655644728"", address(row($D61),column($D61),,,""NPTEL-O""))"),24)</f>
        <v>24</v>
      </c>
      <c r="S63" s="5">
        <f t="shared" ca="1" si="9"/>
        <v>80</v>
      </c>
      <c r="T63" s="6">
        <f ca="1">IFERROR(__xludf.DUMMYFUNCTION("IMPORTRANGE(""https://docs.google.com/spreadsheets/d/1rOGZhKHVnDGFqGTO7UNOJSkSJyQwVuEb2-yhWQit7lw/edit?gid=1409420437#gid=1409420437"", address(row($D61),column($D61),,,""CRT-O""))"),88)</f>
        <v>88</v>
      </c>
      <c r="U63" s="8">
        <f t="shared" ca="1" si="10"/>
        <v>96.703296703296701</v>
      </c>
      <c r="V63" s="6">
        <f t="shared" ca="1" si="0"/>
        <v>311</v>
      </c>
      <c r="W63" s="4">
        <f t="shared" ca="1" si="11"/>
        <v>74</v>
      </c>
      <c r="X63" s="4">
        <v>0</v>
      </c>
      <c r="Y63" s="4">
        <v>0</v>
      </c>
      <c r="Z63" s="4">
        <f t="shared" ca="1" si="1"/>
        <v>311</v>
      </c>
      <c r="AA63" s="10">
        <f t="shared" ca="1" si="12"/>
        <v>74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 spans="1:39" ht="15.85" customHeight="1" x14ac:dyDescent="0.3">
      <c r="A64" s="8">
        <v>59</v>
      </c>
      <c r="B64" s="11" t="s">
        <v>430</v>
      </c>
      <c r="C64" s="11" t="s">
        <v>431</v>
      </c>
      <c r="D64" s="5">
        <f ca="1">IFERROR(__xludf.DUMMYFUNCTION("IMPORTRANGE(""https://docs.google.com/spreadsheets/d/1rOGZhKHVnDGFqGTO7UNOJSkSJyQwVuEb2-yhWQit7lw/edit?gid=1653662536#gid=1653662536"", address(row($D62),column($D62),,,""DM&amp;GT-O""))"),15)</f>
        <v>15</v>
      </c>
      <c r="E64" s="8">
        <f t="shared" ca="1" si="2"/>
        <v>60</v>
      </c>
      <c r="F64" s="5">
        <f ca="1">IFERROR(__xludf.DUMMYFUNCTION("IMPORTRANGE(""https://docs.google.com/spreadsheets/d/1rOGZhKHVnDGFqGTO7UNOJSkSJyQwVuEb2-yhWQit7lw/edit?gid=1900628561#gid=1900628561"", address(row($D62),column($D62),,,""UHV-O""))"),21)</f>
        <v>21</v>
      </c>
      <c r="G64" s="8">
        <f t="shared" ca="1" si="3"/>
        <v>65.625</v>
      </c>
      <c r="H64" s="5">
        <f ca="1">IFERROR(__xludf.DUMMYFUNCTION("IMPORTRANGE(""https://docs.google.com/spreadsheets/d/1rOGZhKHVnDGFqGTO7UNOJSkSJyQwVuEb2-yhWQit7lw/edit?gid=95164189#gid=95164189"", address(row($D62),column($D62),,,""DL&amp;CO-O""))"),25)</f>
        <v>25</v>
      </c>
      <c r="I64" s="8">
        <f t="shared" ca="1" si="4"/>
        <v>64.102564102564102</v>
      </c>
      <c r="J64" s="5">
        <f ca="1">IFERROR(__xludf.DUMMYFUNCTION("IMPORTRANGE(""https://docs.google.com/spreadsheets/d/1rOGZhKHVnDGFqGTO7UNOJSkSJyQwVuEb2-yhWQit7lw/edit?gid=2139275483#gid=2139275483"", address(row($D62),column($D62),,,""ADSA-O""))"),33)</f>
        <v>33</v>
      </c>
      <c r="K64" s="8">
        <f t="shared" ca="1" si="5"/>
        <v>53.225806451612897</v>
      </c>
      <c r="L64" s="5">
        <f ca="1">IFERROR(__xludf.DUMMYFUNCTION("IMPORTRANGE(""https://docs.google.com/spreadsheets/d/1rOGZhKHVnDGFqGTO7UNOJSkSJyQwVuEb2-yhWQit7lw/edit?gid=352620554#gid=352620554"", address(row($D62),column($D62),,,""JAVA-O""))"),42)</f>
        <v>42</v>
      </c>
      <c r="M64" s="8">
        <f t="shared" ca="1" si="6"/>
        <v>60.869565217391312</v>
      </c>
      <c r="N64" s="5">
        <f ca="1">IFERROR(__xludf.DUMMYFUNCTION("IMPORTRANGE(""https://docs.google.com/spreadsheets/d/1rOGZhKHVnDGFqGTO7UNOJSkSJyQwVuEb2-yhWQit7lw/edit?gid=1434800060#gid=1434800060"", address(row($D62),column($D62),,,""FOSS LAB-O""))"),21)</f>
        <v>21</v>
      </c>
      <c r="O64" s="8">
        <f t="shared" ca="1" si="7"/>
        <v>63.636363636363633</v>
      </c>
      <c r="P64" s="5">
        <f ca="1">IFERROR(__xludf.DUMMYFUNCTION("IMPORTRANGE(""https://docs.google.com/spreadsheets/d/1rOGZhKHVnDGFqGTO7UNOJSkSJyQwVuEb2-yhWQit7lw/edit?gid=1510845942#gid=1510845942"", address(row($D62),column($D62),,,""PP-O""))"),24)</f>
        <v>24</v>
      </c>
      <c r="Q64" s="8">
        <f t="shared" ca="1" si="8"/>
        <v>60</v>
      </c>
      <c r="R64" s="5">
        <f ca="1">IFERROR(__xludf.DUMMYFUNCTION("IMPORTRANGE(""https://docs.google.com/spreadsheets/d/1rOGZhKHVnDGFqGTO7UNOJSkSJyQwVuEb2-yhWQit7lw/edit?gid=655644728#gid=655644728"", address(row($D62),column($D62),,,""NPTEL-O""))"),24)</f>
        <v>24</v>
      </c>
      <c r="S64" s="5">
        <f t="shared" ca="1" si="9"/>
        <v>80</v>
      </c>
      <c r="T64" s="6">
        <f ca="1">IFERROR(__xludf.DUMMYFUNCTION("IMPORTRANGE(""https://docs.google.com/spreadsheets/d/1rOGZhKHVnDGFqGTO7UNOJSkSJyQwVuEb2-yhWQit7lw/edit?gid=1409420437#gid=1409420437"", address(row($D62),column($D62),,,""CRT-O""))"),49)</f>
        <v>49</v>
      </c>
      <c r="U64" s="8">
        <f t="shared" ca="1" si="10"/>
        <v>53.846153846153847</v>
      </c>
      <c r="V64" s="6">
        <f t="shared" ca="1" si="0"/>
        <v>254</v>
      </c>
      <c r="W64" s="4">
        <f t="shared" ca="1" si="11"/>
        <v>60</v>
      </c>
      <c r="X64" s="4">
        <v>0</v>
      </c>
      <c r="Y64" s="4">
        <v>0</v>
      </c>
      <c r="Z64" s="4">
        <f t="shared" ca="1" si="1"/>
        <v>254</v>
      </c>
      <c r="AA64" s="10">
        <f t="shared" ca="1" si="12"/>
        <v>60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 spans="1:39" ht="15.85" customHeight="1" x14ac:dyDescent="0.3">
      <c r="A65" s="8">
        <v>60</v>
      </c>
      <c r="B65" s="11" t="s">
        <v>432</v>
      </c>
      <c r="C65" s="11" t="s">
        <v>433</v>
      </c>
      <c r="D65" s="5">
        <f ca="1">IFERROR(__xludf.DUMMYFUNCTION("IMPORTRANGE(""https://docs.google.com/spreadsheets/d/1rOGZhKHVnDGFqGTO7UNOJSkSJyQwVuEb2-yhWQit7lw/edit?gid=1653662536#gid=1653662536"", address(row($D63),column($D63),,,""DM&amp;GT-O""))"),21)</f>
        <v>21</v>
      </c>
      <c r="E65" s="8">
        <f t="shared" ca="1" si="2"/>
        <v>84</v>
      </c>
      <c r="F65" s="5">
        <f ca="1">IFERROR(__xludf.DUMMYFUNCTION("IMPORTRANGE(""https://docs.google.com/spreadsheets/d/1rOGZhKHVnDGFqGTO7UNOJSkSJyQwVuEb2-yhWQit7lw/edit?gid=1900628561#gid=1900628561"", address(row($D63),column($D63),,,""UHV-O""))"),25)</f>
        <v>25</v>
      </c>
      <c r="G65" s="8">
        <f t="shared" ca="1" si="3"/>
        <v>78.125</v>
      </c>
      <c r="H65" s="5">
        <f ca="1">IFERROR(__xludf.DUMMYFUNCTION("IMPORTRANGE(""https://docs.google.com/spreadsheets/d/1rOGZhKHVnDGFqGTO7UNOJSkSJyQwVuEb2-yhWQit7lw/edit?gid=95164189#gid=95164189"", address(row($D63),column($D63),,,""DL&amp;CO-O""))"),31)</f>
        <v>31</v>
      </c>
      <c r="I65" s="8">
        <f t="shared" ca="1" si="4"/>
        <v>79.487179487179489</v>
      </c>
      <c r="J65" s="5">
        <f ca="1">IFERROR(__xludf.DUMMYFUNCTION("IMPORTRANGE(""https://docs.google.com/spreadsheets/d/1rOGZhKHVnDGFqGTO7UNOJSkSJyQwVuEb2-yhWQit7lw/edit?gid=2139275483#gid=2139275483"", address(row($D63),column($D63),,,""ADSA-O""))"),49)</f>
        <v>49</v>
      </c>
      <c r="K65" s="8">
        <f t="shared" ca="1" si="5"/>
        <v>79.032258064516128</v>
      </c>
      <c r="L65" s="5">
        <f ca="1">IFERROR(__xludf.DUMMYFUNCTION("IMPORTRANGE(""https://docs.google.com/spreadsheets/d/1rOGZhKHVnDGFqGTO7UNOJSkSJyQwVuEb2-yhWQit7lw/edit?gid=352620554#gid=352620554"", address(row($D63),column($D63),,,""JAVA-O""))"),55)</f>
        <v>55</v>
      </c>
      <c r="M65" s="8">
        <f t="shared" ca="1" si="6"/>
        <v>79.710144927536234</v>
      </c>
      <c r="N65" s="5">
        <f ca="1">IFERROR(__xludf.DUMMYFUNCTION("IMPORTRANGE(""https://docs.google.com/spreadsheets/d/1rOGZhKHVnDGFqGTO7UNOJSkSJyQwVuEb2-yhWQit7lw/edit?gid=1434800060#gid=1434800060"", address(row($D63),column($D63),,,""FOSS LAB-O""))"),33)</f>
        <v>33</v>
      </c>
      <c r="O65" s="8">
        <f t="shared" ca="1" si="7"/>
        <v>100</v>
      </c>
      <c r="P65" s="5">
        <f ca="1">IFERROR(__xludf.DUMMYFUNCTION("IMPORTRANGE(""https://docs.google.com/spreadsheets/d/1rOGZhKHVnDGFqGTO7UNOJSkSJyQwVuEb2-yhWQit7lw/edit?gid=1510845942#gid=1510845942"", address(row($D63),column($D63),,,""PP-O""))"),32)</f>
        <v>32</v>
      </c>
      <c r="Q65" s="8">
        <f t="shared" ca="1" si="8"/>
        <v>80</v>
      </c>
      <c r="R65" s="5">
        <f ca="1">IFERROR(__xludf.DUMMYFUNCTION("IMPORTRANGE(""https://docs.google.com/spreadsheets/d/1rOGZhKHVnDGFqGTO7UNOJSkSJyQwVuEb2-yhWQit7lw/edit?gid=655644728#gid=655644728"", address(row($D63),column($D63),,,""NPTEL-O""))"),22)</f>
        <v>22</v>
      </c>
      <c r="S65" s="5">
        <f t="shared" ca="1" si="9"/>
        <v>73.333333333333329</v>
      </c>
      <c r="T65" s="6">
        <f ca="1">IFERROR(__xludf.DUMMYFUNCTION("IMPORTRANGE(""https://docs.google.com/spreadsheets/d/1rOGZhKHVnDGFqGTO7UNOJSkSJyQwVuEb2-yhWQit7lw/edit?gid=1409420437#gid=1409420437"", address(row($D63),column($D63),,,""CRT-O""))"),56)</f>
        <v>56</v>
      </c>
      <c r="U65" s="8">
        <f t="shared" ca="1" si="10"/>
        <v>61.53846153846154</v>
      </c>
      <c r="V65" s="6">
        <f t="shared" ca="1" si="0"/>
        <v>324</v>
      </c>
      <c r="W65" s="4">
        <f t="shared" ca="1" si="11"/>
        <v>77</v>
      </c>
      <c r="X65" s="4">
        <v>0</v>
      </c>
      <c r="Y65" s="4">
        <v>0</v>
      </c>
      <c r="Z65" s="4">
        <f t="shared" ca="1" si="1"/>
        <v>324</v>
      </c>
      <c r="AA65" s="10">
        <f t="shared" ca="1" si="12"/>
        <v>77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</row>
    <row r="66" spans="1:39" ht="15.85" customHeight="1" x14ac:dyDescent="0.3">
      <c r="A66" s="8">
        <v>61</v>
      </c>
      <c r="B66" s="11" t="s">
        <v>434</v>
      </c>
      <c r="C66" s="11" t="s">
        <v>435</v>
      </c>
      <c r="D66" s="5">
        <f ca="1">IFERROR(__xludf.DUMMYFUNCTION("IMPORTRANGE(""https://docs.google.com/spreadsheets/d/1rOGZhKHVnDGFqGTO7UNOJSkSJyQwVuEb2-yhWQit7lw/edit?gid=1653662536#gid=1653662536"", address(row($D64),column($D64),,,""DM&amp;GT-O""))"),25)</f>
        <v>25</v>
      </c>
      <c r="E66" s="8">
        <f t="shared" ca="1" si="2"/>
        <v>100</v>
      </c>
      <c r="F66" s="5">
        <f ca="1">IFERROR(__xludf.DUMMYFUNCTION("IMPORTRANGE(""https://docs.google.com/spreadsheets/d/1rOGZhKHVnDGFqGTO7UNOJSkSJyQwVuEb2-yhWQit7lw/edit?gid=1900628561#gid=1900628561"", address(row($D64),column($D64),,,""UHV-O""))"),29)</f>
        <v>29</v>
      </c>
      <c r="G66" s="8">
        <f t="shared" ca="1" si="3"/>
        <v>90.625</v>
      </c>
      <c r="H66" s="5">
        <f ca="1">IFERROR(__xludf.DUMMYFUNCTION("IMPORTRANGE(""https://docs.google.com/spreadsheets/d/1rOGZhKHVnDGFqGTO7UNOJSkSJyQwVuEb2-yhWQit7lw/edit?gid=95164189#gid=95164189"", address(row($D64),column($D64),,,""DL&amp;CO-O""))"),35)</f>
        <v>35</v>
      </c>
      <c r="I66" s="8">
        <f t="shared" ca="1" si="4"/>
        <v>89.743589743589752</v>
      </c>
      <c r="J66" s="5">
        <f ca="1">IFERROR(__xludf.DUMMYFUNCTION("IMPORTRANGE(""https://docs.google.com/spreadsheets/d/1rOGZhKHVnDGFqGTO7UNOJSkSJyQwVuEb2-yhWQit7lw/edit?gid=2139275483#gid=2139275483"", address(row($D64),column($D64),,,""ADSA-O""))"),51)</f>
        <v>51</v>
      </c>
      <c r="K66" s="8">
        <f t="shared" ca="1" si="5"/>
        <v>82.258064516129039</v>
      </c>
      <c r="L66" s="5">
        <f ca="1">IFERROR(__xludf.DUMMYFUNCTION("IMPORTRANGE(""https://docs.google.com/spreadsheets/d/1rOGZhKHVnDGFqGTO7UNOJSkSJyQwVuEb2-yhWQit7lw/edit?gid=352620554#gid=352620554"", address(row($D64),column($D64),,,""JAVA-O""))"),56)</f>
        <v>56</v>
      </c>
      <c r="M66" s="8">
        <f t="shared" ca="1" si="6"/>
        <v>81.159420289855078</v>
      </c>
      <c r="N66" s="5">
        <f ca="1">IFERROR(__xludf.DUMMYFUNCTION("IMPORTRANGE(""https://docs.google.com/spreadsheets/d/1rOGZhKHVnDGFqGTO7UNOJSkSJyQwVuEb2-yhWQit7lw/edit?gid=1434800060#gid=1434800060"", address(row($D64),column($D64),,,""FOSS LAB-O""))"),30)</f>
        <v>30</v>
      </c>
      <c r="O66" s="8">
        <f t="shared" ca="1" si="7"/>
        <v>90.909090909090907</v>
      </c>
      <c r="P66" s="5">
        <f ca="1">IFERROR(__xludf.DUMMYFUNCTION("IMPORTRANGE(""https://docs.google.com/spreadsheets/d/1rOGZhKHVnDGFqGTO7UNOJSkSJyQwVuEb2-yhWQit7lw/edit?gid=1510845942#gid=1510845942"", address(row($D64),column($D64),,,""PP-O""))"),34)</f>
        <v>34</v>
      </c>
      <c r="Q66" s="8">
        <f t="shared" ca="1" si="8"/>
        <v>85</v>
      </c>
      <c r="R66" s="5">
        <f ca="1">IFERROR(__xludf.DUMMYFUNCTION("IMPORTRANGE(""https://docs.google.com/spreadsheets/d/1rOGZhKHVnDGFqGTO7UNOJSkSJyQwVuEb2-yhWQit7lw/edit?gid=655644728#gid=655644728"", address(row($D64),column($D64),,,""NPTEL-O""))"),28)</f>
        <v>28</v>
      </c>
      <c r="S66" s="5">
        <f t="shared" ca="1" si="9"/>
        <v>93.333333333333329</v>
      </c>
      <c r="T66" s="6">
        <f ca="1">IFERROR(__xludf.DUMMYFUNCTION("IMPORTRANGE(""https://docs.google.com/spreadsheets/d/1rOGZhKHVnDGFqGTO7UNOJSkSJyQwVuEb2-yhWQit7lw/edit?gid=1409420437#gid=1409420437"", address(row($D64),column($D64),,,""CRT-O""))"),91)</f>
        <v>91</v>
      </c>
      <c r="U66" s="8">
        <f t="shared" ca="1" si="10"/>
        <v>100</v>
      </c>
      <c r="V66" s="6">
        <f t="shared" ca="1" si="0"/>
        <v>379</v>
      </c>
      <c r="W66" s="4">
        <f t="shared" ca="1" si="11"/>
        <v>90</v>
      </c>
      <c r="X66" s="4">
        <v>0</v>
      </c>
      <c r="Y66" s="4">
        <v>0</v>
      </c>
      <c r="Z66" s="4">
        <f t="shared" ca="1" si="1"/>
        <v>379</v>
      </c>
      <c r="AA66" s="10">
        <f t="shared" ca="1" si="12"/>
        <v>90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</row>
    <row r="67" spans="1:39" ht="15.85" customHeight="1" x14ac:dyDescent="0.3">
      <c r="A67" s="8">
        <v>62</v>
      </c>
      <c r="B67" s="11" t="s">
        <v>436</v>
      </c>
      <c r="C67" s="11" t="s">
        <v>437</v>
      </c>
      <c r="D67" s="5">
        <f ca="1">IFERROR(__xludf.DUMMYFUNCTION("IMPORTRANGE(""https://docs.google.com/spreadsheets/d/1rOGZhKHVnDGFqGTO7UNOJSkSJyQwVuEb2-yhWQit7lw/edit?gid=1653662536#gid=1653662536"", address(row($D65),column($D65),,,""DM&amp;GT-O""))"),20)</f>
        <v>20</v>
      </c>
      <c r="E67" s="8">
        <f t="shared" ca="1" si="2"/>
        <v>80</v>
      </c>
      <c r="F67" s="5">
        <f ca="1">IFERROR(__xludf.DUMMYFUNCTION("IMPORTRANGE(""https://docs.google.com/spreadsheets/d/1rOGZhKHVnDGFqGTO7UNOJSkSJyQwVuEb2-yhWQit7lw/edit?gid=1900628561#gid=1900628561"", address(row($D65),column($D65),,,""UHV-O""))"),23)</f>
        <v>23</v>
      </c>
      <c r="G67" s="8">
        <f t="shared" ca="1" si="3"/>
        <v>71.875</v>
      </c>
      <c r="H67" s="5">
        <f ca="1">IFERROR(__xludf.DUMMYFUNCTION("IMPORTRANGE(""https://docs.google.com/spreadsheets/d/1rOGZhKHVnDGFqGTO7UNOJSkSJyQwVuEb2-yhWQit7lw/edit?gid=95164189#gid=95164189"", address(row($D65),column($D65),,,""DL&amp;CO-O""))"),31)</f>
        <v>31</v>
      </c>
      <c r="I67" s="8">
        <f t="shared" ca="1" si="4"/>
        <v>79.487179487179489</v>
      </c>
      <c r="J67" s="5">
        <f ca="1">IFERROR(__xludf.DUMMYFUNCTION("IMPORTRANGE(""https://docs.google.com/spreadsheets/d/1rOGZhKHVnDGFqGTO7UNOJSkSJyQwVuEb2-yhWQit7lw/edit?gid=2139275483#gid=2139275483"", address(row($D65),column($D65),,,""ADSA-O""))"),42)</f>
        <v>42</v>
      </c>
      <c r="K67" s="8">
        <f t="shared" ca="1" si="5"/>
        <v>67.741935483870961</v>
      </c>
      <c r="L67" s="5">
        <f ca="1">IFERROR(__xludf.DUMMYFUNCTION("IMPORTRANGE(""https://docs.google.com/spreadsheets/d/1rOGZhKHVnDGFqGTO7UNOJSkSJyQwVuEb2-yhWQit7lw/edit?gid=352620554#gid=352620554"", address(row($D65),column($D65),,,""JAVA-O""))"),50)</f>
        <v>50</v>
      </c>
      <c r="M67" s="8">
        <f t="shared" ca="1" si="6"/>
        <v>72.463768115942031</v>
      </c>
      <c r="N67" s="5">
        <f ca="1">IFERROR(__xludf.DUMMYFUNCTION("IMPORTRANGE(""https://docs.google.com/spreadsheets/d/1rOGZhKHVnDGFqGTO7UNOJSkSJyQwVuEb2-yhWQit7lw/edit?gid=1434800060#gid=1434800060"", address(row($D65),column($D65),,,""FOSS LAB-O""))"),27)</f>
        <v>27</v>
      </c>
      <c r="O67" s="8">
        <f t="shared" ca="1" si="7"/>
        <v>81.818181818181827</v>
      </c>
      <c r="P67" s="5">
        <f ca="1">IFERROR(__xludf.DUMMYFUNCTION("IMPORTRANGE(""https://docs.google.com/spreadsheets/d/1rOGZhKHVnDGFqGTO7UNOJSkSJyQwVuEb2-yhWQit7lw/edit?gid=1510845942#gid=1510845942"", address(row($D65),column($D65),,,""PP-O""))"),34)</f>
        <v>34</v>
      </c>
      <c r="Q67" s="8">
        <f t="shared" ca="1" si="8"/>
        <v>85</v>
      </c>
      <c r="R67" s="5">
        <f ca="1">IFERROR(__xludf.DUMMYFUNCTION("IMPORTRANGE(""https://docs.google.com/spreadsheets/d/1rOGZhKHVnDGFqGTO7UNOJSkSJyQwVuEb2-yhWQit7lw/edit?gid=655644728#gid=655644728"", address(row($D65),column($D65),,,""NPTEL-O""))"),28)</f>
        <v>28</v>
      </c>
      <c r="S67" s="5">
        <f t="shared" ca="1" si="9"/>
        <v>93.333333333333329</v>
      </c>
      <c r="T67" s="6">
        <f ca="1">IFERROR(__xludf.DUMMYFUNCTION("IMPORTRANGE(""https://docs.google.com/spreadsheets/d/1rOGZhKHVnDGFqGTO7UNOJSkSJyQwVuEb2-yhWQit7lw/edit?gid=1409420437#gid=1409420437"", address(row($D65),column($D65),,,""CRT-O""))"),91)</f>
        <v>91</v>
      </c>
      <c r="U67" s="8">
        <f t="shared" ca="1" si="10"/>
        <v>100</v>
      </c>
      <c r="V67" s="6">
        <f t="shared" ca="1" si="0"/>
        <v>346</v>
      </c>
      <c r="W67" s="4">
        <f t="shared" ca="1" si="11"/>
        <v>82</v>
      </c>
      <c r="X67" s="4">
        <v>0</v>
      </c>
      <c r="Y67" s="4">
        <v>0</v>
      </c>
      <c r="Z67" s="4">
        <f t="shared" ca="1" si="1"/>
        <v>346</v>
      </c>
      <c r="AA67" s="10">
        <f t="shared" ca="1" si="12"/>
        <v>82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</row>
    <row r="68" spans="1:39" ht="15.85" customHeight="1" x14ac:dyDescent="0.3">
      <c r="A68" s="8">
        <v>63</v>
      </c>
      <c r="B68" s="11" t="s">
        <v>438</v>
      </c>
      <c r="C68" s="11" t="s">
        <v>439</v>
      </c>
      <c r="D68" s="5">
        <f ca="1">IFERROR(__xludf.DUMMYFUNCTION("IMPORTRANGE(""https://docs.google.com/spreadsheets/d/1rOGZhKHVnDGFqGTO7UNOJSkSJyQwVuEb2-yhWQit7lw/edit?gid=1653662536#gid=1653662536"", address(row($D66),column($D66),,,""DM&amp;GT-O""))"),13)</f>
        <v>13</v>
      </c>
      <c r="E68" s="8">
        <f t="shared" ca="1" si="2"/>
        <v>52</v>
      </c>
      <c r="F68" s="5">
        <f ca="1">IFERROR(__xludf.DUMMYFUNCTION("IMPORTRANGE(""https://docs.google.com/spreadsheets/d/1rOGZhKHVnDGFqGTO7UNOJSkSJyQwVuEb2-yhWQit7lw/edit?gid=1900628561#gid=1900628561"", address(row($D66),column($D66),,,""UHV-O""))"),16)</f>
        <v>16</v>
      </c>
      <c r="G68" s="8">
        <f t="shared" ca="1" si="3"/>
        <v>50</v>
      </c>
      <c r="H68" s="5">
        <f ca="1">IFERROR(__xludf.DUMMYFUNCTION("IMPORTRANGE(""https://docs.google.com/spreadsheets/d/1rOGZhKHVnDGFqGTO7UNOJSkSJyQwVuEb2-yhWQit7lw/edit?gid=95164189#gid=95164189"", address(row($D66),column($D66),,,""DL&amp;CO-O""))"),21)</f>
        <v>21</v>
      </c>
      <c r="I68" s="8">
        <f t="shared" ca="1" si="4"/>
        <v>53.846153846153847</v>
      </c>
      <c r="J68" s="5">
        <f ca="1">IFERROR(__xludf.DUMMYFUNCTION("IMPORTRANGE(""https://docs.google.com/spreadsheets/d/1rOGZhKHVnDGFqGTO7UNOJSkSJyQwVuEb2-yhWQit7lw/edit?gid=2139275483#gid=2139275483"", address(row($D66),column($D66),,,""ADSA-O""))"),37)</f>
        <v>37</v>
      </c>
      <c r="K68" s="8">
        <f t="shared" ca="1" si="5"/>
        <v>59.677419354838712</v>
      </c>
      <c r="L68" s="5">
        <f ca="1">IFERROR(__xludf.DUMMYFUNCTION("IMPORTRANGE(""https://docs.google.com/spreadsheets/d/1rOGZhKHVnDGFqGTO7UNOJSkSJyQwVuEb2-yhWQit7lw/edit?gid=352620554#gid=352620554"", address(row($D66),column($D66),,,""JAVA-O""))"),41)</f>
        <v>41</v>
      </c>
      <c r="M68" s="8">
        <f t="shared" ca="1" si="6"/>
        <v>59.420289855072461</v>
      </c>
      <c r="N68" s="5">
        <f ca="1">IFERROR(__xludf.DUMMYFUNCTION("IMPORTRANGE(""https://docs.google.com/spreadsheets/d/1rOGZhKHVnDGFqGTO7UNOJSkSJyQwVuEb2-yhWQit7lw/edit?gid=1434800060#gid=1434800060"", address(row($D66),column($D66),,,""FOSS LAB-O""))"),24)</f>
        <v>24</v>
      </c>
      <c r="O68" s="8">
        <f t="shared" ca="1" si="7"/>
        <v>72.727272727272734</v>
      </c>
      <c r="P68" s="5">
        <f ca="1">IFERROR(__xludf.DUMMYFUNCTION("IMPORTRANGE(""https://docs.google.com/spreadsheets/d/1rOGZhKHVnDGFqGTO7UNOJSkSJyQwVuEb2-yhWQit7lw/edit?gid=1510845942#gid=1510845942"", address(row($D66),column($D66),,,""PP-O""))"),26)</f>
        <v>26</v>
      </c>
      <c r="Q68" s="8">
        <f t="shared" ca="1" si="8"/>
        <v>65</v>
      </c>
      <c r="R68" s="5">
        <f ca="1">IFERROR(__xludf.DUMMYFUNCTION("IMPORTRANGE(""https://docs.google.com/spreadsheets/d/1rOGZhKHVnDGFqGTO7UNOJSkSJyQwVuEb2-yhWQit7lw/edit?gid=655644728#gid=655644728"", address(row($D66),column($D66),,,""NPTEL-O""))"),18)</f>
        <v>18</v>
      </c>
      <c r="S68" s="5">
        <f t="shared" ca="1" si="9"/>
        <v>60</v>
      </c>
      <c r="T68" s="6">
        <f ca="1">IFERROR(__xludf.DUMMYFUNCTION("IMPORTRANGE(""https://docs.google.com/spreadsheets/d/1rOGZhKHVnDGFqGTO7UNOJSkSJyQwVuEb2-yhWQit7lw/edit?gid=1409420437#gid=1409420437"", address(row($D66),column($D66),,,""CRT-O""))"),63)</f>
        <v>63</v>
      </c>
      <c r="U68" s="8">
        <f t="shared" ca="1" si="10"/>
        <v>69.230769230769226</v>
      </c>
      <c r="V68" s="6">
        <f t="shared" ca="1" si="0"/>
        <v>259</v>
      </c>
      <c r="W68" s="4">
        <f t="shared" ca="1" si="11"/>
        <v>62</v>
      </c>
      <c r="X68" s="4">
        <v>0</v>
      </c>
      <c r="Y68" s="4">
        <v>0</v>
      </c>
      <c r="Z68" s="4">
        <f t="shared" ca="1" si="1"/>
        <v>259</v>
      </c>
      <c r="AA68" s="10">
        <f t="shared" ca="1" si="12"/>
        <v>62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</row>
    <row r="69" spans="1:39" ht="15.85" customHeight="1" x14ac:dyDescent="0.3">
      <c r="A69" s="8">
        <v>64</v>
      </c>
      <c r="B69" s="11" t="s">
        <v>440</v>
      </c>
      <c r="C69" s="11" t="s">
        <v>441</v>
      </c>
      <c r="D69" s="5">
        <f ca="1">IFERROR(__xludf.DUMMYFUNCTION("IMPORTRANGE(""https://docs.google.com/spreadsheets/d/1rOGZhKHVnDGFqGTO7UNOJSkSJyQwVuEb2-yhWQit7lw/edit?gid=1653662536#gid=1653662536"", address(row($D67),column($D67),,,""DM&amp;GT-O""))"),20)</f>
        <v>20</v>
      </c>
      <c r="E69" s="8">
        <f t="shared" ca="1" si="2"/>
        <v>80</v>
      </c>
      <c r="F69" s="5">
        <f ca="1">IFERROR(__xludf.DUMMYFUNCTION("IMPORTRANGE(""https://docs.google.com/spreadsheets/d/1rOGZhKHVnDGFqGTO7UNOJSkSJyQwVuEb2-yhWQit7lw/edit?gid=1900628561#gid=1900628561"", address(row($D67),column($D67),,,""UHV-O""))"),27)</f>
        <v>27</v>
      </c>
      <c r="G69" s="8">
        <f t="shared" ca="1" si="3"/>
        <v>84.375</v>
      </c>
      <c r="H69" s="5">
        <f ca="1">IFERROR(__xludf.DUMMYFUNCTION("IMPORTRANGE(""https://docs.google.com/spreadsheets/d/1rOGZhKHVnDGFqGTO7UNOJSkSJyQwVuEb2-yhWQit7lw/edit?gid=95164189#gid=95164189"", address(row($D67),column($D67),,,""DL&amp;CO-O""))"),32)</f>
        <v>32</v>
      </c>
      <c r="I69" s="8">
        <f t="shared" ca="1" si="4"/>
        <v>82.051282051282044</v>
      </c>
      <c r="J69" s="5">
        <f ca="1">IFERROR(__xludf.DUMMYFUNCTION("IMPORTRANGE(""https://docs.google.com/spreadsheets/d/1rOGZhKHVnDGFqGTO7UNOJSkSJyQwVuEb2-yhWQit7lw/edit?gid=2139275483#gid=2139275483"", address(row($D67),column($D67),,,""ADSA-O""))"),48)</f>
        <v>48</v>
      </c>
      <c r="K69" s="8">
        <f t="shared" ca="1" si="5"/>
        <v>77.41935483870968</v>
      </c>
      <c r="L69" s="5">
        <f ca="1">IFERROR(__xludf.DUMMYFUNCTION("IMPORTRANGE(""https://docs.google.com/spreadsheets/d/1rOGZhKHVnDGFqGTO7UNOJSkSJyQwVuEb2-yhWQit7lw/edit?gid=352620554#gid=352620554"", address(row($D67),column($D67),,,""JAVA-O""))"),55)</f>
        <v>55</v>
      </c>
      <c r="M69" s="8">
        <f t="shared" ca="1" si="6"/>
        <v>79.710144927536234</v>
      </c>
      <c r="N69" s="5">
        <f ca="1">IFERROR(__xludf.DUMMYFUNCTION("IMPORTRANGE(""https://docs.google.com/spreadsheets/d/1rOGZhKHVnDGFqGTO7UNOJSkSJyQwVuEb2-yhWQit7lw/edit?gid=1434800060#gid=1434800060"", address(row($D67),column($D67),,,""FOSS LAB-O""))"),27)</f>
        <v>27</v>
      </c>
      <c r="O69" s="8">
        <f t="shared" ca="1" si="7"/>
        <v>81.818181818181827</v>
      </c>
      <c r="P69" s="5">
        <f ca="1">IFERROR(__xludf.DUMMYFUNCTION("IMPORTRANGE(""https://docs.google.com/spreadsheets/d/1rOGZhKHVnDGFqGTO7UNOJSkSJyQwVuEb2-yhWQit7lw/edit?gid=1510845942#gid=1510845942"", address(row($D67),column($D67),,,""PP-O""))"),34)</f>
        <v>34</v>
      </c>
      <c r="Q69" s="8">
        <f t="shared" ca="1" si="8"/>
        <v>85</v>
      </c>
      <c r="R69" s="5">
        <f ca="1">IFERROR(__xludf.DUMMYFUNCTION("IMPORTRANGE(""https://docs.google.com/spreadsheets/d/1rOGZhKHVnDGFqGTO7UNOJSkSJyQwVuEb2-yhWQit7lw/edit?gid=655644728#gid=655644728"", address(row($D67),column($D67),,,""NPTEL-O""))"),26)</f>
        <v>26</v>
      </c>
      <c r="S69" s="5">
        <f t="shared" ca="1" si="9"/>
        <v>86.666666666666671</v>
      </c>
      <c r="T69" s="6">
        <f ca="1">IFERROR(__xludf.DUMMYFUNCTION("IMPORTRANGE(""https://docs.google.com/spreadsheets/d/1rOGZhKHVnDGFqGTO7UNOJSkSJyQwVuEb2-yhWQit7lw/edit?gid=1409420437#gid=1409420437"", address(row($D67),column($D67),,,""CRT-O""))"),77)</f>
        <v>77</v>
      </c>
      <c r="U69" s="8">
        <f t="shared" ca="1" si="10"/>
        <v>84.615384615384613</v>
      </c>
      <c r="V69" s="6">
        <f t="shared" ca="1" si="0"/>
        <v>346</v>
      </c>
      <c r="W69" s="4">
        <f t="shared" ca="1" si="11"/>
        <v>82</v>
      </c>
      <c r="X69" s="4">
        <v>0</v>
      </c>
      <c r="Y69" s="4">
        <v>0</v>
      </c>
      <c r="Z69" s="4">
        <f t="shared" ca="1" si="1"/>
        <v>346</v>
      </c>
      <c r="AA69" s="10">
        <f t="shared" ca="1" si="12"/>
        <v>82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</row>
    <row r="70" spans="1:39" ht="15.05" customHeight="1" x14ac:dyDescent="0.3">
      <c r="A70" s="8">
        <v>65</v>
      </c>
      <c r="B70" s="11" t="s">
        <v>442</v>
      </c>
      <c r="C70" s="11" t="s">
        <v>443</v>
      </c>
      <c r="D70" s="5">
        <f ca="1">IFERROR(__xludf.DUMMYFUNCTION("IMPORTRANGE(""https://docs.google.com/spreadsheets/d/1rOGZhKHVnDGFqGTO7UNOJSkSJyQwVuEb2-yhWQit7lw/edit?gid=1653662536#gid=1653662536"", address(row($D68),column($D68),,,""DM&amp;GT-O""))"),11)</f>
        <v>11</v>
      </c>
      <c r="E70" s="8">
        <f t="shared" ca="1" si="2"/>
        <v>44</v>
      </c>
      <c r="F70" s="5">
        <f ca="1">IFERROR(__xludf.DUMMYFUNCTION("IMPORTRANGE(""https://docs.google.com/spreadsheets/d/1rOGZhKHVnDGFqGTO7UNOJSkSJyQwVuEb2-yhWQit7lw/edit?gid=1900628561#gid=1900628561"", address(row($D68),column($D68),,,""UHV-O""))"),18)</f>
        <v>18</v>
      </c>
      <c r="G70" s="8">
        <f t="shared" ca="1" si="3"/>
        <v>56.25</v>
      </c>
      <c r="H70" s="5">
        <f ca="1">IFERROR(__xludf.DUMMYFUNCTION("IMPORTRANGE(""https://docs.google.com/spreadsheets/d/1rOGZhKHVnDGFqGTO7UNOJSkSJyQwVuEb2-yhWQit7lw/edit?gid=95164189#gid=95164189"", address(row($D68),column($D68),,,""DL&amp;CO-O""))"),18)</f>
        <v>18</v>
      </c>
      <c r="I70" s="8">
        <f t="shared" ca="1" si="4"/>
        <v>46.153846153846153</v>
      </c>
      <c r="J70" s="5">
        <f ca="1">IFERROR(__xludf.DUMMYFUNCTION("IMPORTRANGE(""https://docs.google.com/spreadsheets/d/1rOGZhKHVnDGFqGTO7UNOJSkSJyQwVuEb2-yhWQit7lw/edit?gid=2139275483#gid=2139275483"", address(row($D68),column($D68),,,""ADSA-O""))"),38)</f>
        <v>38</v>
      </c>
      <c r="K70" s="8">
        <f t="shared" ca="1" si="5"/>
        <v>61.29032258064516</v>
      </c>
      <c r="L70" s="5">
        <f ca="1">IFERROR(__xludf.DUMMYFUNCTION("IMPORTRANGE(""https://docs.google.com/spreadsheets/d/1rOGZhKHVnDGFqGTO7UNOJSkSJyQwVuEb2-yhWQit7lw/edit?gid=352620554#gid=352620554"", address(row($D68),column($D68),,,""JAVA-O""))"),25)</f>
        <v>25</v>
      </c>
      <c r="M70" s="8">
        <f t="shared" ca="1" si="6"/>
        <v>36.231884057971016</v>
      </c>
      <c r="N70" s="5">
        <f ca="1">IFERROR(__xludf.DUMMYFUNCTION("IMPORTRANGE(""https://docs.google.com/spreadsheets/d/1rOGZhKHVnDGFqGTO7UNOJSkSJyQwVuEb2-yhWQit7lw/edit?gid=1434800060#gid=1434800060"", address(row($D68),column($D68),,,""FOSS LAB-O""))"),12)</f>
        <v>12</v>
      </c>
      <c r="O70" s="8">
        <f t="shared" ca="1" si="7"/>
        <v>36.363636363636367</v>
      </c>
      <c r="P70" s="5">
        <f ca="1">IFERROR(__xludf.DUMMYFUNCTION("IMPORTRANGE(""https://docs.google.com/spreadsheets/d/1rOGZhKHVnDGFqGTO7UNOJSkSJyQwVuEb2-yhWQit7lw/edit?gid=1510845942#gid=1510845942"", address(row($D68),column($D68),,,""PP-O""))"),24)</f>
        <v>24</v>
      </c>
      <c r="Q70" s="8">
        <f t="shared" ca="1" si="8"/>
        <v>60</v>
      </c>
      <c r="R70" s="5">
        <f ca="1">IFERROR(__xludf.DUMMYFUNCTION("IMPORTRANGE(""https://docs.google.com/spreadsheets/d/1rOGZhKHVnDGFqGTO7UNOJSkSJyQwVuEb2-yhWQit7lw/edit?gid=655644728#gid=655644728"", address(row($D68),column($D68),,,""NPTEL-O""))"),16)</f>
        <v>16</v>
      </c>
      <c r="S70" s="5">
        <f t="shared" ca="1" si="9"/>
        <v>53.333333333333336</v>
      </c>
      <c r="T70" s="6">
        <f ca="1">IFERROR(__xludf.DUMMYFUNCTION("IMPORTRANGE(""https://docs.google.com/spreadsheets/d/1rOGZhKHVnDGFqGTO7UNOJSkSJyQwVuEb2-yhWQit7lw/edit?gid=1409420437#gid=1409420437"", address(row($D68),column($D68),,,""CRT-O""))"),38)</f>
        <v>38</v>
      </c>
      <c r="U70" s="8">
        <f t="shared" ca="1" si="10"/>
        <v>41.758241758241759</v>
      </c>
      <c r="V70" s="6">
        <f t="shared" ca="1" si="0"/>
        <v>200</v>
      </c>
      <c r="W70" s="4">
        <f t="shared" ca="1" si="11"/>
        <v>48</v>
      </c>
      <c r="X70" s="4">
        <v>0</v>
      </c>
      <c r="Y70" s="4">
        <v>0</v>
      </c>
      <c r="Z70" s="4">
        <f t="shared" ca="1" si="1"/>
        <v>200</v>
      </c>
      <c r="AA70" s="10">
        <f t="shared" ca="1" si="12"/>
        <v>48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</row>
    <row r="71" spans="1:39" ht="15.05" customHeight="1" x14ac:dyDescent="0.3">
      <c r="A71" s="8">
        <v>66</v>
      </c>
      <c r="B71" s="11" t="s">
        <v>444</v>
      </c>
      <c r="C71" s="11" t="s">
        <v>445</v>
      </c>
      <c r="D71" s="5">
        <f ca="1">IFERROR(__xludf.DUMMYFUNCTION("IMPORTRANGE(""https://docs.google.com/spreadsheets/d/1rOGZhKHVnDGFqGTO7UNOJSkSJyQwVuEb2-yhWQit7lw/edit?gid=1653662536#gid=1653662536"", address(row($D69),column($D69),,,""DM&amp;GT-O""))"),2)</f>
        <v>2</v>
      </c>
      <c r="E71" s="8">
        <f t="shared" ca="1" si="2"/>
        <v>8</v>
      </c>
      <c r="F71" s="5">
        <f ca="1">IFERROR(__xludf.DUMMYFUNCTION("IMPORTRANGE(""https://docs.google.com/spreadsheets/d/1rOGZhKHVnDGFqGTO7UNOJSkSJyQwVuEb2-yhWQit7lw/edit?gid=1900628561#gid=1900628561"", address(row($D69),column($D69),,,""UHV-O""))"),10)</f>
        <v>10</v>
      </c>
      <c r="G71" s="8">
        <f t="shared" ca="1" si="3"/>
        <v>31.25</v>
      </c>
      <c r="H71" s="5">
        <f ca="1">IFERROR(__xludf.DUMMYFUNCTION("IMPORTRANGE(""https://docs.google.com/spreadsheets/d/1rOGZhKHVnDGFqGTO7UNOJSkSJyQwVuEb2-yhWQit7lw/edit?gid=95164189#gid=95164189"", address(row($D69),column($D69),,,""DL&amp;CO-O""))"),7)</f>
        <v>7</v>
      </c>
      <c r="I71" s="8">
        <f t="shared" ca="1" si="4"/>
        <v>17.948717948717949</v>
      </c>
      <c r="J71" s="5">
        <f ca="1">IFERROR(__xludf.DUMMYFUNCTION("IMPORTRANGE(""https://docs.google.com/spreadsheets/d/1rOGZhKHVnDGFqGTO7UNOJSkSJyQwVuEb2-yhWQit7lw/edit?gid=2139275483#gid=2139275483"", address(row($D69),column($D69),,,""ADSA-O""))"),20)</f>
        <v>20</v>
      </c>
      <c r="K71" s="8">
        <f t="shared" ca="1" si="5"/>
        <v>32.258064516129032</v>
      </c>
      <c r="L71" s="5">
        <f ca="1">IFERROR(__xludf.DUMMYFUNCTION("IMPORTRANGE(""https://docs.google.com/spreadsheets/d/1rOGZhKHVnDGFqGTO7UNOJSkSJyQwVuEb2-yhWQit7lw/edit?gid=352620554#gid=352620554"", address(row($D69),column($D69),,,""JAVA-O""))"),18)</f>
        <v>18</v>
      </c>
      <c r="M71" s="8">
        <f t="shared" ca="1" si="6"/>
        <v>26.086956521739129</v>
      </c>
      <c r="N71" s="5">
        <f ca="1">IFERROR(__xludf.DUMMYFUNCTION("IMPORTRANGE(""https://docs.google.com/spreadsheets/d/1rOGZhKHVnDGFqGTO7UNOJSkSJyQwVuEb2-yhWQit7lw/edit?gid=1434800060#gid=1434800060"", address(row($D69),column($D69),,,""FOSS LAB-O""))"),15)</f>
        <v>15</v>
      </c>
      <c r="O71" s="8">
        <f t="shared" ca="1" si="7"/>
        <v>45.454545454545453</v>
      </c>
      <c r="P71" s="5">
        <f ca="1">IFERROR(__xludf.DUMMYFUNCTION("IMPORTRANGE(""https://docs.google.com/spreadsheets/d/1rOGZhKHVnDGFqGTO7UNOJSkSJyQwVuEb2-yhWQit7lw/edit?gid=1510845942#gid=1510845942"", address(row($D69),column($D69),,,""PP-O""))"),14)</f>
        <v>14</v>
      </c>
      <c r="Q71" s="8">
        <f t="shared" ca="1" si="8"/>
        <v>35</v>
      </c>
      <c r="R71" s="5">
        <f ca="1">IFERROR(__xludf.DUMMYFUNCTION("IMPORTRANGE(""https://docs.google.com/spreadsheets/d/1rOGZhKHVnDGFqGTO7UNOJSkSJyQwVuEb2-yhWQit7lw/edit?gid=655644728#gid=655644728"", address(row($D69),column($D69),,,""NPTEL-O""))"),18)</f>
        <v>18</v>
      </c>
      <c r="S71" s="5">
        <f t="shared" ca="1" si="9"/>
        <v>60</v>
      </c>
      <c r="T71" s="6">
        <f ca="1">IFERROR(__xludf.DUMMYFUNCTION("IMPORTRANGE(""https://docs.google.com/spreadsheets/d/1rOGZhKHVnDGFqGTO7UNOJSkSJyQwVuEb2-yhWQit7lw/edit?gid=1409420437#gid=1409420437"", address(row($D69),column($D69),,,""CRT-O""))"),44)</f>
        <v>44</v>
      </c>
      <c r="U71" s="8">
        <f t="shared" ca="1" si="10"/>
        <v>48.35164835164835</v>
      </c>
      <c r="V71" s="6">
        <f t="shared" ca="1" si="0"/>
        <v>148</v>
      </c>
      <c r="W71" s="4">
        <f t="shared" ca="1" si="11"/>
        <v>35</v>
      </c>
      <c r="X71" s="4">
        <v>0</v>
      </c>
      <c r="Y71" s="4">
        <v>0</v>
      </c>
      <c r="Z71" s="4">
        <f t="shared" ca="1" si="1"/>
        <v>148</v>
      </c>
      <c r="AA71" s="10">
        <f t="shared" ca="1" si="12"/>
        <v>35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</row>
    <row r="72" spans="1:39" ht="15.85" customHeight="1" x14ac:dyDescent="0.3">
      <c r="A72" s="8">
        <v>67</v>
      </c>
      <c r="B72" s="11" t="s">
        <v>446</v>
      </c>
      <c r="C72" s="11" t="s">
        <v>447</v>
      </c>
      <c r="D72" s="5">
        <f ca="1">IFERROR(__xludf.DUMMYFUNCTION("IMPORTRANGE(""https://docs.google.com/spreadsheets/d/1rOGZhKHVnDGFqGTO7UNOJSkSJyQwVuEb2-yhWQit7lw/edit?gid=1653662536#gid=1653662536"", address(row($D70),column($D70),,,""DM&amp;GT-O""))"),9)</f>
        <v>9</v>
      </c>
      <c r="E72" s="8">
        <f t="shared" ca="1" si="2"/>
        <v>36</v>
      </c>
      <c r="F72" s="5">
        <f ca="1">IFERROR(__xludf.DUMMYFUNCTION("IMPORTRANGE(""https://docs.google.com/spreadsheets/d/1rOGZhKHVnDGFqGTO7UNOJSkSJyQwVuEb2-yhWQit7lw/edit?gid=1900628561#gid=1900628561"", address(row($D70),column($D70),,,""UHV-O""))"),12)</f>
        <v>12</v>
      </c>
      <c r="G72" s="8">
        <f t="shared" ca="1" si="3"/>
        <v>37.5</v>
      </c>
      <c r="H72" s="5">
        <f ca="1">IFERROR(__xludf.DUMMYFUNCTION("IMPORTRANGE(""https://docs.google.com/spreadsheets/d/1rOGZhKHVnDGFqGTO7UNOJSkSJyQwVuEb2-yhWQit7lw/edit?gid=95164189#gid=95164189"", address(row($D70),column($D70),,,""DL&amp;CO-O""))"),15)</f>
        <v>15</v>
      </c>
      <c r="I72" s="8">
        <f t="shared" ca="1" si="4"/>
        <v>38.461538461538467</v>
      </c>
      <c r="J72" s="5">
        <f ca="1">IFERROR(__xludf.DUMMYFUNCTION("IMPORTRANGE(""https://docs.google.com/spreadsheets/d/1rOGZhKHVnDGFqGTO7UNOJSkSJyQwVuEb2-yhWQit7lw/edit?gid=2139275483#gid=2139275483"", address(row($D70),column($D70),,,""ADSA-O""))"),26)</f>
        <v>26</v>
      </c>
      <c r="K72" s="8">
        <f t="shared" ca="1" si="5"/>
        <v>41.935483870967744</v>
      </c>
      <c r="L72" s="5">
        <f ca="1">IFERROR(__xludf.DUMMYFUNCTION("IMPORTRANGE(""https://docs.google.com/spreadsheets/d/1rOGZhKHVnDGFqGTO7UNOJSkSJyQwVuEb2-yhWQit7lw/edit?gid=352620554#gid=352620554"", address(row($D70),column($D70),,,""JAVA-O""))"),18)</f>
        <v>18</v>
      </c>
      <c r="M72" s="8">
        <f t="shared" ca="1" si="6"/>
        <v>26.086956521739129</v>
      </c>
      <c r="N72" s="5">
        <f ca="1">IFERROR(__xludf.DUMMYFUNCTION("IMPORTRANGE(""https://docs.google.com/spreadsheets/d/1rOGZhKHVnDGFqGTO7UNOJSkSJyQwVuEb2-yhWQit7lw/edit?gid=1434800060#gid=1434800060"", address(row($D70),column($D70),,,""FOSS LAB-O""))"),15)</f>
        <v>15</v>
      </c>
      <c r="O72" s="8">
        <f t="shared" ca="1" si="7"/>
        <v>45.454545454545453</v>
      </c>
      <c r="P72" s="5">
        <f ca="1">IFERROR(__xludf.DUMMYFUNCTION("IMPORTRANGE(""https://docs.google.com/spreadsheets/d/1rOGZhKHVnDGFqGTO7UNOJSkSJyQwVuEb2-yhWQit7lw/edit?gid=1510845942#gid=1510845942"", address(row($D70),column($D70),,,""PP-O""))"),20)</f>
        <v>20</v>
      </c>
      <c r="Q72" s="8">
        <f t="shared" ca="1" si="8"/>
        <v>50</v>
      </c>
      <c r="R72" s="5">
        <f ca="1">IFERROR(__xludf.DUMMYFUNCTION("IMPORTRANGE(""https://docs.google.com/spreadsheets/d/1rOGZhKHVnDGFqGTO7UNOJSkSJyQwVuEb2-yhWQit7lw/edit?gid=655644728#gid=655644728"", address(row($D70),column($D70),,,""NPTEL-O""))"),8)</f>
        <v>8</v>
      </c>
      <c r="S72" s="5">
        <f t="shared" ca="1" si="9"/>
        <v>26.666666666666668</v>
      </c>
      <c r="T72" s="6">
        <f ca="1">IFERROR(__xludf.DUMMYFUNCTION("IMPORTRANGE(""https://docs.google.com/spreadsheets/d/1rOGZhKHVnDGFqGTO7UNOJSkSJyQwVuEb2-yhWQit7lw/edit?gid=1409420437#gid=1409420437"", address(row($D70),column($D70),,,""CRT-O""))"),14)</f>
        <v>14</v>
      </c>
      <c r="U72" s="8">
        <f t="shared" ca="1" si="10"/>
        <v>15.384615384615385</v>
      </c>
      <c r="V72" s="6">
        <f t="shared" ca="1" si="0"/>
        <v>137</v>
      </c>
      <c r="W72" s="4">
        <f t="shared" ca="1" si="11"/>
        <v>33</v>
      </c>
      <c r="X72" s="4">
        <v>0</v>
      </c>
      <c r="Y72" s="4">
        <v>0</v>
      </c>
      <c r="Z72" s="4">
        <f t="shared" ca="1" si="1"/>
        <v>137</v>
      </c>
      <c r="AA72" s="10">
        <f t="shared" ca="1" si="12"/>
        <v>33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</row>
    <row r="73" spans="1:39" ht="15.85" customHeight="1" x14ac:dyDescent="0.3">
      <c r="A73" s="8">
        <v>68</v>
      </c>
      <c r="B73" s="11" t="s">
        <v>448</v>
      </c>
      <c r="C73" s="11" t="s">
        <v>449</v>
      </c>
      <c r="D73" s="5">
        <f ca="1">IFERROR(__xludf.DUMMYFUNCTION("IMPORTRANGE(""https://docs.google.com/spreadsheets/d/1rOGZhKHVnDGFqGTO7UNOJSkSJyQwVuEb2-yhWQit7lw/edit?gid=1653662536#gid=1653662536"", address(row($D71),column($D71),,,""DM&amp;GT-O""))"),15)</f>
        <v>15</v>
      </c>
      <c r="E73" s="8">
        <f t="shared" ca="1" si="2"/>
        <v>60</v>
      </c>
      <c r="F73" s="5">
        <f ca="1">IFERROR(__xludf.DUMMYFUNCTION("IMPORTRANGE(""https://docs.google.com/spreadsheets/d/1rOGZhKHVnDGFqGTO7UNOJSkSJyQwVuEb2-yhWQit7lw/edit?gid=1900628561#gid=1900628561"", address(row($D71),column($D71),,,""UHV-O""))"),23)</f>
        <v>23</v>
      </c>
      <c r="G73" s="8">
        <f t="shared" ca="1" si="3"/>
        <v>71.875</v>
      </c>
      <c r="H73" s="5">
        <f ca="1">IFERROR(__xludf.DUMMYFUNCTION("IMPORTRANGE(""https://docs.google.com/spreadsheets/d/1rOGZhKHVnDGFqGTO7UNOJSkSJyQwVuEb2-yhWQit7lw/edit?gid=95164189#gid=95164189"", address(row($D71),column($D71),,,""DL&amp;CO-O""))"),27)</f>
        <v>27</v>
      </c>
      <c r="I73" s="8">
        <f t="shared" ca="1" si="4"/>
        <v>69.230769230769226</v>
      </c>
      <c r="J73" s="5">
        <f ca="1">IFERROR(__xludf.DUMMYFUNCTION("IMPORTRANGE(""https://docs.google.com/spreadsheets/d/1rOGZhKHVnDGFqGTO7UNOJSkSJyQwVuEb2-yhWQit7lw/edit?gid=2139275483#gid=2139275483"", address(row($D71),column($D71),,,""ADSA-O""))"),39)</f>
        <v>39</v>
      </c>
      <c r="K73" s="8">
        <f t="shared" ca="1" si="5"/>
        <v>62.903225806451616</v>
      </c>
      <c r="L73" s="5">
        <f ca="1">IFERROR(__xludf.DUMMYFUNCTION("IMPORTRANGE(""https://docs.google.com/spreadsheets/d/1rOGZhKHVnDGFqGTO7UNOJSkSJyQwVuEb2-yhWQit7lw/edit?gid=352620554#gid=352620554"", address(row($D71),column($D71),,,""JAVA-O""))"),48)</f>
        <v>48</v>
      </c>
      <c r="M73" s="8">
        <f t="shared" ca="1" si="6"/>
        <v>69.565217391304344</v>
      </c>
      <c r="N73" s="5">
        <f ca="1">IFERROR(__xludf.DUMMYFUNCTION("IMPORTRANGE(""https://docs.google.com/spreadsheets/d/1rOGZhKHVnDGFqGTO7UNOJSkSJyQwVuEb2-yhWQit7lw/edit?gid=1434800060#gid=1434800060"", address(row($D71),column($D71),,,""FOSS LAB-O""))"),21)</f>
        <v>21</v>
      </c>
      <c r="O73" s="8">
        <f t="shared" ca="1" si="7"/>
        <v>63.636363636363633</v>
      </c>
      <c r="P73" s="5">
        <f ca="1">IFERROR(__xludf.DUMMYFUNCTION("IMPORTRANGE(""https://docs.google.com/spreadsheets/d/1rOGZhKHVnDGFqGTO7UNOJSkSJyQwVuEb2-yhWQit7lw/edit?gid=1510845942#gid=1510845942"", address(row($D71),column($D71),,,""PP-O""))"),32)</f>
        <v>32</v>
      </c>
      <c r="Q73" s="8">
        <f t="shared" ca="1" si="8"/>
        <v>80</v>
      </c>
      <c r="R73" s="5">
        <f ca="1">IFERROR(__xludf.DUMMYFUNCTION("IMPORTRANGE(""https://docs.google.com/spreadsheets/d/1rOGZhKHVnDGFqGTO7UNOJSkSJyQwVuEb2-yhWQit7lw/edit?gid=655644728#gid=655644728"", address(row($D71),column($D71),,,""NPTEL-O""))"),26)</f>
        <v>26</v>
      </c>
      <c r="S73" s="5">
        <f t="shared" ca="1" si="9"/>
        <v>86.666666666666671</v>
      </c>
      <c r="T73" s="6">
        <f ca="1">IFERROR(__xludf.DUMMYFUNCTION("IMPORTRANGE(""https://docs.google.com/spreadsheets/d/1rOGZhKHVnDGFqGTO7UNOJSkSJyQwVuEb2-yhWQit7lw/edit?gid=1409420437#gid=1409420437"", address(row($D71),column($D71),,,""CRT-O""))"),77)</f>
        <v>77</v>
      </c>
      <c r="U73" s="8">
        <f t="shared" ca="1" si="10"/>
        <v>84.615384615384613</v>
      </c>
      <c r="V73" s="6">
        <f t="shared" ca="1" si="0"/>
        <v>308</v>
      </c>
      <c r="W73" s="4">
        <f t="shared" ca="1" si="11"/>
        <v>73</v>
      </c>
      <c r="X73" s="4">
        <v>0</v>
      </c>
      <c r="Y73" s="4">
        <v>0</v>
      </c>
      <c r="Z73" s="4">
        <f t="shared" ca="1" si="1"/>
        <v>308</v>
      </c>
      <c r="AA73" s="10">
        <f t="shared" ca="1" si="12"/>
        <v>73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</row>
    <row r="74" spans="1:39" ht="15.85" customHeight="1" x14ac:dyDescent="0.3">
      <c r="A74" s="8">
        <v>69</v>
      </c>
      <c r="B74" s="11" t="s">
        <v>450</v>
      </c>
      <c r="C74" s="11" t="s">
        <v>451</v>
      </c>
      <c r="D74" s="5">
        <f ca="1">IFERROR(__xludf.DUMMYFUNCTION("IMPORTRANGE(""https://docs.google.com/spreadsheets/d/1rOGZhKHVnDGFqGTO7UNOJSkSJyQwVuEb2-yhWQit7lw/edit?gid=1653662536#gid=1653662536"", address(row($D72),column($D72),,,""DM&amp;GT-O""))"),15)</f>
        <v>15</v>
      </c>
      <c r="E74" s="8">
        <f t="shared" ca="1" si="2"/>
        <v>60</v>
      </c>
      <c r="F74" s="5">
        <f ca="1">IFERROR(__xludf.DUMMYFUNCTION("IMPORTRANGE(""https://docs.google.com/spreadsheets/d/1rOGZhKHVnDGFqGTO7UNOJSkSJyQwVuEb2-yhWQit7lw/edit?gid=1900628561#gid=1900628561"", address(row($D72),column($D72),,,""UHV-O""))"),20)</f>
        <v>20</v>
      </c>
      <c r="G74" s="8">
        <f t="shared" ca="1" si="3"/>
        <v>62.5</v>
      </c>
      <c r="H74" s="5">
        <f ca="1">IFERROR(__xludf.DUMMYFUNCTION("IMPORTRANGE(""https://docs.google.com/spreadsheets/d/1rOGZhKHVnDGFqGTO7UNOJSkSJyQwVuEb2-yhWQit7lw/edit?gid=95164189#gid=95164189"", address(row($D72),column($D72),,,""DL&amp;CO-O""))"),27)</f>
        <v>27</v>
      </c>
      <c r="I74" s="8">
        <f t="shared" ca="1" si="4"/>
        <v>69.230769230769226</v>
      </c>
      <c r="J74" s="5">
        <f ca="1">IFERROR(__xludf.DUMMYFUNCTION("IMPORTRANGE(""https://docs.google.com/spreadsheets/d/1rOGZhKHVnDGFqGTO7UNOJSkSJyQwVuEb2-yhWQit7lw/edit?gid=2139275483#gid=2139275483"", address(row($D72),column($D72),,,""ADSA-O""))"),40)</f>
        <v>40</v>
      </c>
      <c r="K74" s="8">
        <f t="shared" ca="1" si="5"/>
        <v>64.516129032258064</v>
      </c>
      <c r="L74" s="5">
        <f ca="1">IFERROR(__xludf.DUMMYFUNCTION("IMPORTRANGE(""https://docs.google.com/spreadsheets/d/1rOGZhKHVnDGFqGTO7UNOJSkSJyQwVuEb2-yhWQit7lw/edit?gid=352620554#gid=352620554"", address(row($D72),column($D72),,,""JAVA-O""))"),40)</f>
        <v>40</v>
      </c>
      <c r="M74" s="8">
        <f t="shared" ca="1" si="6"/>
        <v>57.971014492753625</v>
      </c>
      <c r="N74" s="5">
        <f ca="1">IFERROR(__xludf.DUMMYFUNCTION("IMPORTRANGE(""https://docs.google.com/spreadsheets/d/1rOGZhKHVnDGFqGTO7UNOJSkSJyQwVuEb2-yhWQit7lw/edit?gid=1434800060#gid=1434800060"", address(row($D72),column($D72),,,""FOSS LAB-O""))"),24)</f>
        <v>24</v>
      </c>
      <c r="O74" s="8">
        <f t="shared" ca="1" si="7"/>
        <v>72.727272727272734</v>
      </c>
      <c r="P74" s="5">
        <f ca="1">IFERROR(__xludf.DUMMYFUNCTION("IMPORTRANGE(""https://docs.google.com/spreadsheets/d/1rOGZhKHVnDGFqGTO7UNOJSkSJyQwVuEb2-yhWQit7lw/edit?gid=1510845942#gid=1510845942"", address(row($D72),column($D72),,,""PP-O""))"),32)</f>
        <v>32</v>
      </c>
      <c r="Q74" s="8">
        <f t="shared" ca="1" si="8"/>
        <v>80</v>
      </c>
      <c r="R74" s="5">
        <f ca="1">IFERROR(__xludf.DUMMYFUNCTION("IMPORTRANGE(""https://docs.google.com/spreadsheets/d/1rOGZhKHVnDGFqGTO7UNOJSkSJyQwVuEb2-yhWQit7lw/edit?gid=655644728#gid=655644728"", address(row($D72),column($D72),,,""NPTEL-O""))"),26)</f>
        <v>26</v>
      </c>
      <c r="S74" s="5">
        <f t="shared" ca="1" si="9"/>
        <v>86.666666666666671</v>
      </c>
      <c r="T74" s="6">
        <f ca="1">IFERROR(__xludf.DUMMYFUNCTION("IMPORTRANGE(""https://docs.google.com/spreadsheets/d/1rOGZhKHVnDGFqGTO7UNOJSkSJyQwVuEb2-yhWQit7lw/edit?gid=1409420437#gid=1409420437"", address(row($D72),column($D72),,,""CRT-O""))"),70)</f>
        <v>70</v>
      </c>
      <c r="U74" s="8">
        <f t="shared" ca="1" si="10"/>
        <v>76.923076923076934</v>
      </c>
      <c r="V74" s="6">
        <f t="shared" ca="1" si="0"/>
        <v>294</v>
      </c>
      <c r="W74" s="4">
        <f t="shared" ca="1" si="11"/>
        <v>70</v>
      </c>
      <c r="X74" s="4">
        <v>0</v>
      </c>
      <c r="Y74" s="4">
        <v>0</v>
      </c>
      <c r="Z74" s="4">
        <f t="shared" ca="1" si="1"/>
        <v>294</v>
      </c>
      <c r="AA74" s="10">
        <f t="shared" ca="1" si="12"/>
        <v>70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</row>
    <row r="75" spans="1:39" ht="15.85" customHeight="1" x14ac:dyDescent="0.3">
      <c r="A75" s="8">
        <v>70</v>
      </c>
      <c r="B75" s="20" t="s">
        <v>452</v>
      </c>
      <c r="C75" s="11" t="s">
        <v>453</v>
      </c>
      <c r="D75" s="5">
        <f ca="1">IFERROR(__xludf.DUMMYFUNCTION("IMPORTRANGE(""https://docs.google.com/spreadsheets/d/1rOGZhKHVnDGFqGTO7UNOJSkSJyQwVuEb2-yhWQit7lw/edit?gid=1653662536#gid=1653662536"", address(row($D73),column($D73),,,""DM&amp;GT-O""))"),0)</f>
        <v>0</v>
      </c>
      <c r="E75" s="8">
        <f t="shared" ca="1" si="2"/>
        <v>0</v>
      </c>
      <c r="F75" s="5">
        <f ca="1">IFERROR(__xludf.DUMMYFUNCTION("IMPORTRANGE(""https://docs.google.com/spreadsheets/d/1rOGZhKHVnDGFqGTO7UNOJSkSJyQwVuEb2-yhWQit7lw/edit?gid=1900628561#gid=1900628561"", address(row($D73),column($D73),,,""UHV-O""))"),0)</f>
        <v>0</v>
      </c>
      <c r="G75" s="8">
        <f t="shared" ca="1" si="3"/>
        <v>0</v>
      </c>
      <c r="H75" s="5">
        <f ca="1">IFERROR(__xludf.DUMMYFUNCTION("IMPORTRANGE(""https://docs.google.com/spreadsheets/d/1rOGZhKHVnDGFqGTO7UNOJSkSJyQwVuEb2-yhWQit7lw/edit?gid=95164189#gid=95164189"", address(row($D73),column($D73),,,""DL&amp;CO-O""))"),0)</f>
        <v>0</v>
      </c>
      <c r="I75" s="8">
        <f t="shared" ca="1" si="4"/>
        <v>0</v>
      </c>
      <c r="J75" s="5">
        <f ca="1">IFERROR(__xludf.DUMMYFUNCTION("IMPORTRANGE(""https://docs.google.com/spreadsheets/d/1rOGZhKHVnDGFqGTO7UNOJSkSJyQwVuEb2-yhWQit7lw/edit?gid=2139275483#gid=2139275483"", address(row($D73),column($D73),,,""ADSA-O""))"),0)</f>
        <v>0</v>
      </c>
      <c r="K75" s="8">
        <f t="shared" ca="1" si="5"/>
        <v>0</v>
      </c>
      <c r="L75" s="5">
        <f ca="1">IFERROR(__xludf.DUMMYFUNCTION("IMPORTRANGE(""https://docs.google.com/spreadsheets/d/1rOGZhKHVnDGFqGTO7UNOJSkSJyQwVuEb2-yhWQit7lw/edit?gid=352620554#gid=352620554"", address(row($D73),column($D73),,,""JAVA-O""))"),0)</f>
        <v>0</v>
      </c>
      <c r="M75" s="8">
        <f t="shared" ca="1" si="6"/>
        <v>0</v>
      </c>
      <c r="N75" s="5">
        <f ca="1">IFERROR(__xludf.DUMMYFUNCTION("IMPORTRANGE(""https://docs.google.com/spreadsheets/d/1rOGZhKHVnDGFqGTO7UNOJSkSJyQwVuEb2-yhWQit7lw/edit?gid=1434800060#gid=1434800060"", address(row($D73),column($D73),,,""FOSS LAB-O""))"),0)</f>
        <v>0</v>
      </c>
      <c r="O75" s="8">
        <f t="shared" ca="1" si="7"/>
        <v>0</v>
      </c>
      <c r="P75" s="5">
        <f ca="1">IFERROR(__xludf.DUMMYFUNCTION("IMPORTRANGE(""https://docs.google.com/spreadsheets/d/1rOGZhKHVnDGFqGTO7UNOJSkSJyQwVuEb2-yhWQit7lw/edit?gid=1510845942#gid=1510845942"", address(row($D73),column($D73),,,""PP-O""))"),0)</f>
        <v>0</v>
      </c>
      <c r="Q75" s="8">
        <f t="shared" ca="1" si="8"/>
        <v>0</v>
      </c>
      <c r="R75" s="5">
        <f ca="1">IFERROR(__xludf.DUMMYFUNCTION("IMPORTRANGE(""https://docs.google.com/spreadsheets/d/1rOGZhKHVnDGFqGTO7UNOJSkSJyQwVuEb2-yhWQit7lw/edit?gid=655644728#gid=655644728"", address(row($D73),column($D73),,,""NPTEL-O""))"),0)</f>
        <v>0</v>
      </c>
      <c r="S75" s="5">
        <f t="shared" ca="1" si="9"/>
        <v>0</v>
      </c>
      <c r="T75" s="6">
        <f ca="1">IFERROR(__xludf.DUMMYFUNCTION("IMPORTRANGE(""https://docs.google.com/spreadsheets/d/1rOGZhKHVnDGFqGTO7UNOJSkSJyQwVuEb2-yhWQit7lw/edit?gid=1409420437#gid=1409420437"", address(row($D73),column($D73),,,""CRT-O""))"),0)</f>
        <v>0</v>
      </c>
      <c r="U75" s="8">
        <f t="shared" ca="1" si="10"/>
        <v>0</v>
      </c>
      <c r="V75" s="6">
        <f t="shared" ca="1" si="0"/>
        <v>0</v>
      </c>
      <c r="W75" s="4">
        <f t="shared" ca="1" si="11"/>
        <v>0</v>
      </c>
      <c r="X75" s="4">
        <v>0</v>
      </c>
      <c r="Y75" s="4">
        <v>0</v>
      </c>
      <c r="Z75" s="4">
        <f t="shared" ca="1" si="1"/>
        <v>0</v>
      </c>
      <c r="AA75" s="10">
        <f t="shared" ca="1" si="12"/>
        <v>0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</row>
    <row r="76" spans="1:39" ht="15.85" customHeight="1" x14ac:dyDescent="0.3">
      <c r="A76" s="8">
        <v>71</v>
      </c>
      <c r="B76" s="20" t="s">
        <v>454</v>
      </c>
      <c r="C76" s="11" t="s">
        <v>455</v>
      </c>
      <c r="D76" s="5">
        <f ca="1">IFERROR(__xludf.DUMMYFUNCTION("IMPORTRANGE(""https://docs.google.com/spreadsheets/d/1rOGZhKHVnDGFqGTO7UNOJSkSJyQwVuEb2-yhWQit7lw/edit?gid=1653662536#gid=1653662536"", address(row($D74),column($D74),,,""DM&amp;GT-O""))"),0)</f>
        <v>0</v>
      </c>
      <c r="E76" s="8">
        <f t="shared" ca="1" si="2"/>
        <v>0</v>
      </c>
      <c r="F76" s="5">
        <f ca="1">IFERROR(__xludf.DUMMYFUNCTION("IMPORTRANGE(""https://docs.google.com/spreadsheets/d/1rOGZhKHVnDGFqGTO7UNOJSkSJyQwVuEb2-yhWQit7lw/edit?gid=1900628561#gid=1900628561"", address(row($D74),column($D74),,,""UHV-O""))"),0)</f>
        <v>0</v>
      </c>
      <c r="G76" s="8">
        <f t="shared" ca="1" si="3"/>
        <v>0</v>
      </c>
      <c r="H76" s="5">
        <f ca="1">IFERROR(__xludf.DUMMYFUNCTION("IMPORTRANGE(""https://docs.google.com/spreadsheets/d/1rOGZhKHVnDGFqGTO7UNOJSkSJyQwVuEb2-yhWQit7lw/edit?gid=95164189#gid=95164189"", address(row($D74),column($D74),,,""DL&amp;CO-O""))"),0)</f>
        <v>0</v>
      </c>
      <c r="I76" s="8">
        <f t="shared" ca="1" si="4"/>
        <v>0</v>
      </c>
      <c r="J76" s="5">
        <f ca="1">IFERROR(__xludf.DUMMYFUNCTION("IMPORTRANGE(""https://docs.google.com/spreadsheets/d/1rOGZhKHVnDGFqGTO7UNOJSkSJyQwVuEb2-yhWQit7lw/edit?gid=2139275483#gid=2139275483"", address(row($D74),column($D74),,,""ADSA-O""))"),0)</f>
        <v>0</v>
      </c>
      <c r="K76" s="8">
        <f t="shared" ca="1" si="5"/>
        <v>0</v>
      </c>
      <c r="L76" s="5">
        <f ca="1">IFERROR(__xludf.DUMMYFUNCTION("IMPORTRANGE(""https://docs.google.com/spreadsheets/d/1rOGZhKHVnDGFqGTO7UNOJSkSJyQwVuEb2-yhWQit7lw/edit?gid=352620554#gid=352620554"", address(row($D74),column($D74),,,""JAVA-O""))"),0)</f>
        <v>0</v>
      </c>
      <c r="M76" s="8">
        <f t="shared" ca="1" si="6"/>
        <v>0</v>
      </c>
      <c r="N76" s="5">
        <f ca="1">IFERROR(__xludf.DUMMYFUNCTION("IMPORTRANGE(""https://docs.google.com/spreadsheets/d/1rOGZhKHVnDGFqGTO7UNOJSkSJyQwVuEb2-yhWQit7lw/edit?gid=1434800060#gid=1434800060"", address(row($D74),column($D74),,,""FOSS LAB-O""))"),0)</f>
        <v>0</v>
      </c>
      <c r="O76" s="8">
        <f t="shared" ca="1" si="7"/>
        <v>0</v>
      </c>
      <c r="P76" s="5">
        <f ca="1">IFERROR(__xludf.DUMMYFUNCTION("IMPORTRANGE(""https://docs.google.com/spreadsheets/d/1rOGZhKHVnDGFqGTO7UNOJSkSJyQwVuEb2-yhWQit7lw/edit?gid=1510845942#gid=1510845942"", address(row($D74),column($D74),,,""PP-O""))"),0)</f>
        <v>0</v>
      </c>
      <c r="Q76" s="8">
        <f t="shared" ca="1" si="8"/>
        <v>0</v>
      </c>
      <c r="R76" s="5">
        <f ca="1">IFERROR(__xludf.DUMMYFUNCTION("IMPORTRANGE(""https://docs.google.com/spreadsheets/d/1rOGZhKHVnDGFqGTO7UNOJSkSJyQwVuEb2-yhWQit7lw/edit?gid=655644728#gid=655644728"", address(row($D74),column($D74),,,""NPTEL-O""))"),0)</f>
        <v>0</v>
      </c>
      <c r="S76" s="5">
        <f t="shared" ca="1" si="9"/>
        <v>0</v>
      </c>
      <c r="T76" s="6">
        <f ca="1">IFERROR(__xludf.DUMMYFUNCTION("IMPORTRANGE(""https://docs.google.com/spreadsheets/d/1rOGZhKHVnDGFqGTO7UNOJSkSJyQwVuEb2-yhWQit7lw/edit?gid=1409420437#gid=1409420437"", address(row($D74),column($D74),,,""CRT-O""))"),0)</f>
        <v>0</v>
      </c>
      <c r="U76" s="8">
        <f t="shared" ca="1" si="10"/>
        <v>0</v>
      </c>
      <c r="V76" s="6">
        <f t="shared" ca="1" si="0"/>
        <v>0</v>
      </c>
      <c r="W76" s="4">
        <f t="shared" ca="1" si="11"/>
        <v>0</v>
      </c>
      <c r="X76" s="4">
        <v>0</v>
      </c>
      <c r="Y76" s="4">
        <v>0</v>
      </c>
      <c r="Z76" s="4">
        <f t="shared" ca="1" si="1"/>
        <v>0</v>
      </c>
      <c r="AA76" s="10">
        <f t="shared" ca="1" si="12"/>
        <v>0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</row>
    <row r="77" spans="1:39" ht="15.85" customHeight="1" x14ac:dyDescent="0.3"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pans="1:39" ht="15.85" customHeight="1" x14ac:dyDescent="0.3">
      <c r="B78" s="26" t="s">
        <v>456</v>
      </c>
      <c r="C78" s="24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pans="1:39" ht="15.85" customHeight="1" x14ac:dyDescent="0.3">
      <c r="B79" s="13" t="s">
        <v>170</v>
      </c>
      <c r="C79" s="14">
        <f ca="1">COUNTIF(AA6:AA76,"&gt;=75")</f>
        <v>23</v>
      </c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pans="1:39" ht="15.85" customHeight="1" x14ac:dyDescent="0.3">
      <c r="B80" s="13" t="s">
        <v>171</v>
      </c>
      <c r="C80" s="14">
        <f ca="1">COUNTIFS(AA6:AA76,"&gt;=65",AA6:AA76,"&lt;75")</f>
        <v>16</v>
      </c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2:39" ht="15.85" customHeight="1" x14ac:dyDescent="0.3">
      <c r="B81" s="13" t="s">
        <v>172</v>
      </c>
      <c r="C81" s="14">
        <f ca="1">COUNTIFS(AA6:AA76,"&gt;=50",AA6:AA76,"&lt;65")</f>
        <v>10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pans="2:39" ht="15.85" customHeight="1" x14ac:dyDescent="0.3">
      <c r="B82" s="13" t="s">
        <v>173</v>
      </c>
      <c r="C82" s="14">
        <f ca="1">COUNTIFS(AA6:AA76,"&gt;=25",AA6:AA76,"&lt;50")</f>
        <v>18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pans="2:39" ht="15.85" customHeight="1" x14ac:dyDescent="0.3">
      <c r="B83" s="13" t="s">
        <v>174</v>
      </c>
      <c r="C83" s="14">
        <f ca="1">COUNTIFS(AA6:AA76,"&gt;=1",AA6:AA76,"&lt;25")</f>
        <v>1</v>
      </c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pans="2:39" ht="15.85" customHeight="1" x14ac:dyDescent="0.3">
      <c r="B84" s="13">
        <f>0</f>
        <v>0</v>
      </c>
      <c r="C84" s="15">
        <f ca="1">COUNTIFS(AA6:AA76,"=0")</f>
        <v>3</v>
      </c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2:39" ht="15.85" customHeight="1" x14ac:dyDescent="0.3">
      <c r="B85" s="16"/>
      <c r="C85" s="16">
        <f ca="1">SUM(C79:C84)</f>
        <v>71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pans="2:39" ht="15.85" customHeight="1" x14ac:dyDescent="0.3"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2:39" ht="15.85" customHeight="1" x14ac:dyDescent="0.3"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pans="2:39" ht="15.85" customHeight="1" x14ac:dyDescent="0.3"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2:39" ht="15.85" customHeight="1" x14ac:dyDescent="0.3"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pans="2:39" ht="15.85" customHeight="1" x14ac:dyDescent="0.3"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pans="2:39" ht="15.85" customHeight="1" x14ac:dyDescent="0.3"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pans="2:39" ht="15.85" customHeight="1" x14ac:dyDescent="0.3"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2:39" ht="15.85" customHeight="1" x14ac:dyDescent="0.3"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pans="2:39" ht="15.85" customHeight="1" x14ac:dyDescent="0.3"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2:39" ht="15.85" customHeight="1" x14ac:dyDescent="0.3"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pans="2:39" ht="15.85" customHeight="1" x14ac:dyDescent="0.3"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25:39" ht="15.85" customHeight="1" x14ac:dyDescent="0.3"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pans="25:39" ht="15.85" customHeight="1" x14ac:dyDescent="0.3"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pans="25:39" ht="15.85" customHeight="1" x14ac:dyDescent="0.3"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pans="25:39" ht="15.85" customHeight="1" x14ac:dyDescent="0.3"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25:39" ht="15.85" customHeight="1" x14ac:dyDescent="0.3"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pans="25:39" ht="15.85" customHeight="1" x14ac:dyDescent="0.3"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pans="25:39" ht="15.85" customHeight="1" x14ac:dyDescent="0.3"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pans="25:39" ht="15.85" customHeight="1" x14ac:dyDescent="0.3"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25:39" ht="15.85" customHeight="1" x14ac:dyDescent="0.3"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pans="25:39" ht="15.85" customHeight="1" x14ac:dyDescent="0.3"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pans="25:39" ht="15.85" customHeight="1" x14ac:dyDescent="0.3"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pans="25:39" ht="15.85" customHeight="1" x14ac:dyDescent="0.3"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pans="25:39" ht="15.85" customHeight="1" x14ac:dyDescent="0.3"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pans="25:39" ht="15.85" customHeight="1" x14ac:dyDescent="0.3"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pans="25:39" ht="15.85" customHeight="1" x14ac:dyDescent="0.3"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pans="25:39" ht="15.85" customHeight="1" x14ac:dyDescent="0.3"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pans="25:39" ht="15.85" customHeight="1" x14ac:dyDescent="0.3"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pans="25:39" ht="15.85" customHeight="1" x14ac:dyDescent="0.3"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pans="25:39" ht="15.85" customHeight="1" x14ac:dyDescent="0.3"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pans="25:39" ht="15.85" customHeight="1" x14ac:dyDescent="0.3"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pans="25:39" ht="15.85" customHeight="1" x14ac:dyDescent="0.3"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pans="25:39" ht="15.85" customHeight="1" x14ac:dyDescent="0.3"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pans="25:39" ht="15.85" customHeight="1" x14ac:dyDescent="0.3"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pans="25:39" ht="15.85" customHeight="1" x14ac:dyDescent="0.3"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pans="25:39" ht="15.85" customHeight="1" x14ac:dyDescent="0.3"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pans="25:39" ht="15.85" customHeight="1" x14ac:dyDescent="0.3"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pans="25:39" ht="15.85" customHeight="1" x14ac:dyDescent="0.3"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pans="25:39" ht="15.85" customHeight="1" x14ac:dyDescent="0.3"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pans="25:39" ht="15.85" customHeight="1" x14ac:dyDescent="0.3"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pans="25:39" ht="15.85" customHeight="1" x14ac:dyDescent="0.3"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pans="25:39" ht="15.85" customHeight="1" x14ac:dyDescent="0.3"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pans="25:39" ht="15.85" customHeight="1" x14ac:dyDescent="0.3"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pans="25:39" ht="15.85" customHeight="1" x14ac:dyDescent="0.3"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pans="25:39" ht="15.85" customHeight="1" x14ac:dyDescent="0.3"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pans="25:39" ht="15.85" customHeight="1" x14ac:dyDescent="0.3"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pans="25:39" ht="15.85" customHeight="1" x14ac:dyDescent="0.3"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pans="25:39" ht="15.85" customHeight="1" x14ac:dyDescent="0.3"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pans="25:39" ht="15.85" customHeight="1" x14ac:dyDescent="0.3"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pans="25:39" ht="15.85" customHeight="1" x14ac:dyDescent="0.3"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pans="25:39" ht="15.85" customHeight="1" x14ac:dyDescent="0.3"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pans="25:39" ht="15.85" customHeight="1" x14ac:dyDescent="0.3"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pans="25:39" ht="15.85" customHeight="1" x14ac:dyDescent="0.3"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pans="25:39" ht="15.85" customHeight="1" x14ac:dyDescent="0.3"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pans="25:39" ht="15.85" customHeight="1" x14ac:dyDescent="0.3"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pans="25:39" ht="15.85" customHeight="1" x14ac:dyDescent="0.3"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pans="25:39" ht="15.85" customHeight="1" x14ac:dyDescent="0.3"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pans="25:39" ht="15.85" customHeight="1" x14ac:dyDescent="0.3"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pans="25:39" ht="15.85" customHeight="1" x14ac:dyDescent="0.3"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pans="25:39" ht="15.85" customHeight="1" x14ac:dyDescent="0.3"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pans="25:39" ht="15.85" customHeight="1" x14ac:dyDescent="0.3"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pans="25:39" ht="15.85" customHeight="1" x14ac:dyDescent="0.3"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pans="25:39" ht="15.85" customHeight="1" x14ac:dyDescent="0.3"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pans="25:39" ht="15.85" customHeight="1" x14ac:dyDescent="0.3"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pans="25:39" ht="15.85" customHeight="1" x14ac:dyDescent="0.3"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pans="25:39" ht="15.85" customHeight="1" x14ac:dyDescent="0.3"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pans="25:39" ht="15.85" customHeight="1" x14ac:dyDescent="0.3"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pans="25:39" ht="15.85" customHeight="1" x14ac:dyDescent="0.3"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pans="25:39" ht="15.85" customHeight="1" x14ac:dyDescent="0.3"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pans="25:39" ht="15.85" customHeight="1" x14ac:dyDescent="0.3"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pans="25:39" ht="15.85" customHeight="1" x14ac:dyDescent="0.3"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pans="25:39" ht="15.85" customHeight="1" x14ac:dyDescent="0.3"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pans="25:39" ht="15.85" customHeight="1" x14ac:dyDescent="0.3"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pans="25:39" ht="15.85" customHeight="1" x14ac:dyDescent="0.3"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pans="25:39" ht="15.85" customHeight="1" x14ac:dyDescent="0.3"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pans="25:39" ht="15.85" customHeight="1" x14ac:dyDescent="0.3"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pans="25:39" ht="15.85" customHeight="1" x14ac:dyDescent="0.3"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pans="25:39" ht="15.85" customHeight="1" x14ac:dyDescent="0.3"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pans="25:39" ht="15.85" customHeight="1" x14ac:dyDescent="0.3"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pans="25:39" ht="15.85" customHeight="1" x14ac:dyDescent="0.3"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pans="25:39" ht="15.85" customHeight="1" x14ac:dyDescent="0.3"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pans="25:39" ht="15.85" customHeight="1" x14ac:dyDescent="0.3"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pans="25:39" ht="15.85" customHeight="1" x14ac:dyDescent="0.3"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pans="25:39" ht="15.85" customHeight="1" x14ac:dyDescent="0.3"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pans="25:39" ht="15.85" customHeight="1" x14ac:dyDescent="0.3"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pans="25:39" ht="15.85" customHeight="1" x14ac:dyDescent="0.3"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pans="25:39" ht="15.85" customHeight="1" x14ac:dyDescent="0.3"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pans="25:39" ht="15.85" customHeight="1" x14ac:dyDescent="0.3"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pans="25:39" ht="15.85" customHeight="1" x14ac:dyDescent="0.3"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pans="25:39" ht="15.85" customHeight="1" x14ac:dyDescent="0.3"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pans="25:39" ht="15.85" customHeight="1" x14ac:dyDescent="0.3"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pans="25:39" ht="15.85" customHeight="1" x14ac:dyDescent="0.3"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pans="25:39" ht="15.85" customHeight="1" x14ac:dyDescent="0.3"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pans="25:39" ht="15.85" customHeight="1" x14ac:dyDescent="0.3"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pans="25:39" ht="15.85" customHeight="1" x14ac:dyDescent="0.3"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pans="25:39" ht="15.85" customHeight="1" x14ac:dyDescent="0.3"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pans="25:39" ht="15.85" customHeight="1" x14ac:dyDescent="0.3"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pans="25:39" ht="15.85" customHeight="1" x14ac:dyDescent="0.3"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pans="25:39" ht="15.85" customHeight="1" x14ac:dyDescent="0.3"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pans="25:39" ht="15.85" customHeight="1" x14ac:dyDescent="0.3"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pans="25:39" ht="15.85" customHeight="1" x14ac:dyDescent="0.3"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pans="25:39" ht="15.85" customHeight="1" x14ac:dyDescent="0.3"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pans="25:39" ht="15.85" customHeight="1" x14ac:dyDescent="0.3"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pans="25:39" ht="15.85" customHeight="1" x14ac:dyDescent="0.3"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pans="25:39" ht="15.85" customHeight="1" x14ac:dyDescent="0.3"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pans="25:39" ht="15.85" customHeight="1" x14ac:dyDescent="0.3"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pans="25:39" ht="15.85" customHeight="1" x14ac:dyDescent="0.3"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pans="25:39" ht="15.85" customHeight="1" x14ac:dyDescent="0.3"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pans="25:39" ht="15.85" customHeight="1" x14ac:dyDescent="0.3"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pans="25:39" ht="15.85" customHeight="1" x14ac:dyDescent="0.3"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pans="25:39" ht="15.85" customHeight="1" x14ac:dyDescent="0.3"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pans="25:39" ht="15.85" customHeight="1" x14ac:dyDescent="0.3"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pans="25:39" ht="15.85" customHeight="1" x14ac:dyDescent="0.3"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pans="25:39" ht="15.85" customHeight="1" x14ac:dyDescent="0.3"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pans="25:39" ht="15.85" customHeight="1" x14ac:dyDescent="0.3"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pans="25:39" ht="15.85" customHeight="1" x14ac:dyDescent="0.3"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pans="25:39" ht="15.85" customHeight="1" x14ac:dyDescent="0.3"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pans="25:39" ht="15.85" customHeight="1" x14ac:dyDescent="0.3"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pans="25:39" ht="15.85" customHeight="1" x14ac:dyDescent="0.3"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pans="25:39" ht="15.85" customHeight="1" x14ac:dyDescent="0.3"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pans="25:39" ht="15.85" customHeight="1" x14ac:dyDescent="0.3"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pans="25:39" ht="15.85" customHeight="1" x14ac:dyDescent="0.3"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pans="25:39" ht="15.85" customHeight="1" x14ac:dyDescent="0.3"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pans="25:39" ht="15.85" customHeight="1" x14ac:dyDescent="0.3"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pans="25:39" ht="15.85" customHeight="1" x14ac:dyDescent="0.3"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pans="25:39" ht="15.85" customHeight="1" x14ac:dyDescent="0.3"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pans="25:39" ht="15.85" customHeight="1" x14ac:dyDescent="0.3"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pans="25:39" ht="15.85" customHeight="1" x14ac:dyDescent="0.3"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pans="25:39" ht="15.85" customHeight="1" x14ac:dyDescent="0.3"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pans="25:39" ht="15.85" customHeight="1" x14ac:dyDescent="0.3"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pans="25:39" ht="15.85" customHeight="1" x14ac:dyDescent="0.3"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pans="25:39" ht="15.85" customHeight="1" x14ac:dyDescent="0.3"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pans="25:39" ht="15.85" customHeight="1" x14ac:dyDescent="0.3"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pans="25:39" ht="15.85" customHeight="1" x14ac:dyDescent="0.3"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pans="25:39" ht="15.85" customHeight="1" x14ac:dyDescent="0.3"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pans="25:39" ht="15.85" customHeight="1" x14ac:dyDescent="0.3"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pans="25:39" ht="15.85" customHeight="1" x14ac:dyDescent="0.3"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pans="25:39" ht="15.85" customHeight="1" x14ac:dyDescent="0.3"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pans="25:39" ht="15.85" customHeight="1" x14ac:dyDescent="0.3"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pans="25:39" ht="15.85" customHeight="1" x14ac:dyDescent="0.3"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pans="25:39" ht="15.85" customHeight="1" x14ac:dyDescent="0.3"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pans="25:39" ht="15.85" customHeight="1" x14ac:dyDescent="0.3"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pans="25:39" ht="15.85" customHeight="1" x14ac:dyDescent="0.3"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pans="25:39" ht="15.85" customHeight="1" x14ac:dyDescent="0.3"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pans="25:39" ht="15.85" customHeight="1" x14ac:dyDescent="0.3"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pans="25:39" ht="15.85" customHeight="1" x14ac:dyDescent="0.3"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pans="25:39" ht="15.85" customHeight="1" x14ac:dyDescent="0.3"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pans="25:39" ht="15.85" customHeight="1" x14ac:dyDescent="0.3"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pans="25:39" ht="15.85" customHeight="1" x14ac:dyDescent="0.3"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pans="25:39" ht="15.85" customHeight="1" x14ac:dyDescent="0.3"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pans="25:39" ht="15.85" customHeight="1" x14ac:dyDescent="0.3"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pans="25:39" ht="15.85" customHeight="1" x14ac:dyDescent="0.3"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pans="25:39" ht="15.85" customHeight="1" x14ac:dyDescent="0.3"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pans="25:39" ht="15.85" customHeight="1" x14ac:dyDescent="0.3"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pans="25:39" ht="15.85" customHeight="1" x14ac:dyDescent="0.3"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pans="25:39" ht="15.85" customHeight="1" x14ac:dyDescent="0.3"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pans="25:39" ht="15.85" customHeight="1" x14ac:dyDescent="0.3"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pans="25:39" ht="15.85" customHeight="1" x14ac:dyDescent="0.3"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pans="25:39" ht="15.85" customHeight="1" x14ac:dyDescent="0.3"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pans="25:39" ht="15.85" customHeight="1" x14ac:dyDescent="0.3"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pans="25:39" ht="15.85" customHeight="1" x14ac:dyDescent="0.3"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pans="25:39" ht="15.85" customHeight="1" x14ac:dyDescent="0.3"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pans="25:39" ht="15.85" customHeight="1" x14ac:dyDescent="0.3"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pans="25:39" ht="15.85" customHeight="1" x14ac:dyDescent="0.3"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pans="25:39" ht="15.85" customHeight="1" x14ac:dyDescent="0.3"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pans="25:39" ht="15.85" customHeight="1" x14ac:dyDescent="0.3"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pans="25:39" ht="15.85" customHeight="1" x14ac:dyDescent="0.3"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pans="25:39" ht="15.85" customHeight="1" x14ac:dyDescent="0.3"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pans="25:39" ht="15.85" customHeight="1" x14ac:dyDescent="0.3"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pans="25:39" ht="15.85" customHeight="1" x14ac:dyDescent="0.3"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pans="25:39" ht="15.85" customHeight="1" x14ac:dyDescent="0.3"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pans="25:39" ht="15.85" customHeight="1" x14ac:dyDescent="0.3"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pans="25:39" ht="15.85" customHeight="1" x14ac:dyDescent="0.3"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pans="25:39" ht="15.85" customHeight="1" x14ac:dyDescent="0.3"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pans="25:39" ht="15.85" customHeight="1" x14ac:dyDescent="0.3"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pans="25:39" ht="15.85" customHeight="1" x14ac:dyDescent="0.3"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pans="25:39" ht="15.85" customHeight="1" x14ac:dyDescent="0.3"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pans="25:39" ht="15.85" customHeight="1" x14ac:dyDescent="0.3"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pans="25:39" ht="15.85" customHeight="1" x14ac:dyDescent="0.3"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pans="25:39" ht="15.85" customHeight="1" x14ac:dyDescent="0.3"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pans="25:39" ht="15.85" customHeight="1" x14ac:dyDescent="0.3"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pans="25:39" ht="15.85" customHeight="1" x14ac:dyDescent="0.3"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pans="25:39" ht="15.85" customHeight="1" x14ac:dyDescent="0.3"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pans="25:39" ht="15.85" customHeight="1" x14ac:dyDescent="0.3"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pans="25:39" ht="15.85" customHeight="1" x14ac:dyDescent="0.3"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pans="25:39" ht="15.85" customHeight="1" x14ac:dyDescent="0.3"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pans="25:39" ht="15.85" customHeight="1" x14ac:dyDescent="0.3"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pans="25:39" ht="15.85" customHeight="1" x14ac:dyDescent="0.3"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pans="25:39" ht="15.85" customHeight="1" x14ac:dyDescent="0.3"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pans="25:39" ht="15.85" customHeight="1" x14ac:dyDescent="0.3"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pans="25:39" ht="15.85" customHeight="1" x14ac:dyDescent="0.3"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pans="25:39" ht="15.85" customHeight="1" x14ac:dyDescent="0.3"/>
    <row r="278" spans="25:39" ht="15.85" customHeight="1" x14ac:dyDescent="0.3"/>
    <row r="279" spans="25:39" ht="15.85" customHeight="1" x14ac:dyDescent="0.3"/>
    <row r="280" spans="25:39" ht="15.85" customHeight="1" x14ac:dyDescent="0.3"/>
    <row r="281" spans="25:39" ht="15.85" customHeight="1" x14ac:dyDescent="0.3"/>
    <row r="282" spans="25:39" ht="15.85" customHeight="1" x14ac:dyDescent="0.3"/>
    <row r="283" spans="25:39" ht="15.85" customHeight="1" x14ac:dyDescent="0.3"/>
    <row r="284" spans="25:39" ht="15.85" customHeight="1" x14ac:dyDescent="0.3"/>
    <row r="285" spans="25:39" ht="15.85" customHeight="1" x14ac:dyDescent="0.3"/>
    <row r="286" spans="25:39" ht="15.85" customHeight="1" x14ac:dyDescent="0.3"/>
    <row r="287" spans="25:39" ht="15.85" customHeight="1" x14ac:dyDescent="0.3"/>
    <row r="288" spans="25:39" ht="15.85" customHeight="1" x14ac:dyDescent="0.3"/>
    <row r="289" ht="15.85" customHeight="1" x14ac:dyDescent="0.3"/>
    <row r="290" ht="15.85" customHeight="1" x14ac:dyDescent="0.3"/>
    <row r="291" ht="15.85" customHeight="1" x14ac:dyDescent="0.3"/>
    <row r="292" ht="15.85" customHeight="1" x14ac:dyDescent="0.3"/>
    <row r="293" ht="15.85" customHeight="1" x14ac:dyDescent="0.3"/>
    <row r="294" ht="15.85" customHeight="1" x14ac:dyDescent="0.3"/>
    <row r="295" ht="15.85" customHeight="1" x14ac:dyDescent="0.3"/>
    <row r="296" ht="15.85" customHeight="1" x14ac:dyDescent="0.3"/>
    <row r="297" ht="15.85" customHeight="1" x14ac:dyDescent="0.3"/>
    <row r="298" ht="15.85" customHeight="1" x14ac:dyDescent="0.3"/>
    <row r="299" ht="15.85" customHeight="1" x14ac:dyDescent="0.3"/>
    <row r="300" ht="15.85" customHeight="1" x14ac:dyDescent="0.3"/>
    <row r="301" ht="15.85" customHeight="1" x14ac:dyDescent="0.3"/>
    <row r="302" ht="15.85" customHeight="1" x14ac:dyDescent="0.3"/>
    <row r="303" ht="15.85" customHeight="1" x14ac:dyDescent="0.3"/>
    <row r="304" ht="15.85" customHeight="1" x14ac:dyDescent="0.3"/>
    <row r="305" ht="15.85" customHeight="1" x14ac:dyDescent="0.3"/>
    <row r="306" ht="15.85" customHeight="1" x14ac:dyDescent="0.3"/>
    <row r="307" ht="15.85" customHeight="1" x14ac:dyDescent="0.3"/>
    <row r="308" ht="15.85" customHeight="1" x14ac:dyDescent="0.3"/>
    <row r="309" ht="15.85" customHeight="1" x14ac:dyDescent="0.3"/>
    <row r="310" ht="15.85" customHeight="1" x14ac:dyDescent="0.3"/>
    <row r="311" ht="15.85" customHeight="1" x14ac:dyDescent="0.3"/>
    <row r="312" ht="15.85" customHeight="1" x14ac:dyDescent="0.3"/>
    <row r="313" ht="15.85" customHeight="1" x14ac:dyDescent="0.3"/>
    <row r="314" ht="15.85" customHeight="1" x14ac:dyDescent="0.3"/>
    <row r="315" ht="15.85" customHeight="1" x14ac:dyDescent="0.3"/>
    <row r="316" ht="15.85" customHeight="1" x14ac:dyDescent="0.3"/>
    <row r="317" ht="15.85" customHeight="1" x14ac:dyDescent="0.3"/>
    <row r="318" ht="15.85" customHeight="1" x14ac:dyDescent="0.3"/>
    <row r="319" ht="15.85" customHeight="1" x14ac:dyDescent="0.3"/>
    <row r="320" ht="15.85" customHeight="1" x14ac:dyDescent="0.3"/>
    <row r="321" ht="15.85" customHeight="1" x14ac:dyDescent="0.3"/>
    <row r="322" ht="15.85" customHeight="1" x14ac:dyDescent="0.3"/>
    <row r="323" ht="15.85" customHeight="1" x14ac:dyDescent="0.3"/>
    <row r="324" ht="15.85" customHeight="1" x14ac:dyDescent="0.3"/>
    <row r="325" ht="15.85" customHeight="1" x14ac:dyDescent="0.3"/>
    <row r="326" ht="15.85" customHeight="1" x14ac:dyDescent="0.3"/>
    <row r="327" ht="15.85" customHeight="1" x14ac:dyDescent="0.3"/>
    <row r="328" ht="15.85" customHeight="1" x14ac:dyDescent="0.3"/>
    <row r="329" ht="15.85" customHeight="1" x14ac:dyDescent="0.3"/>
    <row r="330" ht="15.85" customHeight="1" x14ac:dyDescent="0.3"/>
    <row r="331" ht="15.85" customHeight="1" x14ac:dyDescent="0.3"/>
    <row r="332" ht="15.85" customHeight="1" x14ac:dyDescent="0.3"/>
    <row r="333" ht="15.85" customHeight="1" x14ac:dyDescent="0.3"/>
    <row r="334" ht="15.85" customHeight="1" x14ac:dyDescent="0.3"/>
    <row r="335" ht="15.85" customHeight="1" x14ac:dyDescent="0.3"/>
    <row r="336" ht="15.85" customHeight="1" x14ac:dyDescent="0.3"/>
    <row r="337" ht="15.85" customHeight="1" x14ac:dyDescent="0.3"/>
    <row r="338" ht="15.85" customHeight="1" x14ac:dyDescent="0.3"/>
    <row r="339" ht="15.85" customHeight="1" x14ac:dyDescent="0.3"/>
    <row r="340" ht="15.85" customHeight="1" x14ac:dyDescent="0.3"/>
    <row r="341" ht="15.85" customHeight="1" x14ac:dyDescent="0.3"/>
    <row r="342" ht="15.85" customHeight="1" x14ac:dyDescent="0.3"/>
    <row r="343" ht="15.85" customHeight="1" x14ac:dyDescent="0.3"/>
    <row r="344" ht="15.85" customHeight="1" x14ac:dyDescent="0.3"/>
    <row r="345" ht="15.85" customHeight="1" x14ac:dyDescent="0.3"/>
    <row r="346" ht="15.85" customHeight="1" x14ac:dyDescent="0.3"/>
    <row r="347" ht="15.85" customHeight="1" x14ac:dyDescent="0.3"/>
    <row r="348" ht="15.85" customHeight="1" x14ac:dyDescent="0.3"/>
    <row r="349" ht="15.85" customHeight="1" x14ac:dyDescent="0.3"/>
    <row r="350" ht="15.85" customHeight="1" x14ac:dyDescent="0.3"/>
    <row r="351" ht="15.85" customHeight="1" x14ac:dyDescent="0.3"/>
    <row r="352" ht="15.85" customHeight="1" x14ac:dyDescent="0.3"/>
    <row r="353" ht="15.85" customHeight="1" x14ac:dyDescent="0.3"/>
    <row r="354" ht="15.85" customHeight="1" x14ac:dyDescent="0.3"/>
    <row r="355" ht="15.85" customHeight="1" x14ac:dyDescent="0.3"/>
    <row r="356" ht="15.85" customHeight="1" x14ac:dyDescent="0.3"/>
    <row r="357" ht="15.85" customHeight="1" x14ac:dyDescent="0.3"/>
    <row r="358" ht="15.85" customHeight="1" x14ac:dyDescent="0.3"/>
    <row r="359" ht="15.85" customHeight="1" x14ac:dyDescent="0.3"/>
    <row r="360" ht="15.85" customHeight="1" x14ac:dyDescent="0.3"/>
    <row r="361" ht="15.85" customHeight="1" x14ac:dyDescent="0.3"/>
    <row r="362" ht="15.85" customHeight="1" x14ac:dyDescent="0.3"/>
    <row r="363" ht="15.85" customHeight="1" x14ac:dyDescent="0.3"/>
    <row r="364" ht="15.85" customHeight="1" x14ac:dyDescent="0.3"/>
    <row r="365" ht="15.85" customHeight="1" x14ac:dyDescent="0.3"/>
    <row r="366" ht="15.85" customHeight="1" x14ac:dyDescent="0.3"/>
    <row r="367" ht="15.85" customHeight="1" x14ac:dyDescent="0.3"/>
    <row r="368" ht="15.85" customHeight="1" x14ac:dyDescent="0.3"/>
    <row r="369" ht="15.85" customHeight="1" x14ac:dyDescent="0.3"/>
    <row r="370" ht="15.85" customHeight="1" x14ac:dyDescent="0.3"/>
    <row r="371" ht="15.85" customHeight="1" x14ac:dyDescent="0.3"/>
    <row r="372" ht="15.85" customHeight="1" x14ac:dyDescent="0.3"/>
    <row r="373" ht="15.85" customHeight="1" x14ac:dyDescent="0.3"/>
    <row r="374" ht="15.85" customHeight="1" x14ac:dyDescent="0.3"/>
    <row r="375" ht="15.85" customHeight="1" x14ac:dyDescent="0.3"/>
    <row r="376" ht="15.85" customHeight="1" x14ac:dyDescent="0.3"/>
    <row r="377" ht="15.85" customHeight="1" x14ac:dyDescent="0.3"/>
    <row r="378" ht="15.85" customHeight="1" x14ac:dyDescent="0.3"/>
    <row r="379" ht="15.85" customHeight="1" x14ac:dyDescent="0.3"/>
    <row r="380" ht="15.85" customHeight="1" x14ac:dyDescent="0.3"/>
    <row r="381" ht="15.85" customHeight="1" x14ac:dyDescent="0.3"/>
    <row r="382" ht="15.85" customHeight="1" x14ac:dyDescent="0.3"/>
    <row r="383" ht="15.85" customHeight="1" x14ac:dyDescent="0.3"/>
    <row r="384" ht="15.85" customHeight="1" x14ac:dyDescent="0.3"/>
    <row r="385" ht="15.85" customHeight="1" x14ac:dyDescent="0.3"/>
    <row r="386" ht="15.85" customHeight="1" x14ac:dyDescent="0.3"/>
    <row r="387" ht="15.85" customHeight="1" x14ac:dyDescent="0.3"/>
    <row r="388" ht="15.85" customHeight="1" x14ac:dyDescent="0.3"/>
    <row r="389" ht="15.85" customHeight="1" x14ac:dyDescent="0.3"/>
    <row r="390" ht="15.85" customHeight="1" x14ac:dyDescent="0.3"/>
    <row r="391" ht="15.85" customHeight="1" x14ac:dyDescent="0.3"/>
    <row r="392" ht="15.85" customHeight="1" x14ac:dyDescent="0.3"/>
    <row r="393" ht="15.85" customHeight="1" x14ac:dyDescent="0.3"/>
    <row r="394" ht="15.85" customHeight="1" x14ac:dyDescent="0.3"/>
    <row r="395" ht="15.85" customHeight="1" x14ac:dyDescent="0.3"/>
    <row r="396" ht="15.85" customHeight="1" x14ac:dyDescent="0.3"/>
    <row r="397" ht="15.85" customHeight="1" x14ac:dyDescent="0.3"/>
    <row r="398" ht="15.85" customHeight="1" x14ac:dyDescent="0.3"/>
    <row r="399" ht="15.85" customHeight="1" x14ac:dyDescent="0.3"/>
    <row r="400" ht="15.85" customHeight="1" x14ac:dyDescent="0.3"/>
    <row r="401" ht="15.85" customHeight="1" x14ac:dyDescent="0.3"/>
    <row r="402" ht="15.85" customHeight="1" x14ac:dyDescent="0.3"/>
    <row r="403" ht="15.85" customHeight="1" x14ac:dyDescent="0.3"/>
    <row r="404" ht="15.85" customHeight="1" x14ac:dyDescent="0.3"/>
    <row r="405" ht="15.85" customHeight="1" x14ac:dyDescent="0.3"/>
    <row r="406" ht="15.85" customHeight="1" x14ac:dyDescent="0.3"/>
    <row r="407" ht="15.85" customHeight="1" x14ac:dyDescent="0.3"/>
    <row r="408" ht="15.85" customHeight="1" x14ac:dyDescent="0.3"/>
    <row r="409" ht="15.85" customHeight="1" x14ac:dyDescent="0.3"/>
    <row r="410" ht="15.85" customHeight="1" x14ac:dyDescent="0.3"/>
    <row r="411" ht="15.85" customHeight="1" x14ac:dyDescent="0.3"/>
    <row r="412" ht="15.85" customHeight="1" x14ac:dyDescent="0.3"/>
    <row r="413" ht="15.85" customHeight="1" x14ac:dyDescent="0.3"/>
    <row r="414" ht="15.85" customHeight="1" x14ac:dyDescent="0.3"/>
    <row r="415" ht="15.85" customHeight="1" x14ac:dyDescent="0.3"/>
    <row r="416" ht="15.85" customHeight="1" x14ac:dyDescent="0.3"/>
    <row r="417" ht="15.85" customHeight="1" x14ac:dyDescent="0.3"/>
    <row r="418" ht="15.85" customHeight="1" x14ac:dyDescent="0.3"/>
    <row r="419" ht="15.85" customHeight="1" x14ac:dyDescent="0.3"/>
    <row r="420" ht="15.85" customHeight="1" x14ac:dyDescent="0.3"/>
    <row r="421" ht="15.85" customHeight="1" x14ac:dyDescent="0.3"/>
    <row r="422" ht="15.85" customHeight="1" x14ac:dyDescent="0.3"/>
    <row r="423" ht="15.85" customHeight="1" x14ac:dyDescent="0.3"/>
    <row r="424" ht="15.85" customHeight="1" x14ac:dyDescent="0.3"/>
    <row r="425" ht="15.85" customHeight="1" x14ac:dyDescent="0.3"/>
    <row r="426" ht="15.85" customHeight="1" x14ac:dyDescent="0.3"/>
    <row r="427" ht="15.85" customHeight="1" x14ac:dyDescent="0.3"/>
    <row r="428" ht="15.85" customHeight="1" x14ac:dyDescent="0.3"/>
    <row r="429" ht="15.85" customHeight="1" x14ac:dyDescent="0.3"/>
    <row r="430" ht="15.85" customHeight="1" x14ac:dyDescent="0.3"/>
    <row r="431" ht="15.85" customHeight="1" x14ac:dyDescent="0.3"/>
    <row r="432" ht="15.85" customHeight="1" x14ac:dyDescent="0.3"/>
    <row r="433" ht="15.85" customHeight="1" x14ac:dyDescent="0.3"/>
    <row r="434" ht="15.85" customHeight="1" x14ac:dyDescent="0.3"/>
    <row r="435" ht="15.85" customHeight="1" x14ac:dyDescent="0.3"/>
    <row r="436" ht="15.85" customHeight="1" x14ac:dyDescent="0.3"/>
    <row r="437" ht="15.85" customHeight="1" x14ac:dyDescent="0.3"/>
    <row r="438" ht="15.85" customHeight="1" x14ac:dyDescent="0.3"/>
    <row r="439" ht="15.85" customHeight="1" x14ac:dyDescent="0.3"/>
    <row r="440" ht="15.85" customHeight="1" x14ac:dyDescent="0.3"/>
    <row r="441" ht="15.85" customHeight="1" x14ac:dyDescent="0.3"/>
    <row r="442" ht="15.85" customHeight="1" x14ac:dyDescent="0.3"/>
    <row r="443" ht="15.85" customHeight="1" x14ac:dyDescent="0.3"/>
    <row r="444" ht="15.85" customHeight="1" x14ac:dyDescent="0.3"/>
    <row r="445" ht="15.85" customHeight="1" x14ac:dyDescent="0.3"/>
    <row r="446" ht="15.85" customHeight="1" x14ac:dyDescent="0.3"/>
    <row r="447" ht="15.85" customHeight="1" x14ac:dyDescent="0.3"/>
    <row r="448" ht="15.85" customHeight="1" x14ac:dyDescent="0.3"/>
    <row r="449" ht="15.85" customHeight="1" x14ac:dyDescent="0.3"/>
    <row r="450" ht="15.85" customHeight="1" x14ac:dyDescent="0.3"/>
    <row r="451" ht="15.85" customHeight="1" x14ac:dyDescent="0.3"/>
    <row r="452" ht="15.85" customHeight="1" x14ac:dyDescent="0.3"/>
    <row r="453" ht="15.85" customHeight="1" x14ac:dyDescent="0.3"/>
    <row r="454" ht="15.85" customHeight="1" x14ac:dyDescent="0.3"/>
    <row r="455" ht="15.85" customHeight="1" x14ac:dyDescent="0.3"/>
    <row r="456" ht="15.85" customHeight="1" x14ac:dyDescent="0.3"/>
    <row r="457" ht="15.85" customHeight="1" x14ac:dyDescent="0.3"/>
    <row r="458" ht="15.85" customHeight="1" x14ac:dyDescent="0.3"/>
    <row r="459" ht="15.85" customHeight="1" x14ac:dyDescent="0.3"/>
    <row r="460" ht="15.85" customHeight="1" x14ac:dyDescent="0.3"/>
    <row r="461" ht="15.85" customHeight="1" x14ac:dyDescent="0.3"/>
    <row r="462" ht="15.85" customHeight="1" x14ac:dyDescent="0.3"/>
    <row r="463" ht="15.85" customHeight="1" x14ac:dyDescent="0.3"/>
    <row r="464" ht="15.85" customHeight="1" x14ac:dyDescent="0.3"/>
    <row r="465" ht="15.85" customHeight="1" x14ac:dyDescent="0.3"/>
    <row r="466" ht="15.85" customHeight="1" x14ac:dyDescent="0.3"/>
    <row r="467" ht="15.85" customHeight="1" x14ac:dyDescent="0.3"/>
    <row r="468" ht="15.85" customHeight="1" x14ac:dyDescent="0.3"/>
    <row r="469" ht="15.85" customHeight="1" x14ac:dyDescent="0.3"/>
    <row r="470" ht="15.85" customHeight="1" x14ac:dyDescent="0.3"/>
    <row r="471" ht="15.85" customHeight="1" x14ac:dyDescent="0.3"/>
    <row r="472" ht="15.85" customHeight="1" x14ac:dyDescent="0.3"/>
    <row r="473" ht="15.85" customHeight="1" x14ac:dyDescent="0.3"/>
    <row r="474" ht="15.85" customHeight="1" x14ac:dyDescent="0.3"/>
    <row r="475" ht="15.85" customHeight="1" x14ac:dyDescent="0.3"/>
    <row r="476" ht="15.85" customHeight="1" x14ac:dyDescent="0.3"/>
    <row r="477" ht="15.85" customHeight="1" x14ac:dyDescent="0.3"/>
    <row r="478" ht="15.85" customHeight="1" x14ac:dyDescent="0.3"/>
    <row r="479" ht="15.85" customHeight="1" x14ac:dyDescent="0.3"/>
    <row r="480" ht="15.85" customHeight="1" x14ac:dyDescent="0.3"/>
    <row r="481" ht="15.85" customHeight="1" x14ac:dyDescent="0.3"/>
    <row r="482" ht="15.85" customHeight="1" x14ac:dyDescent="0.3"/>
    <row r="483" ht="15.85" customHeight="1" x14ac:dyDescent="0.3"/>
    <row r="484" ht="15.85" customHeight="1" x14ac:dyDescent="0.3"/>
    <row r="485" ht="15.85" customHeight="1" x14ac:dyDescent="0.3"/>
    <row r="486" ht="15.85" customHeight="1" x14ac:dyDescent="0.3"/>
    <row r="487" ht="15.85" customHeight="1" x14ac:dyDescent="0.3"/>
    <row r="488" ht="15.85" customHeight="1" x14ac:dyDescent="0.3"/>
    <row r="489" ht="15.85" customHeight="1" x14ac:dyDescent="0.3"/>
    <row r="490" ht="15.85" customHeight="1" x14ac:dyDescent="0.3"/>
    <row r="491" ht="15.85" customHeight="1" x14ac:dyDescent="0.3"/>
    <row r="492" ht="15.85" customHeight="1" x14ac:dyDescent="0.3"/>
    <row r="493" ht="15.85" customHeight="1" x14ac:dyDescent="0.3"/>
    <row r="494" ht="15.85" customHeight="1" x14ac:dyDescent="0.3"/>
    <row r="495" ht="15.85" customHeight="1" x14ac:dyDescent="0.3"/>
    <row r="496" ht="15.85" customHeight="1" x14ac:dyDescent="0.3"/>
    <row r="497" ht="15.85" customHeight="1" x14ac:dyDescent="0.3"/>
    <row r="498" ht="15.85" customHeight="1" x14ac:dyDescent="0.3"/>
    <row r="499" ht="15.85" customHeight="1" x14ac:dyDescent="0.3"/>
    <row r="500" ht="15.85" customHeight="1" x14ac:dyDescent="0.3"/>
    <row r="501" ht="15.85" customHeight="1" x14ac:dyDescent="0.3"/>
    <row r="502" ht="15.85" customHeight="1" x14ac:dyDescent="0.3"/>
    <row r="503" ht="15.85" customHeight="1" x14ac:dyDescent="0.3"/>
    <row r="504" ht="15.85" customHeight="1" x14ac:dyDescent="0.3"/>
    <row r="505" ht="15.85" customHeight="1" x14ac:dyDescent="0.3"/>
    <row r="506" ht="15.85" customHeight="1" x14ac:dyDescent="0.3"/>
    <row r="507" ht="15.85" customHeight="1" x14ac:dyDescent="0.3"/>
    <row r="508" ht="15.85" customHeight="1" x14ac:dyDescent="0.3"/>
    <row r="509" ht="15.85" customHeight="1" x14ac:dyDescent="0.3"/>
    <row r="510" ht="15.85" customHeight="1" x14ac:dyDescent="0.3"/>
    <row r="511" ht="15.85" customHeight="1" x14ac:dyDescent="0.3"/>
    <row r="512" ht="15.85" customHeight="1" x14ac:dyDescent="0.3"/>
    <row r="513" ht="15.85" customHeight="1" x14ac:dyDescent="0.3"/>
    <row r="514" ht="15.85" customHeight="1" x14ac:dyDescent="0.3"/>
    <row r="515" ht="15.85" customHeight="1" x14ac:dyDescent="0.3"/>
    <row r="516" ht="15.85" customHeight="1" x14ac:dyDescent="0.3"/>
    <row r="517" ht="15.85" customHeight="1" x14ac:dyDescent="0.3"/>
    <row r="518" ht="15.85" customHeight="1" x14ac:dyDescent="0.3"/>
    <row r="519" ht="15.85" customHeight="1" x14ac:dyDescent="0.3"/>
    <row r="520" ht="15.85" customHeight="1" x14ac:dyDescent="0.3"/>
    <row r="521" ht="15.85" customHeight="1" x14ac:dyDescent="0.3"/>
    <row r="522" ht="15.85" customHeight="1" x14ac:dyDescent="0.3"/>
    <row r="523" ht="15.85" customHeight="1" x14ac:dyDescent="0.3"/>
    <row r="524" ht="15.85" customHeight="1" x14ac:dyDescent="0.3"/>
    <row r="525" ht="15.85" customHeight="1" x14ac:dyDescent="0.3"/>
    <row r="526" ht="15.85" customHeight="1" x14ac:dyDescent="0.3"/>
    <row r="527" ht="15.85" customHeight="1" x14ac:dyDescent="0.3"/>
    <row r="528" ht="15.85" customHeight="1" x14ac:dyDescent="0.3"/>
    <row r="529" ht="15.85" customHeight="1" x14ac:dyDescent="0.3"/>
    <row r="530" ht="15.85" customHeight="1" x14ac:dyDescent="0.3"/>
    <row r="531" ht="15.85" customHeight="1" x14ac:dyDescent="0.3"/>
    <row r="532" ht="15.85" customHeight="1" x14ac:dyDescent="0.3"/>
    <row r="533" ht="15.85" customHeight="1" x14ac:dyDescent="0.3"/>
    <row r="534" ht="15.85" customHeight="1" x14ac:dyDescent="0.3"/>
    <row r="535" ht="15.85" customHeight="1" x14ac:dyDescent="0.3"/>
    <row r="536" ht="15.85" customHeight="1" x14ac:dyDescent="0.3"/>
    <row r="537" ht="15.85" customHeight="1" x14ac:dyDescent="0.3"/>
    <row r="538" ht="15.85" customHeight="1" x14ac:dyDescent="0.3"/>
    <row r="539" ht="15.85" customHeight="1" x14ac:dyDescent="0.3"/>
    <row r="540" ht="15.85" customHeight="1" x14ac:dyDescent="0.3"/>
    <row r="541" ht="15.85" customHeight="1" x14ac:dyDescent="0.3"/>
    <row r="542" ht="15.85" customHeight="1" x14ac:dyDescent="0.3"/>
    <row r="543" ht="15.85" customHeight="1" x14ac:dyDescent="0.3"/>
    <row r="544" ht="15.85" customHeight="1" x14ac:dyDescent="0.3"/>
    <row r="545" ht="15.85" customHeight="1" x14ac:dyDescent="0.3"/>
    <row r="546" ht="15.85" customHeight="1" x14ac:dyDescent="0.3"/>
    <row r="547" ht="15.85" customHeight="1" x14ac:dyDescent="0.3"/>
    <row r="548" ht="15.85" customHeight="1" x14ac:dyDescent="0.3"/>
    <row r="549" ht="15.85" customHeight="1" x14ac:dyDescent="0.3"/>
    <row r="550" ht="15.85" customHeight="1" x14ac:dyDescent="0.3"/>
    <row r="551" ht="15.85" customHeight="1" x14ac:dyDescent="0.3"/>
    <row r="552" ht="15.85" customHeight="1" x14ac:dyDescent="0.3"/>
    <row r="553" ht="15.85" customHeight="1" x14ac:dyDescent="0.3"/>
    <row r="554" ht="15.85" customHeight="1" x14ac:dyDescent="0.3"/>
    <row r="555" ht="15.85" customHeight="1" x14ac:dyDescent="0.3"/>
    <row r="556" ht="15.85" customHeight="1" x14ac:dyDescent="0.3"/>
    <row r="557" ht="15.85" customHeight="1" x14ac:dyDescent="0.3"/>
    <row r="558" ht="15.85" customHeight="1" x14ac:dyDescent="0.3"/>
    <row r="559" ht="15.85" customHeight="1" x14ac:dyDescent="0.3"/>
    <row r="560" ht="15.85" customHeight="1" x14ac:dyDescent="0.3"/>
    <row r="561" ht="15.85" customHeight="1" x14ac:dyDescent="0.3"/>
    <row r="562" ht="15.85" customHeight="1" x14ac:dyDescent="0.3"/>
    <row r="563" ht="15.85" customHeight="1" x14ac:dyDescent="0.3"/>
    <row r="564" ht="15.85" customHeight="1" x14ac:dyDescent="0.3"/>
    <row r="565" ht="15.85" customHeight="1" x14ac:dyDescent="0.3"/>
    <row r="566" ht="15.85" customHeight="1" x14ac:dyDescent="0.3"/>
    <row r="567" ht="15.85" customHeight="1" x14ac:dyDescent="0.3"/>
    <row r="568" ht="15.85" customHeight="1" x14ac:dyDescent="0.3"/>
    <row r="569" ht="15.85" customHeight="1" x14ac:dyDescent="0.3"/>
    <row r="570" ht="15.85" customHeight="1" x14ac:dyDescent="0.3"/>
    <row r="571" ht="15.85" customHeight="1" x14ac:dyDescent="0.3"/>
    <row r="572" ht="15.85" customHeight="1" x14ac:dyDescent="0.3"/>
    <row r="573" ht="15.85" customHeight="1" x14ac:dyDescent="0.3"/>
    <row r="574" ht="15.85" customHeight="1" x14ac:dyDescent="0.3"/>
    <row r="575" ht="15.85" customHeight="1" x14ac:dyDescent="0.3"/>
    <row r="576" ht="15.85" customHeight="1" x14ac:dyDescent="0.3"/>
    <row r="577" ht="15.85" customHeight="1" x14ac:dyDescent="0.3"/>
    <row r="578" ht="15.85" customHeight="1" x14ac:dyDescent="0.3"/>
    <row r="579" ht="15.85" customHeight="1" x14ac:dyDescent="0.3"/>
    <row r="580" ht="15.85" customHeight="1" x14ac:dyDescent="0.3"/>
    <row r="581" ht="15.85" customHeight="1" x14ac:dyDescent="0.3"/>
    <row r="582" ht="15.85" customHeight="1" x14ac:dyDescent="0.3"/>
    <row r="583" ht="15.85" customHeight="1" x14ac:dyDescent="0.3"/>
    <row r="584" ht="15.85" customHeight="1" x14ac:dyDescent="0.3"/>
    <row r="585" ht="15.85" customHeight="1" x14ac:dyDescent="0.3"/>
    <row r="586" ht="15.85" customHeight="1" x14ac:dyDescent="0.3"/>
    <row r="587" ht="15.85" customHeight="1" x14ac:dyDescent="0.3"/>
    <row r="588" ht="15.85" customHeight="1" x14ac:dyDescent="0.3"/>
    <row r="589" ht="15.85" customHeight="1" x14ac:dyDescent="0.3"/>
    <row r="590" ht="15.85" customHeight="1" x14ac:dyDescent="0.3"/>
    <row r="591" ht="15.85" customHeight="1" x14ac:dyDescent="0.3"/>
    <row r="592" ht="15.85" customHeight="1" x14ac:dyDescent="0.3"/>
    <row r="593" ht="15.85" customHeight="1" x14ac:dyDescent="0.3"/>
    <row r="594" ht="15.85" customHeight="1" x14ac:dyDescent="0.3"/>
    <row r="595" ht="15.85" customHeight="1" x14ac:dyDescent="0.3"/>
    <row r="596" ht="15.85" customHeight="1" x14ac:dyDescent="0.3"/>
    <row r="597" ht="15.85" customHeight="1" x14ac:dyDescent="0.3"/>
    <row r="598" ht="15.85" customHeight="1" x14ac:dyDescent="0.3"/>
    <row r="599" ht="15.85" customHeight="1" x14ac:dyDescent="0.3"/>
    <row r="600" ht="15.85" customHeight="1" x14ac:dyDescent="0.3"/>
    <row r="601" ht="15.85" customHeight="1" x14ac:dyDescent="0.3"/>
    <row r="602" ht="15.85" customHeight="1" x14ac:dyDescent="0.3"/>
    <row r="603" ht="15.85" customHeight="1" x14ac:dyDescent="0.3"/>
    <row r="604" ht="15.85" customHeight="1" x14ac:dyDescent="0.3"/>
    <row r="605" ht="15.85" customHeight="1" x14ac:dyDescent="0.3"/>
    <row r="606" ht="15.85" customHeight="1" x14ac:dyDescent="0.3"/>
    <row r="607" ht="15.85" customHeight="1" x14ac:dyDescent="0.3"/>
    <row r="608" ht="15.85" customHeight="1" x14ac:dyDescent="0.3"/>
    <row r="609" ht="15.85" customHeight="1" x14ac:dyDescent="0.3"/>
    <row r="610" ht="15.85" customHeight="1" x14ac:dyDescent="0.3"/>
    <row r="611" ht="15.85" customHeight="1" x14ac:dyDescent="0.3"/>
    <row r="612" ht="15.85" customHeight="1" x14ac:dyDescent="0.3"/>
    <row r="613" ht="15.85" customHeight="1" x14ac:dyDescent="0.3"/>
    <row r="614" ht="15.85" customHeight="1" x14ac:dyDescent="0.3"/>
    <row r="615" ht="15.85" customHeight="1" x14ac:dyDescent="0.3"/>
    <row r="616" ht="15.85" customHeight="1" x14ac:dyDescent="0.3"/>
    <row r="617" ht="15.85" customHeight="1" x14ac:dyDescent="0.3"/>
    <row r="618" ht="15.85" customHeight="1" x14ac:dyDescent="0.3"/>
    <row r="619" ht="15.85" customHeight="1" x14ac:dyDescent="0.3"/>
    <row r="620" ht="15.85" customHeight="1" x14ac:dyDescent="0.3"/>
    <row r="621" ht="15.85" customHeight="1" x14ac:dyDescent="0.3"/>
    <row r="622" ht="15.85" customHeight="1" x14ac:dyDescent="0.3"/>
    <row r="623" ht="15.85" customHeight="1" x14ac:dyDescent="0.3"/>
    <row r="624" ht="15.85" customHeight="1" x14ac:dyDescent="0.3"/>
    <row r="625" ht="15.85" customHeight="1" x14ac:dyDescent="0.3"/>
    <row r="626" ht="15.85" customHeight="1" x14ac:dyDescent="0.3"/>
    <row r="627" ht="15.85" customHeight="1" x14ac:dyDescent="0.3"/>
    <row r="628" ht="15.85" customHeight="1" x14ac:dyDescent="0.3"/>
    <row r="629" ht="15.85" customHeight="1" x14ac:dyDescent="0.3"/>
    <row r="630" ht="15.85" customHeight="1" x14ac:dyDescent="0.3"/>
    <row r="631" ht="15.85" customHeight="1" x14ac:dyDescent="0.3"/>
    <row r="632" ht="15.85" customHeight="1" x14ac:dyDescent="0.3"/>
    <row r="633" ht="15.85" customHeight="1" x14ac:dyDescent="0.3"/>
    <row r="634" ht="15.85" customHeight="1" x14ac:dyDescent="0.3"/>
    <row r="635" ht="15.85" customHeight="1" x14ac:dyDescent="0.3"/>
    <row r="636" ht="15.85" customHeight="1" x14ac:dyDescent="0.3"/>
    <row r="637" ht="15.85" customHeight="1" x14ac:dyDescent="0.3"/>
    <row r="638" ht="15.85" customHeight="1" x14ac:dyDescent="0.3"/>
    <row r="639" ht="15.85" customHeight="1" x14ac:dyDescent="0.3"/>
    <row r="640" ht="15.85" customHeight="1" x14ac:dyDescent="0.3"/>
    <row r="641" ht="15.85" customHeight="1" x14ac:dyDescent="0.3"/>
    <row r="642" ht="15.85" customHeight="1" x14ac:dyDescent="0.3"/>
    <row r="643" ht="15.85" customHeight="1" x14ac:dyDescent="0.3"/>
    <row r="644" ht="15.85" customHeight="1" x14ac:dyDescent="0.3"/>
    <row r="645" ht="15.85" customHeight="1" x14ac:dyDescent="0.3"/>
    <row r="646" ht="15.85" customHeight="1" x14ac:dyDescent="0.3"/>
    <row r="647" ht="15.85" customHeight="1" x14ac:dyDescent="0.3"/>
    <row r="648" ht="15.85" customHeight="1" x14ac:dyDescent="0.3"/>
    <row r="649" ht="15.85" customHeight="1" x14ac:dyDescent="0.3"/>
    <row r="650" ht="15.85" customHeight="1" x14ac:dyDescent="0.3"/>
    <row r="651" ht="15.85" customHeight="1" x14ac:dyDescent="0.3"/>
    <row r="652" ht="15.85" customHeight="1" x14ac:dyDescent="0.3"/>
    <row r="653" ht="15.85" customHeight="1" x14ac:dyDescent="0.3"/>
    <row r="654" ht="15.85" customHeight="1" x14ac:dyDescent="0.3"/>
    <row r="655" ht="15.85" customHeight="1" x14ac:dyDescent="0.3"/>
    <row r="656" ht="15.85" customHeight="1" x14ac:dyDescent="0.3"/>
    <row r="657" ht="15.85" customHeight="1" x14ac:dyDescent="0.3"/>
    <row r="658" ht="15.85" customHeight="1" x14ac:dyDescent="0.3"/>
    <row r="659" ht="15.85" customHeight="1" x14ac:dyDescent="0.3"/>
    <row r="660" ht="15.85" customHeight="1" x14ac:dyDescent="0.3"/>
    <row r="661" ht="15.85" customHeight="1" x14ac:dyDescent="0.3"/>
    <row r="662" ht="15.85" customHeight="1" x14ac:dyDescent="0.3"/>
    <row r="663" ht="15.85" customHeight="1" x14ac:dyDescent="0.3"/>
    <row r="664" ht="15.85" customHeight="1" x14ac:dyDescent="0.3"/>
    <row r="665" ht="15.85" customHeight="1" x14ac:dyDescent="0.3"/>
    <row r="666" ht="15.85" customHeight="1" x14ac:dyDescent="0.3"/>
    <row r="667" ht="15.85" customHeight="1" x14ac:dyDescent="0.3"/>
    <row r="668" ht="15.85" customHeight="1" x14ac:dyDescent="0.3"/>
    <row r="669" ht="15.85" customHeight="1" x14ac:dyDescent="0.3"/>
    <row r="670" ht="15.85" customHeight="1" x14ac:dyDescent="0.3"/>
    <row r="671" ht="15.85" customHeight="1" x14ac:dyDescent="0.3"/>
    <row r="672" ht="15.85" customHeight="1" x14ac:dyDescent="0.3"/>
    <row r="673" ht="15.85" customHeight="1" x14ac:dyDescent="0.3"/>
    <row r="674" ht="15.85" customHeight="1" x14ac:dyDescent="0.3"/>
    <row r="675" ht="15.85" customHeight="1" x14ac:dyDescent="0.3"/>
    <row r="676" ht="15.85" customHeight="1" x14ac:dyDescent="0.3"/>
    <row r="677" ht="15.85" customHeight="1" x14ac:dyDescent="0.3"/>
    <row r="678" ht="15.85" customHeight="1" x14ac:dyDescent="0.3"/>
    <row r="679" ht="15.85" customHeight="1" x14ac:dyDescent="0.3"/>
    <row r="680" ht="15.85" customHeight="1" x14ac:dyDescent="0.3"/>
    <row r="681" ht="15.85" customHeight="1" x14ac:dyDescent="0.3"/>
    <row r="682" ht="15.85" customHeight="1" x14ac:dyDescent="0.3"/>
    <row r="683" ht="15.85" customHeight="1" x14ac:dyDescent="0.3"/>
    <row r="684" ht="15.85" customHeight="1" x14ac:dyDescent="0.3"/>
    <row r="685" ht="15.85" customHeight="1" x14ac:dyDescent="0.3"/>
    <row r="686" ht="15.85" customHeight="1" x14ac:dyDescent="0.3"/>
    <row r="687" ht="15.85" customHeight="1" x14ac:dyDescent="0.3"/>
    <row r="688" ht="15.85" customHeight="1" x14ac:dyDescent="0.3"/>
    <row r="689" ht="15.85" customHeight="1" x14ac:dyDescent="0.3"/>
    <row r="690" ht="15.85" customHeight="1" x14ac:dyDescent="0.3"/>
    <row r="691" ht="15.85" customHeight="1" x14ac:dyDescent="0.3"/>
    <row r="692" ht="15.85" customHeight="1" x14ac:dyDescent="0.3"/>
    <row r="693" ht="15.85" customHeight="1" x14ac:dyDescent="0.3"/>
    <row r="694" ht="15.85" customHeight="1" x14ac:dyDescent="0.3"/>
    <row r="695" ht="15.85" customHeight="1" x14ac:dyDescent="0.3"/>
    <row r="696" ht="15.85" customHeight="1" x14ac:dyDescent="0.3"/>
    <row r="697" ht="15.85" customHeight="1" x14ac:dyDescent="0.3"/>
    <row r="698" ht="15.85" customHeight="1" x14ac:dyDescent="0.3"/>
    <row r="699" ht="15.85" customHeight="1" x14ac:dyDescent="0.3"/>
    <row r="700" ht="15.85" customHeight="1" x14ac:dyDescent="0.3"/>
    <row r="701" ht="15.85" customHeight="1" x14ac:dyDescent="0.3"/>
    <row r="702" ht="15.85" customHeight="1" x14ac:dyDescent="0.3"/>
    <row r="703" ht="15.85" customHeight="1" x14ac:dyDescent="0.3"/>
    <row r="704" ht="15.85" customHeight="1" x14ac:dyDescent="0.3"/>
    <row r="705" ht="15.85" customHeight="1" x14ac:dyDescent="0.3"/>
    <row r="706" ht="15.85" customHeight="1" x14ac:dyDescent="0.3"/>
    <row r="707" ht="15.85" customHeight="1" x14ac:dyDescent="0.3"/>
    <row r="708" ht="15.85" customHeight="1" x14ac:dyDescent="0.3"/>
    <row r="709" ht="15.85" customHeight="1" x14ac:dyDescent="0.3"/>
    <row r="710" ht="15.85" customHeight="1" x14ac:dyDescent="0.3"/>
    <row r="711" ht="15.85" customHeight="1" x14ac:dyDescent="0.3"/>
    <row r="712" ht="15.85" customHeight="1" x14ac:dyDescent="0.3"/>
    <row r="713" ht="15.85" customHeight="1" x14ac:dyDescent="0.3"/>
    <row r="714" ht="15.85" customHeight="1" x14ac:dyDescent="0.3"/>
    <row r="715" ht="15.85" customHeight="1" x14ac:dyDescent="0.3"/>
    <row r="716" ht="15.85" customHeight="1" x14ac:dyDescent="0.3"/>
    <row r="717" ht="15.85" customHeight="1" x14ac:dyDescent="0.3"/>
    <row r="718" ht="15.85" customHeight="1" x14ac:dyDescent="0.3"/>
    <row r="719" ht="15.85" customHeight="1" x14ac:dyDescent="0.3"/>
    <row r="720" ht="15.85" customHeight="1" x14ac:dyDescent="0.3"/>
    <row r="721" ht="15.85" customHeight="1" x14ac:dyDescent="0.3"/>
    <row r="722" ht="15.85" customHeight="1" x14ac:dyDescent="0.3"/>
    <row r="723" ht="15.85" customHeight="1" x14ac:dyDescent="0.3"/>
    <row r="724" ht="15.85" customHeight="1" x14ac:dyDescent="0.3"/>
    <row r="725" ht="15.85" customHeight="1" x14ac:dyDescent="0.3"/>
    <row r="726" ht="15.85" customHeight="1" x14ac:dyDescent="0.3"/>
    <row r="727" ht="15.85" customHeight="1" x14ac:dyDescent="0.3"/>
    <row r="728" ht="15.85" customHeight="1" x14ac:dyDescent="0.3"/>
    <row r="729" ht="15.85" customHeight="1" x14ac:dyDescent="0.3"/>
    <row r="730" ht="15.85" customHeight="1" x14ac:dyDescent="0.3"/>
    <row r="731" ht="15.85" customHeight="1" x14ac:dyDescent="0.3"/>
    <row r="732" ht="15.85" customHeight="1" x14ac:dyDescent="0.3"/>
    <row r="733" ht="15.85" customHeight="1" x14ac:dyDescent="0.3"/>
    <row r="734" ht="15.85" customHeight="1" x14ac:dyDescent="0.3"/>
    <row r="735" ht="15.85" customHeight="1" x14ac:dyDescent="0.3"/>
    <row r="736" ht="15.85" customHeight="1" x14ac:dyDescent="0.3"/>
    <row r="737" ht="15.85" customHeight="1" x14ac:dyDescent="0.3"/>
    <row r="738" ht="15.85" customHeight="1" x14ac:dyDescent="0.3"/>
    <row r="739" ht="15.85" customHeight="1" x14ac:dyDescent="0.3"/>
    <row r="740" ht="15.85" customHeight="1" x14ac:dyDescent="0.3"/>
    <row r="741" ht="15.85" customHeight="1" x14ac:dyDescent="0.3"/>
    <row r="742" ht="15.85" customHeight="1" x14ac:dyDescent="0.3"/>
    <row r="743" ht="15.85" customHeight="1" x14ac:dyDescent="0.3"/>
    <row r="744" ht="15.85" customHeight="1" x14ac:dyDescent="0.3"/>
    <row r="745" ht="15.85" customHeight="1" x14ac:dyDescent="0.3"/>
    <row r="746" ht="15.85" customHeight="1" x14ac:dyDescent="0.3"/>
    <row r="747" ht="15.85" customHeight="1" x14ac:dyDescent="0.3"/>
    <row r="748" ht="15.85" customHeight="1" x14ac:dyDescent="0.3"/>
    <row r="749" ht="15.85" customHeight="1" x14ac:dyDescent="0.3"/>
    <row r="750" ht="15.85" customHeight="1" x14ac:dyDescent="0.3"/>
    <row r="751" ht="15.85" customHeight="1" x14ac:dyDescent="0.3"/>
    <row r="752" ht="15.85" customHeight="1" x14ac:dyDescent="0.3"/>
    <row r="753" ht="15.85" customHeight="1" x14ac:dyDescent="0.3"/>
    <row r="754" ht="15.85" customHeight="1" x14ac:dyDescent="0.3"/>
    <row r="755" ht="15.85" customHeight="1" x14ac:dyDescent="0.3"/>
    <row r="756" ht="15.85" customHeight="1" x14ac:dyDescent="0.3"/>
    <row r="757" ht="15.85" customHeight="1" x14ac:dyDescent="0.3"/>
    <row r="758" ht="15.85" customHeight="1" x14ac:dyDescent="0.3"/>
    <row r="759" ht="15.85" customHeight="1" x14ac:dyDescent="0.3"/>
    <row r="760" ht="15.85" customHeight="1" x14ac:dyDescent="0.3"/>
    <row r="761" ht="15.85" customHeight="1" x14ac:dyDescent="0.3"/>
    <row r="762" ht="15.85" customHeight="1" x14ac:dyDescent="0.3"/>
    <row r="763" ht="15.85" customHeight="1" x14ac:dyDescent="0.3"/>
    <row r="764" ht="15.85" customHeight="1" x14ac:dyDescent="0.3"/>
    <row r="765" ht="15.85" customHeight="1" x14ac:dyDescent="0.3"/>
    <row r="766" ht="15.85" customHeight="1" x14ac:dyDescent="0.3"/>
    <row r="767" ht="15.85" customHeight="1" x14ac:dyDescent="0.3"/>
    <row r="768" ht="15.85" customHeight="1" x14ac:dyDescent="0.3"/>
    <row r="769" ht="15.85" customHeight="1" x14ac:dyDescent="0.3"/>
    <row r="770" ht="15.85" customHeight="1" x14ac:dyDescent="0.3"/>
    <row r="771" ht="15.85" customHeight="1" x14ac:dyDescent="0.3"/>
    <row r="772" ht="15.85" customHeight="1" x14ac:dyDescent="0.3"/>
    <row r="773" ht="15.85" customHeight="1" x14ac:dyDescent="0.3"/>
    <row r="774" ht="15.85" customHeight="1" x14ac:dyDescent="0.3"/>
    <row r="775" ht="15.85" customHeight="1" x14ac:dyDescent="0.3"/>
    <row r="776" ht="15.85" customHeight="1" x14ac:dyDescent="0.3"/>
    <row r="777" ht="15.85" customHeight="1" x14ac:dyDescent="0.3"/>
    <row r="778" ht="15.85" customHeight="1" x14ac:dyDescent="0.3"/>
    <row r="779" ht="15.85" customHeight="1" x14ac:dyDescent="0.3"/>
    <row r="780" ht="15.85" customHeight="1" x14ac:dyDescent="0.3"/>
    <row r="781" ht="15.85" customHeight="1" x14ac:dyDescent="0.3"/>
    <row r="782" ht="15.85" customHeight="1" x14ac:dyDescent="0.3"/>
    <row r="783" ht="15.85" customHeight="1" x14ac:dyDescent="0.3"/>
    <row r="784" ht="15.85" customHeight="1" x14ac:dyDescent="0.3"/>
    <row r="785" ht="15.85" customHeight="1" x14ac:dyDescent="0.3"/>
    <row r="786" ht="15.85" customHeight="1" x14ac:dyDescent="0.3"/>
    <row r="787" ht="15.85" customHeight="1" x14ac:dyDescent="0.3"/>
    <row r="788" ht="15.85" customHeight="1" x14ac:dyDescent="0.3"/>
    <row r="789" ht="15.85" customHeight="1" x14ac:dyDescent="0.3"/>
    <row r="790" ht="15.85" customHeight="1" x14ac:dyDescent="0.3"/>
    <row r="791" ht="15.85" customHeight="1" x14ac:dyDescent="0.3"/>
    <row r="792" ht="15.85" customHeight="1" x14ac:dyDescent="0.3"/>
    <row r="793" ht="15.85" customHeight="1" x14ac:dyDescent="0.3"/>
    <row r="794" ht="15.85" customHeight="1" x14ac:dyDescent="0.3"/>
    <row r="795" ht="15.85" customHeight="1" x14ac:dyDescent="0.3"/>
    <row r="796" ht="15.85" customHeight="1" x14ac:dyDescent="0.3"/>
    <row r="797" ht="15.85" customHeight="1" x14ac:dyDescent="0.3"/>
    <row r="798" ht="15.85" customHeight="1" x14ac:dyDescent="0.3"/>
    <row r="799" ht="15.85" customHeight="1" x14ac:dyDescent="0.3"/>
    <row r="800" ht="15.85" customHeight="1" x14ac:dyDescent="0.3"/>
    <row r="801" ht="15.85" customHeight="1" x14ac:dyDescent="0.3"/>
    <row r="802" ht="15.85" customHeight="1" x14ac:dyDescent="0.3"/>
    <row r="803" ht="15.85" customHeight="1" x14ac:dyDescent="0.3"/>
    <row r="804" ht="15.85" customHeight="1" x14ac:dyDescent="0.3"/>
    <row r="805" ht="15.85" customHeight="1" x14ac:dyDescent="0.3"/>
    <row r="806" ht="15.85" customHeight="1" x14ac:dyDescent="0.3"/>
    <row r="807" ht="15.85" customHeight="1" x14ac:dyDescent="0.3"/>
    <row r="808" ht="15.85" customHeight="1" x14ac:dyDescent="0.3"/>
    <row r="809" ht="15.85" customHeight="1" x14ac:dyDescent="0.3"/>
    <row r="810" ht="15.85" customHeight="1" x14ac:dyDescent="0.3"/>
    <row r="811" ht="15.85" customHeight="1" x14ac:dyDescent="0.3"/>
    <row r="812" ht="15.85" customHeight="1" x14ac:dyDescent="0.3"/>
    <row r="813" ht="15.85" customHeight="1" x14ac:dyDescent="0.3"/>
    <row r="814" ht="15.85" customHeight="1" x14ac:dyDescent="0.3"/>
    <row r="815" ht="15.85" customHeight="1" x14ac:dyDescent="0.3"/>
    <row r="816" ht="15.85" customHeight="1" x14ac:dyDescent="0.3"/>
    <row r="817" ht="15.85" customHeight="1" x14ac:dyDescent="0.3"/>
    <row r="818" ht="15.85" customHeight="1" x14ac:dyDescent="0.3"/>
    <row r="819" ht="15.85" customHeight="1" x14ac:dyDescent="0.3"/>
    <row r="820" ht="15.85" customHeight="1" x14ac:dyDescent="0.3"/>
    <row r="821" ht="15.85" customHeight="1" x14ac:dyDescent="0.3"/>
    <row r="822" ht="15.85" customHeight="1" x14ac:dyDescent="0.3"/>
    <row r="823" ht="15.85" customHeight="1" x14ac:dyDescent="0.3"/>
    <row r="824" ht="15.85" customHeight="1" x14ac:dyDescent="0.3"/>
    <row r="825" ht="15.85" customHeight="1" x14ac:dyDescent="0.3"/>
    <row r="826" ht="15.85" customHeight="1" x14ac:dyDescent="0.3"/>
    <row r="827" ht="15.85" customHeight="1" x14ac:dyDescent="0.3"/>
    <row r="828" ht="15.85" customHeight="1" x14ac:dyDescent="0.3"/>
    <row r="829" ht="15.85" customHeight="1" x14ac:dyDescent="0.3"/>
    <row r="830" ht="15.85" customHeight="1" x14ac:dyDescent="0.3"/>
    <row r="831" ht="15.85" customHeight="1" x14ac:dyDescent="0.3"/>
    <row r="832" ht="15.85" customHeight="1" x14ac:dyDescent="0.3"/>
    <row r="833" ht="15.85" customHeight="1" x14ac:dyDescent="0.3"/>
    <row r="834" ht="15.85" customHeight="1" x14ac:dyDescent="0.3"/>
    <row r="835" ht="15.85" customHeight="1" x14ac:dyDescent="0.3"/>
    <row r="836" ht="15.85" customHeight="1" x14ac:dyDescent="0.3"/>
    <row r="837" ht="15.85" customHeight="1" x14ac:dyDescent="0.3"/>
    <row r="838" ht="15.85" customHeight="1" x14ac:dyDescent="0.3"/>
    <row r="839" ht="15.85" customHeight="1" x14ac:dyDescent="0.3"/>
    <row r="840" ht="15.85" customHeight="1" x14ac:dyDescent="0.3"/>
    <row r="841" ht="15.85" customHeight="1" x14ac:dyDescent="0.3"/>
    <row r="842" ht="15.85" customHeight="1" x14ac:dyDescent="0.3"/>
    <row r="843" ht="15.85" customHeight="1" x14ac:dyDescent="0.3"/>
    <row r="844" ht="15.85" customHeight="1" x14ac:dyDescent="0.3"/>
    <row r="845" ht="15.85" customHeight="1" x14ac:dyDescent="0.3"/>
    <row r="846" ht="15.85" customHeight="1" x14ac:dyDescent="0.3"/>
    <row r="847" ht="15.85" customHeight="1" x14ac:dyDescent="0.3"/>
    <row r="848" ht="15.85" customHeight="1" x14ac:dyDescent="0.3"/>
    <row r="849" ht="15.85" customHeight="1" x14ac:dyDescent="0.3"/>
    <row r="850" ht="15.85" customHeight="1" x14ac:dyDescent="0.3"/>
    <row r="851" ht="15.85" customHeight="1" x14ac:dyDescent="0.3"/>
    <row r="852" ht="15.85" customHeight="1" x14ac:dyDescent="0.3"/>
    <row r="853" ht="15.85" customHeight="1" x14ac:dyDescent="0.3"/>
    <row r="854" ht="15.85" customHeight="1" x14ac:dyDescent="0.3"/>
    <row r="855" ht="15.85" customHeight="1" x14ac:dyDescent="0.3"/>
    <row r="856" ht="15.85" customHeight="1" x14ac:dyDescent="0.3"/>
    <row r="857" ht="15.85" customHeight="1" x14ac:dyDescent="0.3"/>
    <row r="858" ht="15.85" customHeight="1" x14ac:dyDescent="0.3"/>
    <row r="859" ht="15.85" customHeight="1" x14ac:dyDescent="0.3"/>
    <row r="860" ht="15.85" customHeight="1" x14ac:dyDescent="0.3"/>
    <row r="861" ht="15.85" customHeight="1" x14ac:dyDescent="0.3"/>
    <row r="862" ht="15.85" customHeight="1" x14ac:dyDescent="0.3"/>
    <row r="863" ht="15.85" customHeight="1" x14ac:dyDescent="0.3"/>
    <row r="864" ht="15.85" customHeight="1" x14ac:dyDescent="0.3"/>
    <row r="865" ht="15.85" customHeight="1" x14ac:dyDescent="0.3"/>
    <row r="866" ht="15.85" customHeight="1" x14ac:dyDescent="0.3"/>
    <row r="867" ht="15.85" customHeight="1" x14ac:dyDescent="0.3"/>
    <row r="868" ht="15.85" customHeight="1" x14ac:dyDescent="0.3"/>
    <row r="869" ht="15.85" customHeight="1" x14ac:dyDescent="0.3"/>
    <row r="870" ht="15.85" customHeight="1" x14ac:dyDescent="0.3"/>
    <row r="871" ht="15.85" customHeight="1" x14ac:dyDescent="0.3"/>
    <row r="872" ht="15.85" customHeight="1" x14ac:dyDescent="0.3"/>
    <row r="873" ht="15.85" customHeight="1" x14ac:dyDescent="0.3"/>
    <row r="874" ht="15.85" customHeight="1" x14ac:dyDescent="0.3"/>
    <row r="875" ht="15.85" customHeight="1" x14ac:dyDescent="0.3"/>
    <row r="876" ht="15.85" customHeight="1" x14ac:dyDescent="0.3"/>
    <row r="877" ht="15.85" customHeight="1" x14ac:dyDescent="0.3"/>
    <row r="878" ht="15.85" customHeight="1" x14ac:dyDescent="0.3"/>
    <row r="879" ht="15.85" customHeight="1" x14ac:dyDescent="0.3"/>
    <row r="880" ht="15.85" customHeight="1" x14ac:dyDescent="0.3"/>
    <row r="881" ht="15.85" customHeight="1" x14ac:dyDescent="0.3"/>
    <row r="882" ht="15.85" customHeight="1" x14ac:dyDescent="0.3"/>
    <row r="883" ht="15.85" customHeight="1" x14ac:dyDescent="0.3"/>
    <row r="884" ht="15.85" customHeight="1" x14ac:dyDescent="0.3"/>
    <row r="885" ht="15.85" customHeight="1" x14ac:dyDescent="0.3"/>
    <row r="886" ht="15.85" customHeight="1" x14ac:dyDescent="0.3"/>
    <row r="887" ht="15.85" customHeight="1" x14ac:dyDescent="0.3"/>
    <row r="888" ht="15.85" customHeight="1" x14ac:dyDescent="0.3"/>
    <row r="889" ht="15.85" customHeight="1" x14ac:dyDescent="0.3"/>
    <row r="890" ht="15.85" customHeight="1" x14ac:dyDescent="0.3"/>
    <row r="891" ht="15.85" customHeight="1" x14ac:dyDescent="0.3"/>
    <row r="892" ht="15.85" customHeight="1" x14ac:dyDescent="0.3"/>
    <row r="893" ht="15.85" customHeight="1" x14ac:dyDescent="0.3"/>
    <row r="894" ht="15.85" customHeight="1" x14ac:dyDescent="0.3"/>
    <row r="895" ht="15.85" customHeight="1" x14ac:dyDescent="0.3"/>
    <row r="896" ht="15.85" customHeight="1" x14ac:dyDescent="0.3"/>
    <row r="897" ht="15.85" customHeight="1" x14ac:dyDescent="0.3"/>
    <row r="898" ht="15.85" customHeight="1" x14ac:dyDescent="0.3"/>
    <row r="899" ht="15.85" customHeight="1" x14ac:dyDescent="0.3"/>
    <row r="900" ht="15.85" customHeight="1" x14ac:dyDescent="0.3"/>
    <row r="901" ht="15.85" customHeight="1" x14ac:dyDescent="0.3"/>
    <row r="902" ht="15.85" customHeight="1" x14ac:dyDescent="0.3"/>
    <row r="903" ht="15.85" customHeight="1" x14ac:dyDescent="0.3"/>
    <row r="904" ht="15.85" customHeight="1" x14ac:dyDescent="0.3"/>
    <row r="905" ht="15.85" customHeight="1" x14ac:dyDescent="0.3"/>
    <row r="906" ht="15.85" customHeight="1" x14ac:dyDescent="0.3"/>
    <row r="907" ht="15.85" customHeight="1" x14ac:dyDescent="0.3"/>
    <row r="908" ht="15.85" customHeight="1" x14ac:dyDescent="0.3"/>
    <row r="909" ht="15.85" customHeight="1" x14ac:dyDescent="0.3"/>
    <row r="910" ht="15.85" customHeight="1" x14ac:dyDescent="0.3"/>
    <row r="911" ht="15.85" customHeight="1" x14ac:dyDescent="0.3"/>
    <row r="912" ht="15.85" customHeight="1" x14ac:dyDescent="0.3"/>
    <row r="913" ht="15.85" customHeight="1" x14ac:dyDescent="0.3"/>
    <row r="914" ht="15.85" customHeight="1" x14ac:dyDescent="0.3"/>
    <row r="915" ht="15.85" customHeight="1" x14ac:dyDescent="0.3"/>
    <row r="916" ht="15.85" customHeight="1" x14ac:dyDescent="0.3"/>
    <row r="917" ht="15.85" customHeight="1" x14ac:dyDescent="0.3"/>
    <row r="918" ht="15.85" customHeight="1" x14ac:dyDescent="0.3"/>
    <row r="919" ht="15.85" customHeight="1" x14ac:dyDescent="0.3"/>
    <row r="920" ht="15.85" customHeight="1" x14ac:dyDescent="0.3"/>
    <row r="921" ht="15.85" customHeight="1" x14ac:dyDescent="0.3"/>
    <row r="922" ht="15.85" customHeight="1" x14ac:dyDescent="0.3"/>
    <row r="923" ht="15.85" customHeight="1" x14ac:dyDescent="0.3"/>
    <row r="924" ht="15.85" customHeight="1" x14ac:dyDescent="0.3"/>
    <row r="925" ht="15.85" customHeight="1" x14ac:dyDescent="0.3"/>
    <row r="926" ht="15.85" customHeight="1" x14ac:dyDescent="0.3"/>
    <row r="927" ht="15.85" customHeight="1" x14ac:dyDescent="0.3"/>
    <row r="928" ht="15.85" customHeight="1" x14ac:dyDescent="0.3"/>
    <row r="929" ht="15.85" customHeight="1" x14ac:dyDescent="0.3"/>
    <row r="930" ht="15.85" customHeight="1" x14ac:dyDescent="0.3"/>
    <row r="931" ht="15.85" customHeight="1" x14ac:dyDescent="0.3"/>
    <row r="932" ht="15.85" customHeight="1" x14ac:dyDescent="0.3"/>
    <row r="933" ht="15.85" customHeight="1" x14ac:dyDescent="0.3"/>
    <row r="934" ht="15.85" customHeight="1" x14ac:dyDescent="0.3"/>
    <row r="935" ht="15.85" customHeight="1" x14ac:dyDescent="0.3"/>
    <row r="936" ht="15.85" customHeight="1" x14ac:dyDescent="0.3"/>
    <row r="937" ht="15.85" customHeight="1" x14ac:dyDescent="0.3"/>
    <row r="938" ht="15.85" customHeight="1" x14ac:dyDescent="0.3"/>
    <row r="939" ht="15.85" customHeight="1" x14ac:dyDescent="0.3"/>
    <row r="940" ht="15.85" customHeight="1" x14ac:dyDescent="0.3"/>
    <row r="941" ht="15.85" customHeight="1" x14ac:dyDescent="0.3"/>
    <row r="942" ht="15.85" customHeight="1" x14ac:dyDescent="0.3"/>
    <row r="943" ht="15.85" customHeight="1" x14ac:dyDescent="0.3"/>
    <row r="944" ht="15.85" customHeight="1" x14ac:dyDescent="0.3"/>
    <row r="945" ht="15.85" customHeight="1" x14ac:dyDescent="0.3"/>
    <row r="946" ht="15.85" customHeight="1" x14ac:dyDescent="0.3"/>
    <row r="947" ht="15.85" customHeight="1" x14ac:dyDescent="0.3"/>
    <row r="948" ht="15.85" customHeight="1" x14ac:dyDescent="0.3"/>
    <row r="949" ht="15.85" customHeight="1" x14ac:dyDescent="0.3"/>
    <row r="950" ht="15.85" customHeight="1" x14ac:dyDescent="0.3"/>
    <row r="951" ht="15.85" customHeight="1" x14ac:dyDescent="0.3"/>
    <row r="952" ht="15.85" customHeight="1" x14ac:dyDescent="0.3"/>
    <row r="953" ht="15.85" customHeight="1" x14ac:dyDescent="0.3"/>
    <row r="954" ht="15.85" customHeight="1" x14ac:dyDescent="0.3"/>
    <row r="955" ht="15.85" customHeight="1" x14ac:dyDescent="0.3"/>
    <row r="956" ht="15.85" customHeight="1" x14ac:dyDescent="0.3"/>
    <row r="957" ht="15.85" customHeight="1" x14ac:dyDescent="0.3"/>
    <row r="958" ht="15.85" customHeight="1" x14ac:dyDescent="0.3"/>
    <row r="959" ht="15.85" customHeight="1" x14ac:dyDescent="0.3"/>
    <row r="960" ht="15.85" customHeight="1" x14ac:dyDescent="0.3"/>
    <row r="961" ht="15.85" customHeight="1" x14ac:dyDescent="0.3"/>
    <row r="962" ht="15.85" customHeight="1" x14ac:dyDescent="0.3"/>
    <row r="963" ht="15.85" customHeight="1" x14ac:dyDescent="0.3"/>
    <row r="964" ht="15.85" customHeight="1" x14ac:dyDescent="0.3"/>
    <row r="965" ht="15.85" customHeight="1" x14ac:dyDescent="0.3"/>
    <row r="966" ht="15.85" customHeight="1" x14ac:dyDescent="0.3"/>
    <row r="967" ht="15.85" customHeight="1" x14ac:dyDescent="0.3"/>
    <row r="968" ht="15.85" customHeight="1" x14ac:dyDescent="0.3"/>
    <row r="969" ht="15.85" customHeight="1" x14ac:dyDescent="0.3"/>
    <row r="970" ht="15.85" customHeight="1" x14ac:dyDescent="0.3"/>
    <row r="971" ht="15.85" customHeight="1" x14ac:dyDescent="0.3"/>
    <row r="972" ht="15.85" customHeight="1" x14ac:dyDescent="0.3"/>
    <row r="973" ht="15.85" customHeight="1" x14ac:dyDescent="0.3"/>
    <row r="974" ht="15.85" customHeight="1" x14ac:dyDescent="0.3"/>
    <row r="975" ht="15.85" customHeight="1" x14ac:dyDescent="0.3"/>
    <row r="976" ht="15.85" customHeight="1" x14ac:dyDescent="0.3"/>
    <row r="977" ht="15.85" customHeight="1" x14ac:dyDescent="0.3"/>
    <row r="978" ht="15.85" customHeight="1" x14ac:dyDescent="0.3"/>
    <row r="979" ht="15.85" customHeight="1" x14ac:dyDescent="0.3"/>
    <row r="980" ht="15.85" customHeight="1" x14ac:dyDescent="0.3"/>
    <row r="981" ht="15.85" customHeight="1" x14ac:dyDescent="0.3"/>
    <row r="982" ht="15.85" customHeight="1" x14ac:dyDescent="0.3"/>
    <row r="983" ht="15.85" customHeight="1" x14ac:dyDescent="0.3"/>
    <row r="984" ht="15.85" customHeight="1" x14ac:dyDescent="0.3"/>
    <row r="985" ht="15.85" customHeight="1" x14ac:dyDescent="0.3"/>
    <row r="986" ht="15.85" customHeight="1" x14ac:dyDescent="0.3"/>
    <row r="987" ht="15.85" customHeight="1" x14ac:dyDescent="0.3"/>
    <row r="988" ht="15.85" customHeight="1" x14ac:dyDescent="0.3"/>
    <row r="989" ht="15.85" customHeight="1" x14ac:dyDescent="0.3"/>
    <row r="990" ht="15.85" customHeight="1" x14ac:dyDescent="0.3"/>
    <row r="991" ht="15.85" customHeight="1" x14ac:dyDescent="0.3"/>
    <row r="992" ht="15.85" customHeight="1" x14ac:dyDescent="0.3"/>
    <row r="993" ht="15.85" customHeight="1" x14ac:dyDescent="0.3"/>
    <row r="994" ht="15.85" customHeight="1" x14ac:dyDescent="0.3"/>
    <row r="995" ht="15.85" customHeight="1" x14ac:dyDescent="0.3"/>
    <row r="996" ht="15.85" customHeight="1" x14ac:dyDescent="0.3"/>
    <row r="997" ht="15.85" customHeight="1" x14ac:dyDescent="0.3"/>
    <row r="998" ht="15.85" customHeight="1" x14ac:dyDescent="0.3"/>
    <row r="999" ht="15.85" customHeight="1" x14ac:dyDescent="0.3"/>
    <row r="1000" ht="15.85" customHeight="1" x14ac:dyDescent="0.3"/>
  </sheetData>
  <mergeCells count="14">
    <mergeCell ref="R4:S4"/>
    <mergeCell ref="A1:AA1"/>
    <mergeCell ref="A2:AA2"/>
    <mergeCell ref="A3:AA3"/>
    <mergeCell ref="D4:E4"/>
    <mergeCell ref="F4:G4"/>
    <mergeCell ref="H4:I4"/>
    <mergeCell ref="J4:K4"/>
    <mergeCell ref="T4:U4"/>
    <mergeCell ref="L4:M4"/>
    <mergeCell ref="N4:O4"/>
    <mergeCell ref="A5:C5"/>
    <mergeCell ref="B78:C78"/>
    <mergeCell ref="P4:Q4"/>
  </mergeCells>
  <conditionalFormatting sqref="W6:W76">
    <cfRule type="cellIs" dxfId="5" priority="1" operator="lessThan">
      <formula>75</formula>
    </cfRule>
  </conditionalFormatting>
  <conditionalFormatting sqref="AA6:AM76">
    <cfRule type="cellIs" dxfId="4" priority="2" operator="lessThan">
      <formula>75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4"/>
  <sheetViews>
    <sheetView workbookViewId="0"/>
  </sheetViews>
  <sheetFormatPr defaultColWidth="14.44140625" defaultRowHeight="15.05" customHeight="1" x14ac:dyDescent="0.3"/>
  <cols>
    <col min="1" max="1" width="5.109375" customWidth="1"/>
    <col min="2" max="2" width="14.109375" customWidth="1"/>
    <col min="3" max="3" width="46.109375" customWidth="1"/>
    <col min="4" max="4" width="8.6640625" customWidth="1"/>
    <col min="5" max="5" width="12.6640625" customWidth="1"/>
    <col min="6" max="6" width="5.44140625" customWidth="1"/>
    <col min="7" max="7" width="12.6640625" customWidth="1"/>
    <col min="8" max="8" width="7.6640625" customWidth="1"/>
    <col min="9" max="9" width="12.6640625" customWidth="1"/>
    <col min="10" max="10" width="3" customWidth="1"/>
    <col min="12" max="12" width="3" customWidth="1"/>
    <col min="14" max="14" width="3" customWidth="1"/>
    <col min="16" max="16" width="3" customWidth="1"/>
    <col min="18" max="18" width="3" customWidth="1"/>
    <col min="20" max="20" width="3" customWidth="1"/>
    <col min="21" max="21" width="12.6640625" customWidth="1"/>
    <col min="22" max="22" width="5.6640625" customWidth="1"/>
    <col min="24" max="24" width="6.5546875" customWidth="1"/>
    <col min="25" max="25" width="18.33203125" customWidth="1"/>
    <col min="26" max="26" width="13.33203125" customWidth="1"/>
    <col min="27" max="27" width="19.44140625" customWidth="1"/>
  </cols>
  <sheetData>
    <row r="1" spans="1:27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</row>
    <row r="2" spans="1:27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9"/>
    </row>
    <row r="3" spans="1:27" x14ac:dyDescent="0.3">
      <c r="A3" s="30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2"/>
    </row>
    <row r="4" spans="1:27" ht="15.65" x14ac:dyDescent="0.3">
      <c r="A4" s="1" t="s">
        <v>3</v>
      </c>
      <c r="B4" s="1" t="s">
        <v>4</v>
      </c>
      <c r="C4" s="2" t="s">
        <v>5</v>
      </c>
      <c r="D4" s="23" t="s">
        <v>6</v>
      </c>
      <c r="E4" s="24"/>
      <c r="F4" s="23" t="s">
        <v>7</v>
      </c>
      <c r="G4" s="24"/>
      <c r="H4" s="23" t="s">
        <v>8</v>
      </c>
      <c r="I4" s="24"/>
      <c r="J4" s="23" t="s">
        <v>9</v>
      </c>
      <c r="K4" s="24"/>
      <c r="L4" s="23" t="s">
        <v>10</v>
      </c>
      <c r="M4" s="24"/>
      <c r="N4" s="23" t="s">
        <v>11</v>
      </c>
      <c r="O4" s="24"/>
      <c r="P4" s="23" t="s">
        <v>12</v>
      </c>
      <c r="Q4" s="24"/>
      <c r="R4" s="23" t="s">
        <v>13</v>
      </c>
      <c r="S4" s="24"/>
      <c r="T4" s="23" t="s">
        <v>14</v>
      </c>
      <c r="U4" s="24"/>
      <c r="V4" s="1" t="s">
        <v>15</v>
      </c>
      <c r="W4" s="1" t="s">
        <v>16</v>
      </c>
      <c r="X4" s="3" t="s">
        <v>17</v>
      </c>
      <c r="Y4" s="4" t="s">
        <v>18</v>
      </c>
      <c r="Z4" s="4" t="s">
        <v>19</v>
      </c>
      <c r="AA4" s="4" t="s">
        <v>20</v>
      </c>
    </row>
    <row r="5" spans="1:27" ht="22.55" customHeight="1" x14ac:dyDescent="0.3">
      <c r="A5" s="23" t="s">
        <v>21</v>
      </c>
      <c r="B5" s="25"/>
      <c r="C5" s="24"/>
      <c r="D5" s="5">
        <f ca="1">IFERROR(__xludf.DUMMYFUNCTION("IMPORTRANGE(""https://docs.google.com/spreadsheets/d/1rOGZhKHVnDGFqGTO7UNOJSkSJyQwVuEb2-yhWQit7lw/edit?gid=1294109558#gid=1294109558"", address(row($D3),column($D3),,,""DM&amp;GT-P""))"),0)</f>
        <v>0</v>
      </c>
      <c r="E5" s="5" t="s">
        <v>22</v>
      </c>
      <c r="F5" s="5">
        <f ca="1">IFERROR(__xludf.DUMMYFUNCTION("IMPORTRANGE(""https://docs.google.com/spreadsheets/d/1rOGZhKHVnDGFqGTO7UNOJSkSJyQwVuEb2-yhWQit7lw/edit?gid=1839445998#gid=1839445998"", address(row($D3),column($D3),,,""UHV-P""))"),22)</f>
        <v>22</v>
      </c>
      <c r="G5" s="5" t="s">
        <v>22</v>
      </c>
      <c r="H5" s="5">
        <f ca="1">IFERROR(__xludf.DUMMYFUNCTION("IMPORTRANGE(""https://docs.google.com/spreadsheets/d/1rOGZhKHVnDGFqGTO7UNOJSkSJyQwVuEb2-yhWQit7lw/edit?gid=1415582716#gid=1415582716"", address(row($D3),column($D3),,,""DL&amp;CO-P""))"),19)</f>
        <v>19</v>
      </c>
      <c r="I5" s="5" t="s">
        <v>22</v>
      </c>
      <c r="J5" s="5">
        <f ca="1">IFERROR(__xludf.DUMMYFUNCTION("IMPORTRANGE(""https://docs.google.com/spreadsheets/d/1rOGZhKHVnDGFqGTO7UNOJSkSJyQwVuEb2-yhWQit7lw/edit?gid=412846422#gid=412846422"", address(row($D3),column($D3),,,""ADSA-P""))"),44)</f>
        <v>44</v>
      </c>
      <c r="K5" s="5" t="s">
        <v>22</v>
      </c>
      <c r="L5" s="5">
        <f ca="1">IFERROR(__xludf.DUMMYFUNCTION("IMPORTRANGE(""https://docs.google.com/spreadsheets/d/1rOGZhKHVnDGFqGTO7UNOJSkSJyQwVuEb2-yhWQit7lw/edit?gid=1092082017#gid=1092082017"", address(row($D3),column($D3),,,""JAVA-P""))"),16)</f>
        <v>16</v>
      </c>
      <c r="M5" s="5" t="s">
        <v>22</v>
      </c>
      <c r="N5" s="5">
        <f ca="1">IFERROR(__xludf.DUMMYFUNCTION("IMPORTRANGE(""https://docs.google.com/spreadsheets/d/1rOGZhKHVnDGFqGTO7UNOJSkSJyQwVuEb2-yhWQit7lw/edit?gid=1379505903#gid=1379505903"", address(row($D3),column($D3),,,""FOSS LAB-P""))"),12)</f>
        <v>12</v>
      </c>
      <c r="O5" s="5" t="s">
        <v>22</v>
      </c>
      <c r="P5" s="5">
        <f ca="1">IFERROR(__xludf.DUMMYFUNCTION("IMPORTRANGE(""https://docs.google.com/spreadsheets/d/1rOGZhKHVnDGFqGTO7UNOJSkSJyQwVuEb2-yhWQit7lw/edit?gid=434615646#gid=434615646"", address(row($D3),column($D3),,,""PP-P""))"),28)</f>
        <v>28</v>
      </c>
      <c r="Q5" s="5" t="s">
        <v>22</v>
      </c>
      <c r="R5" s="5">
        <f ca="1">IFERROR(__xludf.DUMMYFUNCTION("IMPORTRANGE(""https://docs.google.com/spreadsheets/d/1rOGZhKHVnDGFqGTO7UNOJSkSJyQwVuEb2-yhWQit7lw/edit?gid=1663742830#gid=1663742830"", address(row($D3),column($D3),,,""NPTEL-P""))"),12)</f>
        <v>12</v>
      </c>
      <c r="S5" s="5" t="s">
        <v>22</v>
      </c>
      <c r="T5" s="6">
        <f ca="1">IFERROR(__xludf.DUMMYFUNCTION("IMPORTRANGE(""https://docs.google.com/spreadsheets/d/1rOGZhKHVnDGFqGTO7UNOJSkSJyQwVuEb2-yhWQit7lw/edit?gid=227426469#gid=227426469"", address(row($D3),column($D3),,,""CRT-P""))"),0)</f>
        <v>0</v>
      </c>
      <c r="U5" s="5" t="s">
        <v>22</v>
      </c>
      <c r="V5" s="6">
        <f t="shared" ref="V5:V80" ca="1" si="0">SUM(D5,F5,H5,J5,L5,N5,P5,R5,T5)</f>
        <v>153</v>
      </c>
      <c r="W5" s="7" t="s">
        <v>22</v>
      </c>
      <c r="X5" s="4">
        <v>0</v>
      </c>
      <c r="Y5" s="4">
        <v>0</v>
      </c>
      <c r="Z5" s="4">
        <f t="shared" ref="Z5:Z80" ca="1" si="1">V5+Y5+X5</f>
        <v>153</v>
      </c>
      <c r="AA5" s="4" t="s">
        <v>22</v>
      </c>
    </row>
    <row r="6" spans="1:27" ht="17.25" customHeight="1" x14ac:dyDescent="0.35">
      <c r="A6" s="8">
        <v>1</v>
      </c>
      <c r="B6" s="9" t="s">
        <v>457</v>
      </c>
      <c r="C6" s="21" t="s">
        <v>458</v>
      </c>
      <c r="D6" s="5">
        <f ca="1">IFERROR(__xludf.DUMMYFUNCTION("IMPORTRANGE(""https://docs.google.com/spreadsheets/d/1rOGZhKHVnDGFqGTO7UNOJSkSJyQwVuEb2-yhWQit7lw/edit?gid=1294109558#gid=1294109558"", address(row($D4),column($D4),,,""DM&amp;GT-P""))"),0)</f>
        <v>0</v>
      </c>
      <c r="E6" s="8" t="e">
        <f t="shared" ref="E6:E80" ca="1" si="2">D6/D$5*100</f>
        <v>#DIV/0!</v>
      </c>
      <c r="F6" s="5">
        <f ca="1">IFERROR(__xludf.DUMMYFUNCTION("IMPORTRANGE(""https://docs.google.com/spreadsheets/d/1rOGZhKHVnDGFqGTO7UNOJSkSJyQwVuEb2-yhWQit7lw/edit?gid=1839445998#gid=1839445998"", address(row($D4),column($D4),,,""UHV-P""))"),9)</f>
        <v>9</v>
      </c>
      <c r="G6" s="8">
        <f t="shared" ref="G6:G80" ca="1" si="3">F6/F$5*100</f>
        <v>40.909090909090914</v>
      </c>
      <c r="H6" s="5">
        <f ca="1">IFERROR(__xludf.DUMMYFUNCTION("IMPORTRANGE(""https://docs.google.com/spreadsheets/d/1rOGZhKHVnDGFqGTO7UNOJSkSJyQwVuEb2-yhWQit7lw/edit?gid=1415582716#gid=1415582716"", address(row($D4),column($D4),,,""DL&amp;CO-P""))"),7)</f>
        <v>7</v>
      </c>
      <c r="I6" s="8">
        <f t="shared" ref="I6:I80" ca="1" si="4">H6/H$5*100</f>
        <v>36.84210526315789</v>
      </c>
      <c r="J6" s="5">
        <f ca="1">IFERROR(__xludf.DUMMYFUNCTION("IMPORTRANGE(""https://docs.google.com/spreadsheets/d/1rOGZhKHVnDGFqGTO7UNOJSkSJyQwVuEb2-yhWQit7lw/edit?gid=412846422#gid=412846422"", address(row($D4),column($D4),,,""ADSA-P""))"),20)</f>
        <v>20</v>
      </c>
      <c r="K6" s="8">
        <f t="shared" ref="K6:K80" ca="1" si="5">J6/J$5*100</f>
        <v>45.454545454545453</v>
      </c>
      <c r="L6" s="5">
        <f ca="1">IFERROR(__xludf.DUMMYFUNCTION("IMPORTRANGE(""https://docs.google.com/spreadsheets/d/1rOGZhKHVnDGFqGTO7UNOJSkSJyQwVuEb2-yhWQit7lw/edit?gid=1092082017#gid=1092082017"", address(row($D4),column($D4),,,""JAVA-P""))"),2)</f>
        <v>2</v>
      </c>
      <c r="M6" s="8">
        <f t="shared" ref="M6:M80" ca="1" si="6">L6/L$5*100</f>
        <v>12.5</v>
      </c>
      <c r="N6" s="5">
        <f ca="1">IFERROR(__xludf.DUMMYFUNCTION("IMPORTRANGE(""https://docs.google.com/spreadsheets/d/1rOGZhKHVnDGFqGTO7UNOJSkSJyQwVuEb2-yhWQit7lw/edit?gid=1379505903#gid=1379505903"", address(row($D4),column($D4),,,""FOSS LAB-P""))"),6)</f>
        <v>6</v>
      </c>
      <c r="O6" s="8">
        <f t="shared" ref="O6:O80" ca="1" si="7">N6/N$5*100</f>
        <v>50</v>
      </c>
      <c r="P6" s="5">
        <f ca="1">IFERROR(__xludf.DUMMYFUNCTION("IMPORTRANGE(""https://docs.google.com/spreadsheets/d/1rOGZhKHVnDGFqGTO7UNOJSkSJyQwVuEb2-yhWQit7lw/edit?gid=434615646#gid=434615646"", address(row($D4),column($D4),,,""PP-P""))"),8)</f>
        <v>8</v>
      </c>
      <c r="Q6" s="8">
        <f t="shared" ref="Q6:Q80" ca="1" si="8">P6/P$5*100</f>
        <v>28.571428571428569</v>
      </c>
      <c r="R6" s="5">
        <f ca="1">IFERROR(__xludf.DUMMYFUNCTION("IMPORTRANGE(""https://docs.google.com/spreadsheets/d/1rOGZhKHVnDGFqGTO7UNOJSkSJyQwVuEb2-yhWQit7lw/edit?gid=1663742830#gid=1663742830"", address(row($D4),column($D4),,,""NPTEL-P""))"),2)</f>
        <v>2</v>
      </c>
      <c r="S6" s="8">
        <f t="shared" ref="S6:S80" ca="1" si="9">R6/R$5*100</f>
        <v>16.666666666666664</v>
      </c>
      <c r="T6" s="6">
        <f ca="1">IFERROR(__xludf.DUMMYFUNCTION("IMPORTRANGE(""https://docs.google.com/spreadsheets/d/1rOGZhKHVnDGFqGTO7UNOJSkSJyQwVuEb2-yhWQit7lw/edit?gid=227426469#gid=227426469"", address(row($D4),column($D4),,,""CRT-P""))"),0)</f>
        <v>0</v>
      </c>
      <c r="U6" s="8" t="e">
        <f t="shared" ref="U6:U80" ca="1" si="10">T6/T$5*100</f>
        <v>#DIV/0!</v>
      </c>
      <c r="V6" s="6">
        <f t="shared" ca="1" si="0"/>
        <v>54</v>
      </c>
      <c r="W6" s="4">
        <f t="shared" ref="W6:W80" ca="1" si="11">ROUND(V6/$V$5*100,0)</f>
        <v>35</v>
      </c>
      <c r="X6" s="4">
        <v>0</v>
      </c>
      <c r="Y6" s="4">
        <v>0</v>
      </c>
      <c r="Z6" s="4">
        <f t="shared" ca="1" si="1"/>
        <v>54</v>
      </c>
      <c r="AA6" s="10">
        <f t="shared" ref="AA6:AA80" ca="1" si="12">ROUND(Z6/$Z$5*100,0)</f>
        <v>35</v>
      </c>
    </row>
    <row r="7" spans="1:27" ht="17.25" customHeight="1" x14ac:dyDescent="0.35">
      <c r="A7" s="8">
        <v>2</v>
      </c>
      <c r="B7" s="9" t="s">
        <v>459</v>
      </c>
      <c r="C7" s="21" t="s">
        <v>460</v>
      </c>
      <c r="D7" s="5">
        <f ca="1">IFERROR(__xludf.DUMMYFUNCTION("IMPORTRANGE(""https://docs.google.com/spreadsheets/d/1rOGZhKHVnDGFqGTO7UNOJSkSJyQwVuEb2-yhWQit7lw/edit?gid=1294109558#gid=1294109558"", address(row($D5),column($D5),,,""DM&amp;GT-P""))"),0)</f>
        <v>0</v>
      </c>
      <c r="E7" s="8" t="e">
        <f t="shared" ca="1" si="2"/>
        <v>#DIV/0!</v>
      </c>
      <c r="F7" s="5">
        <f ca="1">IFERROR(__xludf.DUMMYFUNCTION("IMPORTRANGE(""https://docs.google.com/spreadsheets/d/1rOGZhKHVnDGFqGTO7UNOJSkSJyQwVuEb2-yhWQit7lw/edit?gid=1839445998#gid=1839445998"", address(row($D5),column($D5),,,""UHV-P""))"),15)</f>
        <v>15</v>
      </c>
      <c r="G7" s="8">
        <f t="shared" ca="1" si="3"/>
        <v>68.181818181818173</v>
      </c>
      <c r="H7" s="5">
        <f ca="1">IFERROR(__xludf.DUMMYFUNCTION("IMPORTRANGE(""https://docs.google.com/spreadsheets/d/1rOGZhKHVnDGFqGTO7UNOJSkSJyQwVuEb2-yhWQit7lw/edit?gid=1415582716#gid=1415582716"", address(row($D5),column($D5),,,""DL&amp;CO-P""))"),10)</f>
        <v>10</v>
      </c>
      <c r="I7" s="8">
        <f t="shared" ca="1" si="4"/>
        <v>52.631578947368418</v>
      </c>
      <c r="J7" s="5">
        <f ca="1">IFERROR(__xludf.DUMMYFUNCTION("IMPORTRANGE(""https://docs.google.com/spreadsheets/d/1rOGZhKHVnDGFqGTO7UNOJSkSJyQwVuEb2-yhWQit7lw/edit?gid=412846422#gid=412846422"", address(row($D5),column($D5),,,""ADSA-P""))"),24)</f>
        <v>24</v>
      </c>
      <c r="K7" s="8">
        <f t="shared" ca="1" si="5"/>
        <v>54.54545454545454</v>
      </c>
      <c r="L7" s="5">
        <f ca="1">IFERROR(__xludf.DUMMYFUNCTION("IMPORTRANGE(""https://docs.google.com/spreadsheets/d/1rOGZhKHVnDGFqGTO7UNOJSkSJyQwVuEb2-yhWQit7lw/edit?gid=1092082017#gid=1092082017"", address(row($D5),column($D5),,,""JAVA-P""))"),14)</f>
        <v>14</v>
      </c>
      <c r="M7" s="8">
        <f t="shared" ca="1" si="6"/>
        <v>87.5</v>
      </c>
      <c r="N7" s="5">
        <f ca="1">IFERROR(__xludf.DUMMYFUNCTION("IMPORTRANGE(""https://docs.google.com/spreadsheets/d/1rOGZhKHVnDGFqGTO7UNOJSkSJyQwVuEb2-yhWQit7lw/edit?gid=1379505903#gid=1379505903"", address(row($D5),column($D5),,,""FOSS LAB-P""))"),9)</f>
        <v>9</v>
      </c>
      <c r="O7" s="8">
        <f t="shared" ca="1" si="7"/>
        <v>75</v>
      </c>
      <c r="P7" s="5">
        <f ca="1">IFERROR(__xludf.DUMMYFUNCTION("IMPORTRANGE(""https://docs.google.com/spreadsheets/d/1rOGZhKHVnDGFqGTO7UNOJSkSJyQwVuEb2-yhWQit7lw/edit?gid=434615646#gid=434615646"", address(row($D5),column($D5),,,""PP-P""))"),20)</f>
        <v>20</v>
      </c>
      <c r="Q7" s="8">
        <f t="shared" ca="1" si="8"/>
        <v>71.428571428571431</v>
      </c>
      <c r="R7" s="5">
        <f ca="1">IFERROR(__xludf.DUMMYFUNCTION("IMPORTRANGE(""https://docs.google.com/spreadsheets/d/1rOGZhKHVnDGFqGTO7UNOJSkSJyQwVuEb2-yhWQit7lw/edit?gid=1663742830#gid=1663742830"", address(row($D5),column($D5),,,""NPTEL-P""))"),8)</f>
        <v>8</v>
      </c>
      <c r="S7" s="5">
        <f t="shared" ca="1" si="9"/>
        <v>66.666666666666657</v>
      </c>
      <c r="T7" s="6">
        <f ca="1">IFERROR(__xludf.DUMMYFUNCTION("IMPORTRANGE(""https://docs.google.com/spreadsheets/d/1rOGZhKHVnDGFqGTO7UNOJSkSJyQwVuEb2-yhWQit7lw/edit?gid=227426469#gid=227426469"", address(row($D5),column($D5),,,""CRT-P""))"),0)</f>
        <v>0</v>
      </c>
      <c r="U7" s="8" t="e">
        <f t="shared" ca="1" si="10"/>
        <v>#DIV/0!</v>
      </c>
      <c r="V7" s="6">
        <f t="shared" ca="1" si="0"/>
        <v>100</v>
      </c>
      <c r="W7" s="4">
        <f t="shared" ca="1" si="11"/>
        <v>65</v>
      </c>
      <c r="X7" s="4">
        <v>0</v>
      </c>
      <c r="Y7" s="4">
        <v>0</v>
      </c>
      <c r="Z7" s="4">
        <f t="shared" ca="1" si="1"/>
        <v>100</v>
      </c>
      <c r="AA7" s="10">
        <f t="shared" ca="1" si="12"/>
        <v>65</v>
      </c>
    </row>
    <row r="8" spans="1:27" ht="17.25" customHeight="1" x14ac:dyDescent="0.35">
      <c r="A8" s="8">
        <v>3</v>
      </c>
      <c r="B8" s="9" t="s">
        <v>461</v>
      </c>
      <c r="C8" s="21" t="s">
        <v>462</v>
      </c>
      <c r="D8" s="5">
        <f ca="1">IFERROR(__xludf.DUMMYFUNCTION("IMPORTRANGE(""https://docs.google.com/spreadsheets/d/1rOGZhKHVnDGFqGTO7UNOJSkSJyQwVuEb2-yhWQit7lw/edit?gid=1294109558#gid=1294109558"", address(row($D6),column($D6),,,""DM&amp;GT-P""))"),0)</f>
        <v>0</v>
      </c>
      <c r="E8" s="8" t="e">
        <f t="shared" ca="1" si="2"/>
        <v>#DIV/0!</v>
      </c>
      <c r="F8" s="5">
        <f ca="1">IFERROR(__xludf.DUMMYFUNCTION("IMPORTRANGE(""https://docs.google.com/spreadsheets/d/1rOGZhKHVnDGFqGTO7UNOJSkSJyQwVuEb2-yhWQit7lw/edit?gid=1839445998#gid=1839445998"", address(row($D6),column($D6),,,""UHV-P""))"),19)</f>
        <v>19</v>
      </c>
      <c r="G8" s="8">
        <f t="shared" ca="1" si="3"/>
        <v>86.36363636363636</v>
      </c>
      <c r="H8" s="5">
        <f ca="1">IFERROR(__xludf.DUMMYFUNCTION("IMPORTRANGE(""https://docs.google.com/spreadsheets/d/1rOGZhKHVnDGFqGTO7UNOJSkSJyQwVuEb2-yhWQit7lw/edit?gid=1415582716#gid=1415582716"", address(row($D6),column($D6),,,""DL&amp;CO-P""))"),16)</f>
        <v>16</v>
      </c>
      <c r="I8" s="8">
        <f t="shared" ca="1" si="4"/>
        <v>84.210526315789465</v>
      </c>
      <c r="J8" s="5">
        <f ca="1">IFERROR(__xludf.DUMMYFUNCTION("IMPORTRANGE(""https://docs.google.com/spreadsheets/d/1rOGZhKHVnDGFqGTO7UNOJSkSJyQwVuEb2-yhWQit7lw/edit?gid=412846422#gid=412846422"", address(row($D6),column($D6),,,""ADSA-P""))"),32)</f>
        <v>32</v>
      </c>
      <c r="K8" s="8">
        <f t="shared" ca="1" si="5"/>
        <v>72.727272727272734</v>
      </c>
      <c r="L8" s="5">
        <f ca="1">IFERROR(__xludf.DUMMYFUNCTION("IMPORTRANGE(""https://docs.google.com/spreadsheets/d/1rOGZhKHVnDGFqGTO7UNOJSkSJyQwVuEb2-yhWQit7lw/edit?gid=1092082017#gid=1092082017"", address(row($D6),column($D6),,,""JAVA-P""))"),14)</f>
        <v>14</v>
      </c>
      <c r="M8" s="8">
        <f t="shared" ca="1" si="6"/>
        <v>87.5</v>
      </c>
      <c r="N8" s="5">
        <f ca="1">IFERROR(__xludf.DUMMYFUNCTION("IMPORTRANGE(""https://docs.google.com/spreadsheets/d/1rOGZhKHVnDGFqGTO7UNOJSkSJyQwVuEb2-yhWQit7lw/edit?gid=1379505903#gid=1379505903"", address(row($D6),column($D6),,,""FOSS LAB-P""))"),12)</f>
        <v>12</v>
      </c>
      <c r="O8" s="8">
        <f t="shared" ca="1" si="7"/>
        <v>100</v>
      </c>
      <c r="P8" s="5">
        <f ca="1">IFERROR(__xludf.DUMMYFUNCTION("IMPORTRANGE(""https://docs.google.com/spreadsheets/d/1rOGZhKHVnDGFqGTO7UNOJSkSJyQwVuEb2-yhWQit7lw/edit?gid=434615646#gid=434615646"", address(row($D6),column($D6),,,""PP-P""))"),20)</f>
        <v>20</v>
      </c>
      <c r="Q8" s="8">
        <f t="shared" ca="1" si="8"/>
        <v>71.428571428571431</v>
      </c>
      <c r="R8" s="5">
        <f ca="1">IFERROR(__xludf.DUMMYFUNCTION("IMPORTRANGE(""https://docs.google.com/spreadsheets/d/1rOGZhKHVnDGFqGTO7UNOJSkSJyQwVuEb2-yhWQit7lw/edit?gid=1663742830#gid=1663742830"", address(row($D6),column($D6),,,""NPTEL-P""))"),6)</f>
        <v>6</v>
      </c>
      <c r="S8" s="5">
        <f t="shared" ca="1" si="9"/>
        <v>50</v>
      </c>
      <c r="T8" s="6">
        <f ca="1">IFERROR(__xludf.DUMMYFUNCTION("IMPORTRANGE(""https://docs.google.com/spreadsheets/d/1rOGZhKHVnDGFqGTO7UNOJSkSJyQwVuEb2-yhWQit7lw/edit?gid=227426469#gid=227426469"", address(row($D6),column($D6),,,""CRT-P""))"),0)</f>
        <v>0</v>
      </c>
      <c r="U8" s="8" t="e">
        <f t="shared" ca="1" si="10"/>
        <v>#DIV/0!</v>
      </c>
      <c r="V8" s="6">
        <f t="shared" ca="1" si="0"/>
        <v>119</v>
      </c>
      <c r="W8" s="4">
        <f t="shared" ca="1" si="11"/>
        <v>78</v>
      </c>
      <c r="X8" s="4">
        <v>0</v>
      </c>
      <c r="Y8" s="4">
        <v>0</v>
      </c>
      <c r="Z8" s="4">
        <f t="shared" ca="1" si="1"/>
        <v>119</v>
      </c>
      <c r="AA8" s="10">
        <f t="shared" ca="1" si="12"/>
        <v>78</v>
      </c>
    </row>
    <row r="9" spans="1:27" ht="17.25" customHeight="1" x14ac:dyDescent="0.35">
      <c r="A9" s="8">
        <v>4</v>
      </c>
      <c r="B9" s="9" t="s">
        <v>463</v>
      </c>
      <c r="C9" s="21" t="s">
        <v>464</v>
      </c>
      <c r="D9" s="5">
        <f ca="1">IFERROR(__xludf.DUMMYFUNCTION("IMPORTRANGE(""https://docs.google.com/spreadsheets/d/1rOGZhKHVnDGFqGTO7UNOJSkSJyQwVuEb2-yhWQit7lw/edit?gid=1294109558#gid=1294109558"", address(row($D7),column($D7),,,""DM&amp;GT-P""))"),0)</f>
        <v>0</v>
      </c>
      <c r="E9" s="8" t="e">
        <f t="shared" ca="1" si="2"/>
        <v>#DIV/0!</v>
      </c>
      <c r="F9" s="5">
        <f ca="1">IFERROR(__xludf.DUMMYFUNCTION("IMPORTRANGE(""https://docs.google.com/spreadsheets/d/1rOGZhKHVnDGFqGTO7UNOJSkSJyQwVuEb2-yhWQit7lw/edit?gid=1839445998#gid=1839445998"", address(row($D7),column($D7),,,""UHV-P""))"),18)</f>
        <v>18</v>
      </c>
      <c r="G9" s="8">
        <f t="shared" ca="1" si="3"/>
        <v>81.818181818181827</v>
      </c>
      <c r="H9" s="5">
        <f ca="1">IFERROR(__xludf.DUMMYFUNCTION("IMPORTRANGE(""https://docs.google.com/spreadsheets/d/1rOGZhKHVnDGFqGTO7UNOJSkSJyQwVuEb2-yhWQit7lw/edit?gid=1415582716#gid=1415582716"", address(row($D7),column($D7),,,""DL&amp;CO-P""))"),14)</f>
        <v>14</v>
      </c>
      <c r="I9" s="8">
        <f t="shared" ca="1" si="4"/>
        <v>73.68421052631578</v>
      </c>
      <c r="J9" s="5">
        <f ca="1">IFERROR(__xludf.DUMMYFUNCTION("IMPORTRANGE(""https://docs.google.com/spreadsheets/d/1rOGZhKHVnDGFqGTO7UNOJSkSJyQwVuEb2-yhWQit7lw/edit?gid=412846422#gid=412846422"", address(row($D7),column($D7),,,""ADSA-P""))"),34)</f>
        <v>34</v>
      </c>
      <c r="K9" s="8">
        <f t="shared" ca="1" si="5"/>
        <v>77.272727272727266</v>
      </c>
      <c r="L9" s="5">
        <f ca="1">IFERROR(__xludf.DUMMYFUNCTION("IMPORTRANGE(""https://docs.google.com/spreadsheets/d/1rOGZhKHVnDGFqGTO7UNOJSkSJyQwVuEb2-yhWQit7lw/edit?gid=1092082017#gid=1092082017"", address(row($D7),column($D7),,,""JAVA-P""))"),14)</f>
        <v>14</v>
      </c>
      <c r="M9" s="8">
        <f t="shared" ca="1" si="6"/>
        <v>87.5</v>
      </c>
      <c r="N9" s="5">
        <f ca="1">IFERROR(__xludf.DUMMYFUNCTION("IMPORTRANGE(""https://docs.google.com/spreadsheets/d/1rOGZhKHVnDGFqGTO7UNOJSkSJyQwVuEb2-yhWQit7lw/edit?gid=1379505903#gid=1379505903"", address(row($D7),column($D7),,,""FOSS LAB-P""))"),12)</f>
        <v>12</v>
      </c>
      <c r="O9" s="8">
        <f t="shared" ca="1" si="7"/>
        <v>100</v>
      </c>
      <c r="P9" s="5">
        <f ca="1">IFERROR(__xludf.DUMMYFUNCTION("IMPORTRANGE(""https://docs.google.com/spreadsheets/d/1rOGZhKHVnDGFqGTO7UNOJSkSJyQwVuEb2-yhWQit7lw/edit?gid=434615646#gid=434615646"", address(row($D7),column($D7),,,""PP-P""))"),20)</f>
        <v>20</v>
      </c>
      <c r="Q9" s="8">
        <f t="shared" ca="1" si="8"/>
        <v>71.428571428571431</v>
      </c>
      <c r="R9" s="5">
        <f ca="1">IFERROR(__xludf.DUMMYFUNCTION("IMPORTRANGE(""https://docs.google.com/spreadsheets/d/1rOGZhKHVnDGFqGTO7UNOJSkSJyQwVuEb2-yhWQit7lw/edit?gid=1663742830#gid=1663742830"", address(row($D7),column($D7),,,""NPTEL-P""))"),10)</f>
        <v>10</v>
      </c>
      <c r="S9" s="5">
        <f t="shared" ca="1" si="9"/>
        <v>83.333333333333343</v>
      </c>
      <c r="T9" s="6">
        <f ca="1">IFERROR(__xludf.DUMMYFUNCTION("IMPORTRANGE(""https://docs.google.com/spreadsheets/d/1rOGZhKHVnDGFqGTO7UNOJSkSJyQwVuEb2-yhWQit7lw/edit?gid=227426469#gid=227426469"", address(row($D7),column($D7),,,""CRT-P""))"),0)</f>
        <v>0</v>
      </c>
      <c r="U9" s="8" t="e">
        <f t="shared" ca="1" si="10"/>
        <v>#DIV/0!</v>
      </c>
      <c r="V9" s="6">
        <f t="shared" ca="1" si="0"/>
        <v>122</v>
      </c>
      <c r="W9" s="4">
        <f t="shared" ca="1" si="11"/>
        <v>80</v>
      </c>
      <c r="X9" s="4">
        <v>0</v>
      </c>
      <c r="Y9" s="4">
        <v>0</v>
      </c>
      <c r="Z9" s="4">
        <f t="shared" ca="1" si="1"/>
        <v>122</v>
      </c>
      <c r="AA9" s="10">
        <f t="shared" ca="1" si="12"/>
        <v>80</v>
      </c>
    </row>
    <row r="10" spans="1:27" ht="17.25" customHeight="1" x14ac:dyDescent="0.35">
      <c r="A10" s="8">
        <v>5</v>
      </c>
      <c r="B10" s="9" t="s">
        <v>465</v>
      </c>
      <c r="C10" s="21" t="s">
        <v>466</v>
      </c>
      <c r="D10" s="5">
        <f ca="1">IFERROR(__xludf.DUMMYFUNCTION("IMPORTRANGE(""https://docs.google.com/spreadsheets/d/1rOGZhKHVnDGFqGTO7UNOJSkSJyQwVuEb2-yhWQit7lw/edit?gid=1294109558#gid=1294109558"", address(row($D8),column($D8),,,""DM&amp;GT-P""))"),0)</f>
        <v>0</v>
      </c>
      <c r="E10" s="8" t="e">
        <f t="shared" ca="1" si="2"/>
        <v>#DIV/0!</v>
      </c>
      <c r="F10" s="5">
        <f ca="1">IFERROR(__xludf.DUMMYFUNCTION("IMPORTRANGE(""https://docs.google.com/spreadsheets/d/1rOGZhKHVnDGFqGTO7UNOJSkSJyQwVuEb2-yhWQit7lw/edit?gid=1839445998#gid=1839445998"", address(row($D8),column($D8),,,""UHV-P""))"),9)</f>
        <v>9</v>
      </c>
      <c r="G10" s="8">
        <f t="shared" ca="1" si="3"/>
        <v>40.909090909090914</v>
      </c>
      <c r="H10" s="5">
        <f ca="1">IFERROR(__xludf.DUMMYFUNCTION("IMPORTRANGE(""https://docs.google.com/spreadsheets/d/1rOGZhKHVnDGFqGTO7UNOJSkSJyQwVuEb2-yhWQit7lw/edit?gid=1415582716#gid=1415582716"", address(row($D8),column($D8),,,""DL&amp;CO-P""))"),8)</f>
        <v>8</v>
      </c>
      <c r="I10" s="8">
        <f t="shared" ca="1" si="4"/>
        <v>42.105263157894733</v>
      </c>
      <c r="J10" s="5">
        <f ca="1">IFERROR(__xludf.DUMMYFUNCTION("IMPORTRANGE(""https://docs.google.com/spreadsheets/d/1rOGZhKHVnDGFqGTO7UNOJSkSJyQwVuEb2-yhWQit7lw/edit?gid=412846422#gid=412846422"", address(row($D8),column($D8),,,""ADSA-P""))"),8)</f>
        <v>8</v>
      </c>
      <c r="K10" s="8">
        <f t="shared" ca="1" si="5"/>
        <v>18.181818181818183</v>
      </c>
      <c r="L10" s="5">
        <f ca="1">IFERROR(__xludf.DUMMYFUNCTION("IMPORTRANGE(""https://docs.google.com/spreadsheets/d/1rOGZhKHVnDGFqGTO7UNOJSkSJyQwVuEb2-yhWQit7lw/edit?gid=1092082017#gid=1092082017"", address(row($D8),column($D8),,,""JAVA-P""))"),4)</f>
        <v>4</v>
      </c>
      <c r="M10" s="8">
        <f t="shared" ca="1" si="6"/>
        <v>25</v>
      </c>
      <c r="N10" s="5">
        <f ca="1">IFERROR(__xludf.DUMMYFUNCTION("IMPORTRANGE(""https://docs.google.com/spreadsheets/d/1rOGZhKHVnDGFqGTO7UNOJSkSJyQwVuEb2-yhWQit7lw/edit?gid=1379505903#gid=1379505903"", address(row($D8),column($D8),,,""FOSS LAB-P""))"),6)</f>
        <v>6</v>
      </c>
      <c r="O10" s="8">
        <f t="shared" ca="1" si="7"/>
        <v>50</v>
      </c>
      <c r="P10" s="5">
        <f ca="1">IFERROR(__xludf.DUMMYFUNCTION("IMPORTRANGE(""https://docs.google.com/spreadsheets/d/1rOGZhKHVnDGFqGTO7UNOJSkSJyQwVuEb2-yhWQit7lw/edit?gid=434615646#gid=434615646"", address(row($D8),column($D8),,,""PP-P""))"),6)</f>
        <v>6</v>
      </c>
      <c r="Q10" s="8">
        <f t="shared" ca="1" si="8"/>
        <v>21.428571428571427</v>
      </c>
      <c r="R10" s="5">
        <f ca="1">IFERROR(__xludf.DUMMYFUNCTION("IMPORTRANGE(""https://docs.google.com/spreadsheets/d/1rOGZhKHVnDGFqGTO7UNOJSkSJyQwVuEb2-yhWQit7lw/edit?gid=1663742830#gid=1663742830"", address(row($D8),column($D8),,,""NPTEL-P""))"),2)</f>
        <v>2</v>
      </c>
      <c r="S10" s="5">
        <f t="shared" ca="1" si="9"/>
        <v>16.666666666666664</v>
      </c>
      <c r="T10" s="6">
        <f ca="1">IFERROR(__xludf.DUMMYFUNCTION("IMPORTRANGE(""https://docs.google.com/spreadsheets/d/1rOGZhKHVnDGFqGTO7UNOJSkSJyQwVuEb2-yhWQit7lw/edit?gid=227426469#gid=227426469"", address(row($D8),column($D8),,,""CRT-P""))"),0)</f>
        <v>0</v>
      </c>
      <c r="U10" s="8" t="e">
        <f t="shared" ca="1" si="10"/>
        <v>#DIV/0!</v>
      </c>
      <c r="V10" s="6">
        <f t="shared" ca="1" si="0"/>
        <v>43</v>
      </c>
      <c r="W10" s="4">
        <f t="shared" ca="1" si="11"/>
        <v>28</v>
      </c>
      <c r="X10" s="4">
        <v>0</v>
      </c>
      <c r="Y10" s="4">
        <v>0</v>
      </c>
      <c r="Z10" s="4">
        <f t="shared" ca="1" si="1"/>
        <v>43</v>
      </c>
      <c r="AA10" s="10">
        <f t="shared" ca="1" si="12"/>
        <v>28</v>
      </c>
    </row>
    <row r="11" spans="1:27" ht="17.25" customHeight="1" x14ac:dyDescent="0.35">
      <c r="A11" s="8">
        <v>6</v>
      </c>
      <c r="B11" s="9" t="s">
        <v>467</v>
      </c>
      <c r="C11" s="21" t="s">
        <v>468</v>
      </c>
      <c r="D11" s="5">
        <f ca="1">IFERROR(__xludf.DUMMYFUNCTION("IMPORTRANGE(""https://docs.google.com/spreadsheets/d/1rOGZhKHVnDGFqGTO7UNOJSkSJyQwVuEb2-yhWQit7lw/edit?gid=1294109558#gid=1294109558"", address(row($D9),column($D9),,,""DM&amp;GT-P""))"),0)</f>
        <v>0</v>
      </c>
      <c r="E11" s="8" t="e">
        <f t="shared" ca="1" si="2"/>
        <v>#DIV/0!</v>
      </c>
      <c r="F11" s="5">
        <f ca="1">IFERROR(__xludf.DUMMYFUNCTION("IMPORTRANGE(""https://docs.google.com/spreadsheets/d/1rOGZhKHVnDGFqGTO7UNOJSkSJyQwVuEb2-yhWQit7lw/edit?gid=1839445998#gid=1839445998"", address(row($D9),column($D9),,,""UHV-P""))"),17)</f>
        <v>17</v>
      </c>
      <c r="G11" s="8">
        <f t="shared" ca="1" si="3"/>
        <v>77.272727272727266</v>
      </c>
      <c r="H11" s="5">
        <f ca="1">IFERROR(__xludf.DUMMYFUNCTION("IMPORTRANGE(""https://docs.google.com/spreadsheets/d/1rOGZhKHVnDGFqGTO7UNOJSkSJyQwVuEb2-yhWQit7lw/edit?gid=1415582716#gid=1415582716"", address(row($D9),column($D9),,,""DL&amp;CO-P""))"),12)</f>
        <v>12</v>
      </c>
      <c r="I11" s="8">
        <f t="shared" ca="1" si="4"/>
        <v>63.157894736842103</v>
      </c>
      <c r="J11" s="5">
        <f ca="1">IFERROR(__xludf.DUMMYFUNCTION("IMPORTRANGE(""https://docs.google.com/spreadsheets/d/1rOGZhKHVnDGFqGTO7UNOJSkSJyQwVuEb2-yhWQit7lw/edit?gid=412846422#gid=412846422"", address(row($D9),column($D9),,,""ADSA-P""))"),28)</f>
        <v>28</v>
      </c>
      <c r="K11" s="8">
        <f t="shared" ca="1" si="5"/>
        <v>63.636363636363633</v>
      </c>
      <c r="L11" s="5">
        <f ca="1">IFERROR(__xludf.DUMMYFUNCTION("IMPORTRANGE(""https://docs.google.com/spreadsheets/d/1rOGZhKHVnDGFqGTO7UNOJSkSJyQwVuEb2-yhWQit7lw/edit?gid=1092082017#gid=1092082017"", address(row($D9),column($D9),,,""JAVA-P""))"),10)</f>
        <v>10</v>
      </c>
      <c r="M11" s="8">
        <f t="shared" ca="1" si="6"/>
        <v>62.5</v>
      </c>
      <c r="N11" s="5">
        <f ca="1">IFERROR(__xludf.DUMMYFUNCTION("IMPORTRANGE(""https://docs.google.com/spreadsheets/d/1rOGZhKHVnDGFqGTO7UNOJSkSJyQwVuEb2-yhWQit7lw/edit?gid=1379505903#gid=1379505903"", address(row($D9),column($D9),,,""FOSS LAB-P""))"),9)</f>
        <v>9</v>
      </c>
      <c r="O11" s="8">
        <f t="shared" ca="1" si="7"/>
        <v>75</v>
      </c>
      <c r="P11" s="5">
        <f ca="1">IFERROR(__xludf.DUMMYFUNCTION("IMPORTRANGE(""https://docs.google.com/spreadsheets/d/1rOGZhKHVnDGFqGTO7UNOJSkSJyQwVuEb2-yhWQit7lw/edit?gid=434615646#gid=434615646"", address(row($D9),column($D9),,,""PP-P""))"),16)</f>
        <v>16</v>
      </c>
      <c r="Q11" s="8">
        <f t="shared" ca="1" si="8"/>
        <v>57.142857142857139</v>
      </c>
      <c r="R11" s="5">
        <f ca="1">IFERROR(__xludf.DUMMYFUNCTION("IMPORTRANGE(""https://docs.google.com/spreadsheets/d/1rOGZhKHVnDGFqGTO7UNOJSkSJyQwVuEb2-yhWQit7lw/edit?gid=1663742830#gid=1663742830"", address(row($D9),column($D9),,,""NPTEL-P""))"),10)</f>
        <v>10</v>
      </c>
      <c r="S11" s="5">
        <f t="shared" ca="1" si="9"/>
        <v>83.333333333333343</v>
      </c>
      <c r="T11" s="6">
        <f ca="1">IFERROR(__xludf.DUMMYFUNCTION("IMPORTRANGE(""https://docs.google.com/spreadsheets/d/1rOGZhKHVnDGFqGTO7UNOJSkSJyQwVuEb2-yhWQit7lw/edit?gid=227426469#gid=227426469"", address(row($D9),column($D9),,,""CRT-P""))"),0)</f>
        <v>0</v>
      </c>
      <c r="U11" s="8" t="e">
        <f t="shared" ca="1" si="10"/>
        <v>#DIV/0!</v>
      </c>
      <c r="V11" s="6">
        <f t="shared" ca="1" si="0"/>
        <v>102</v>
      </c>
      <c r="W11" s="4">
        <f t="shared" ca="1" si="11"/>
        <v>67</v>
      </c>
      <c r="X11" s="4">
        <v>0</v>
      </c>
      <c r="Y11" s="4">
        <v>0</v>
      </c>
      <c r="Z11" s="4">
        <f t="shared" ca="1" si="1"/>
        <v>102</v>
      </c>
      <c r="AA11" s="10">
        <f t="shared" ca="1" si="12"/>
        <v>67</v>
      </c>
    </row>
    <row r="12" spans="1:27" ht="17.25" customHeight="1" x14ac:dyDescent="0.35">
      <c r="A12" s="8">
        <v>7</v>
      </c>
      <c r="B12" s="9" t="s">
        <v>469</v>
      </c>
      <c r="C12" s="21" t="s">
        <v>470</v>
      </c>
      <c r="D12" s="5">
        <f ca="1">IFERROR(__xludf.DUMMYFUNCTION("IMPORTRANGE(""https://docs.google.com/spreadsheets/d/1rOGZhKHVnDGFqGTO7UNOJSkSJyQwVuEb2-yhWQit7lw/edit?gid=1294109558#gid=1294109558"", address(row($D10),column($D10),,,""DM&amp;GT-P""))"),0)</f>
        <v>0</v>
      </c>
      <c r="E12" s="8" t="e">
        <f t="shared" ca="1" si="2"/>
        <v>#DIV/0!</v>
      </c>
      <c r="F12" s="5">
        <f ca="1">IFERROR(__xludf.DUMMYFUNCTION("IMPORTRANGE(""https://docs.google.com/spreadsheets/d/1rOGZhKHVnDGFqGTO7UNOJSkSJyQwVuEb2-yhWQit7lw/edit?gid=1839445998#gid=1839445998"", address(row($D10),column($D10),,,""UHV-P""))"),21)</f>
        <v>21</v>
      </c>
      <c r="G12" s="8">
        <f t="shared" ca="1" si="3"/>
        <v>95.454545454545453</v>
      </c>
      <c r="H12" s="5">
        <f ca="1">IFERROR(__xludf.DUMMYFUNCTION("IMPORTRANGE(""https://docs.google.com/spreadsheets/d/1rOGZhKHVnDGFqGTO7UNOJSkSJyQwVuEb2-yhWQit7lw/edit?gid=1415582716#gid=1415582716"", address(row($D10),column($D10),,,""DL&amp;CO-P""))"),17)</f>
        <v>17</v>
      </c>
      <c r="I12" s="8">
        <f t="shared" ca="1" si="4"/>
        <v>89.473684210526315</v>
      </c>
      <c r="J12" s="5">
        <f ca="1">IFERROR(__xludf.DUMMYFUNCTION("IMPORTRANGE(""https://docs.google.com/spreadsheets/d/1rOGZhKHVnDGFqGTO7UNOJSkSJyQwVuEb2-yhWQit7lw/edit?gid=412846422#gid=412846422"", address(row($D10),column($D10),,,""ADSA-P""))"),38)</f>
        <v>38</v>
      </c>
      <c r="K12" s="8">
        <f t="shared" ca="1" si="5"/>
        <v>86.36363636363636</v>
      </c>
      <c r="L12" s="5">
        <f ca="1">IFERROR(__xludf.DUMMYFUNCTION("IMPORTRANGE(""https://docs.google.com/spreadsheets/d/1rOGZhKHVnDGFqGTO7UNOJSkSJyQwVuEb2-yhWQit7lw/edit?gid=1092082017#gid=1092082017"", address(row($D10),column($D10),,,""JAVA-P""))"),16)</f>
        <v>16</v>
      </c>
      <c r="M12" s="8">
        <f t="shared" ca="1" si="6"/>
        <v>100</v>
      </c>
      <c r="N12" s="5">
        <f ca="1">IFERROR(__xludf.DUMMYFUNCTION("IMPORTRANGE(""https://docs.google.com/spreadsheets/d/1rOGZhKHVnDGFqGTO7UNOJSkSJyQwVuEb2-yhWQit7lw/edit?gid=1379505903#gid=1379505903"", address(row($D10),column($D10),,,""FOSS LAB-P""))"),9)</f>
        <v>9</v>
      </c>
      <c r="O12" s="8">
        <f t="shared" ca="1" si="7"/>
        <v>75</v>
      </c>
      <c r="P12" s="5">
        <f ca="1">IFERROR(__xludf.DUMMYFUNCTION("IMPORTRANGE(""https://docs.google.com/spreadsheets/d/1rOGZhKHVnDGFqGTO7UNOJSkSJyQwVuEb2-yhWQit7lw/edit?gid=434615646#gid=434615646"", address(row($D10),column($D10),,,""PP-P""))"),24)</f>
        <v>24</v>
      </c>
      <c r="Q12" s="8">
        <f t="shared" ca="1" si="8"/>
        <v>85.714285714285708</v>
      </c>
      <c r="R12" s="5">
        <f ca="1">IFERROR(__xludf.DUMMYFUNCTION("IMPORTRANGE(""https://docs.google.com/spreadsheets/d/1rOGZhKHVnDGFqGTO7UNOJSkSJyQwVuEb2-yhWQit7lw/edit?gid=1663742830#gid=1663742830"", address(row($D10),column($D10),,,""NPTEL-P""))"),10)</f>
        <v>10</v>
      </c>
      <c r="S12" s="5">
        <f t="shared" ca="1" si="9"/>
        <v>83.333333333333343</v>
      </c>
      <c r="T12" s="6">
        <f ca="1">IFERROR(__xludf.DUMMYFUNCTION("IMPORTRANGE(""https://docs.google.com/spreadsheets/d/1rOGZhKHVnDGFqGTO7UNOJSkSJyQwVuEb2-yhWQit7lw/edit?gid=227426469#gid=227426469"", address(row($D10),column($D10),,,""CRT-P""))"),0)</f>
        <v>0</v>
      </c>
      <c r="U12" s="8" t="e">
        <f t="shared" ca="1" si="10"/>
        <v>#DIV/0!</v>
      </c>
      <c r="V12" s="6">
        <f t="shared" ca="1" si="0"/>
        <v>135</v>
      </c>
      <c r="W12" s="4">
        <f t="shared" ca="1" si="11"/>
        <v>88</v>
      </c>
      <c r="X12" s="4">
        <v>0</v>
      </c>
      <c r="Y12" s="4">
        <v>0</v>
      </c>
      <c r="Z12" s="4">
        <f t="shared" ca="1" si="1"/>
        <v>135</v>
      </c>
      <c r="AA12" s="10">
        <f t="shared" ca="1" si="12"/>
        <v>88</v>
      </c>
    </row>
    <row r="13" spans="1:27" ht="17.25" customHeight="1" x14ac:dyDescent="0.35">
      <c r="A13" s="8">
        <v>8</v>
      </c>
      <c r="B13" s="9" t="s">
        <v>471</v>
      </c>
      <c r="C13" s="21" t="s">
        <v>472</v>
      </c>
      <c r="D13" s="5">
        <f ca="1">IFERROR(__xludf.DUMMYFUNCTION("IMPORTRANGE(""https://docs.google.com/spreadsheets/d/1rOGZhKHVnDGFqGTO7UNOJSkSJyQwVuEb2-yhWQit7lw/edit?gid=1294109558#gid=1294109558"", address(row($D11),column($D11),,,""DM&amp;GT-P""))"),0)</f>
        <v>0</v>
      </c>
      <c r="E13" s="8" t="e">
        <f t="shared" ca="1" si="2"/>
        <v>#DIV/0!</v>
      </c>
      <c r="F13" s="5">
        <f ca="1">IFERROR(__xludf.DUMMYFUNCTION("IMPORTRANGE(""https://docs.google.com/spreadsheets/d/1rOGZhKHVnDGFqGTO7UNOJSkSJyQwVuEb2-yhWQit7lw/edit?gid=1839445998#gid=1839445998"", address(row($D11),column($D11),,,""UHV-P""))"),19)</f>
        <v>19</v>
      </c>
      <c r="G13" s="8">
        <f t="shared" ca="1" si="3"/>
        <v>86.36363636363636</v>
      </c>
      <c r="H13" s="5">
        <f ca="1">IFERROR(__xludf.DUMMYFUNCTION("IMPORTRANGE(""https://docs.google.com/spreadsheets/d/1rOGZhKHVnDGFqGTO7UNOJSkSJyQwVuEb2-yhWQit7lw/edit?gid=1415582716#gid=1415582716"", address(row($D11),column($D11),,,""DL&amp;CO-P""))"),15)</f>
        <v>15</v>
      </c>
      <c r="I13" s="8">
        <f t="shared" ca="1" si="4"/>
        <v>78.94736842105263</v>
      </c>
      <c r="J13" s="5">
        <f ca="1">IFERROR(__xludf.DUMMYFUNCTION("IMPORTRANGE(""https://docs.google.com/spreadsheets/d/1rOGZhKHVnDGFqGTO7UNOJSkSJyQwVuEb2-yhWQit7lw/edit?gid=412846422#gid=412846422"", address(row($D11),column($D11),,,""ADSA-P""))"),38)</f>
        <v>38</v>
      </c>
      <c r="K13" s="8">
        <f t="shared" ca="1" si="5"/>
        <v>86.36363636363636</v>
      </c>
      <c r="L13" s="5">
        <f ca="1">IFERROR(__xludf.DUMMYFUNCTION("IMPORTRANGE(""https://docs.google.com/spreadsheets/d/1rOGZhKHVnDGFqGTO7UNOJSkSJyQwVuEb2-yhWQit7lw/edit?gid=1092082017#gid=1092082017"", address(row($D11),column($D11),,,""JAVA-P""))"),14)</f>
        <v>14</v>
      </c>
      <c r="M13" s="8">
        <f t="shared" ca="1" si="6"/>
        <v>87.5</v>
      </c>
      <c r="N13" s="5">
        <f ca="1">IFERROR(__xludf.DUMMYFUNCTION("IMPORTRANGE(""https://docs.google.com/spreadsheets/d/1rOGZhKHVnDGFqGTO7UNOJSkSJyQwVuEb2-yhWQit7lw/edit?gid=1379505903#gid=1379505903"", address(row($D11),column($D11),,,""FOSS LAB-P""))"),12)</f>
        <v>12</v>
      </c>
      <c r="O13" s="8">
        <f t="shared" ca="1" si="7"/>
        <v>100</v>
      </c>
      <c r="P13" s="5">
        <f ca="1">IFERROR(__xludf.DUMMYFUNCTION("IMPORTRANGE(""https://docs.google.com/spreadsheets/d/1rOGZhKHVnDGFqGTO7UNOJSkSJyQwVuEb2-yhWQit7lw/edit?gid=434615646#gid=434615646"", address(row($D11),column($D11),,,""PP-P""))"),22)</f>
        <v>22</v>
      </c>
      <c r="Q13" s="8">
        <f t="shared" ca="1" si="8"/>
        <v>78.571428571428569</v>
      </c>
      <c r="R13" s="5">
        <f ca="1">IFERROR(__xludf.DUMMYFUNCTION("IMPORTRANGE(""https://docs.google.com/spreadsheets/d/1rOGZhKHVnDGFqGTO7UNOJSkSJyQwVuEb2-yhWQit7lw/edit?gid=1663742830#gid=1663742830"", address(row($D11),column($D11),,,""NPTEL-P""))"),12)</f>
        <v>12</v>
      </c>
      <c r="S13" s="5">
        <f t="shared" ca="1" si="9"/>
        <v>100</v>
      </c>
      <c r="T13" s="6">
        <f ca="1">IFERROR(__xludf.DUMMYFUNCTION("IMPORTRANGE(""https://docs.google.com/spreadsheets/d/1rOGZhKHVnDGFqGTO7UNOJSkSJyQwVuEb2-yhWQit7lw/edit?gid=227426469#gid=227426469"", address(row($D11),column($D11),,,""CRT-P""))"),0)</f>
        <v>0</v>
      </c>
      <c r="U13" s="8" t="e">
        <f t="shared" ca="1" si="10"/>
        <v>#DIV/0!</v>
      </c>
      <c r="V13" s="6">
        <f t="shared" ca="1" si="0"/>
        <v>132</v>
      </c>
      <c r="W13" s="4">
        <f t="shared" ca="1" si="11"/>
        <v>86</v>
      </c>
      <c r="X13" s="4">
        <v>0</v>
      </c>
      <c r="Y13" s="4">
        <v>0</v>
      </c>
      <c r="Z13" s="4">
        <f t="shared" ca="1" si="1"/>
        <v>132</v>
      </c>
      <c r="AA13" s="10">
        <f t="shared" ca="1" si="12"/>
        <v>86</v>
      </c>
    </row>
    <row r="14" spans="1:27" ht="17.25" customHeight="1" x14ac:dyDescent="0.35">
      <c r="A14" s="8">
        <v>9</v>
      </c>
      <c r="B14" s="9" t="s">
        <v>473</v>
      </c>
      <c r="C14" s="21" t="s">
        <v>474</v>
      </c>
      <c r="D14" s="5">
        <f ca="1">IFERROR(__xludf.DUMMYFUNCTION("IMPORTRANGE(""https://docs.google.com/spreadsheets/d/1rOGZhKHVnDGFqGTO7UNOJSkSJyQwVuEb2-yhWQit7lw/edit?gid=1294109558#gid=1294109558"", address(row($D12),column($D12),,,""DM&amp;GT-P""))"),0)</f>
        <v>0</v>
      </c>
      <c r="E14" s="8" t="e">
        <f t="shared" ca="1" si="2"/>
        <v>#DIV/0!</v>
      </c>
      <c r="F14" s="5">
        <f ca="1">IFERROR(__xludf.DUMMYFUNCTION("IMPORTRANGE(""https://docs.google.com/spreadsheets/d/1rOGZhKHVnDGFqGTO7UNOJSkSJyQwVuEb2-yhWQit7lw/edit?gid=1839445998#gid=1839445998"", address(row($D12),column($D12),,,""UHV-P""))"),20)</f>
        <v>20</v>
      </c>
      <c r="G14" s="8">
        <f t="shared" ca="1" si="3"/>
        <v>90.909090909090907</v>
      </c>
      <c r="H14" s="5">
        <f ca="1">IFERROR(__xludf.DUMMYFUNCTION("IMPORTRANGE(""https://docs.google.com/spreadsheets/d/1rOGZhKHVnDGFqGTO7UNOJSkSJyQwVuEb2-yhWQit7lw/edit?gid=1415582716#gid=1415582716"", address(row($D12),column($D12),,,""DL&amp;CO-P""))"),18)</f>
        <v>18</v>
      </c>
      <c r="I14" s="8">
        <f t="shared" ca="1" si="4"/>
        <v>94.73684210526315</v>
      </c>
      <c r="J14" s="5">
        <f ca="1">IFERROR(__xludf.DUMMYFUNCTION("IMPORTRANGE(""https://docs.google.com/spreadsheets/d/1rOGZhKHVnDGFqGTO7UNOJSkSJyQwVuEb2-yhWQit7lw/edit?gid=412846422#gid=412846422"", address(row($D12),column($D12),,,""ADSA-P""))"),38)</f>
        <v>38</v>
      </c>
      <c r="K14" s="8">
        <f t="shared" ca="1" si="5"/>
        <v>86.36363636363636</v>
      </c>
      <c r="L14" s="5">
        <f ca="1">IFERROR(__xludf.DUMMYFUNCTION("IMPORTRANGE(""https://docs.google.com/spreadsheets/d/1rOGZhKHVnDGFqGTO7UNOJSkSJyQwVuEb2-yhWQit7lw/edit?gid=1092082017#gid=1092082017"", address(row($D12),column($D12),,,""JAVA-P""))"),16)</f>
        <v>16</v>
      </c>
      <c r="M14" s="8">
        <f t="shared" ca="1" si="6"/>
        <v>100</v>
      </c>
      <c r="N14" s="5">
        <f ca="1">IFERROR(__xludf.DUMMYFUNCTION("IMPORTRANGE(""https://docs.google.com/spreadsheets/d/1rOGZhKHVnDGFqGTO7UNOJSkSJyQwVuEb2-yhWQit7lw/edit?gid=1379505903#gid=1379505903"", address(row($D12),column($D12),,,""FOSS LAB-P""))"),12)</f>
        <v>12</v>
      </c>
      <c r="O14" s="8">
        <f t="shared" ca="1" si="7"/>
        <v>100</v>
      </c>
      <c r="P14" s="5">
        <f ca="1">IFERROR(__xludf.DUMMYFUNCTION("IMPORTRANGE(""https://docs.google.com/spreadsheets/d/1rOGZhKHVnDGFqGTO7UNOJSkSJyQwVuEb2-yhWQit7lw/edit?gid=434615646#gid=434615646"", address(row($D12),column($D12),,,""PP-P""))"),24)</f>
        <v>24</v>
      </c>
      <c r="Q14" s="8">
        <f t="shared" ca="1" si="8"/>
        <v>85.714285714285708</v>
      </c>
      <c r="R14" s="5">
        <f ca="1">IFERROR(__xludf.DUMMYFUNCTION("IMPORTRANGE(""https://docs.google.com/spreadsheets/d/1rOGZhKHVnDGFqGTO7UNOJSkSJyQwVuEb2-yhWQit7lw/edit?gid=1663742830#gid=1663742830"", address(row($D12),column($D12),,,""NPTEL-P""))"),12)</f>
        <v>12</v>
      </c>
      <c r="S14" s="5">
        <f t="shared" ca="1" si="9"/>
        <v>100</v>
      </c>
      <c r="T14" s="6">
        <f ca="1">IFERROR(__xludf.DUMMYFUNCTION("IMPORTRANGE(""https://docs.google.com/spreadsheets/d/1rOGZhKHVnDGFqGTO7UNOJSkSJyQwVuEb2-yhWQit7lw/edit?gid=227426469#gid=227426469"", address(row($D12),column($D12),,,""CRT-P""))"),0)</f>
        <v>0</v>
      </c>
      <c r="U14" s="8" t="e">
        <f t="shared" ca="1" si="10"/>
        <v>#DIV/0!</v>
      </c>
      <c r="V14" s="6">
        <f t="shared" ca="1" si="0"/>
        <v>140</v>
      </c>
      <c r="W14" s="4">
        <f t="shared" ca="1" si="11"/>
        <v>92</v>
      </c>
      <c r="X14" s="4">
        <v>0</v>
      </c>
      <c r="Y14" s="4">
        <v>0</v>
      </c>
      <c r="Z14" s="4">
        <f t="shared" ca="1" si="1"/>
        <v>140</v>
      </c>
      <c r="AA14" s="10">
        <f t="shared" ca="1" si="12"/>
        <v>92</v>
      </c>
    </row>
    <row r="15" spans="1:27" ht="17.25" customHeight="1" x14ac:dyDescent="0.35">
      <c r="A15" s="8">
        <v>10</v>
      </c>
      <c r="B15" s="9" t="s">
        <v>475</v>
      </c>
      <c r="C15" s="21" t="s">
        <v>476</v>
      </c>
      <c r="D15" s="5">
        <f ca="1">IFERROR(__xludf.DUMMYFUNCTION("IMPORTRANGE(""https://docs.google.com/spreadsheets/d/1rOGZhKHVnDGFqGTO7UNOJSkSJyQwVuEb2-yhWQit7lw/edit?gid=1294109558#gid=1294109558"", address(row($D13),column($D13),,,""DM&amp;GT-P""))"),0)</f>
        <v>0</v>
      </c>
      <c r="E15" s="8" t="e">
        <f t="shared" ca="1" si="2"/>
        <v>#DIV/0!</v>
      </c>
      <c r="F15" s="5">
        <f ca="1">IFERROR(__xludf.DUMMYFUNCTION("IMPORTRANGE(""https://docs.google.com/spreadsheets/d/1rOGZhKHVnDGFqGTO7UNOJSkSJyQwVuEb2-yhWQit7lw/edit?gid=1839445998#gid=1839445998"", address(row($D13),column($D13),,,""UHV-P""))"),12)</f>
        <v>12</v>
      </c>
      <c r="G15" s="8">
        <f t="shared" ca="1" si="3"/>
        <v>54.54545454545454</v>
      </c>
      <c r="H15" s="5">
        <f ca="1">IFERROR(__xludf.DUMMYFUNCTION("IMPORTRANGE(""https://docs.google.com/spreadsheets/d/1rOGZhKHVnDGFqGTO7UNOJSkSJyQwVuEb2-yhWQit7lw/edit?gid=1415582716#gid=1415582716"", address(row($D13),column($D13),,,""DL&amp;CO-P""))"),10)</f>
        <v>10</v>
      </c>
      <c r="I15" s="8">
        <f t="shared" ca="1" si="4"/>
        <v>52.631578947368418</v>
      </c>
      <c r="J15" s="5">
        <f ca="1">IFERROR(__xludf.DUMMYFUNCTION("IMPORTRANGE(""https://docs.google.com/spreadsheets/d/1rOGZhKHVnDGFqGTO7UNOJSkSJyQwVuEb2-yhWQit7lw/edit?gid=412846422#gid=412846422"", address(row($D13),column($D13),,,""ADSA-P""))"),20)</f>
        <v>20</v>
      </c>
      <c r="K15" s="8">
        <f t="shared" ca="1" si="5"/>
        <v>45.454545454545453</v>
      </c>
      <c r="L15" s="5">
        <f ca="1">IFERROR(__xludf.DUMMYFUNCTION("IMPORTRANGE(""https://docs.google.com/spreadsheets/d/1rOGZhKHVnDGFqGTO7UNOJSkSJyQwVuEb2-yhWQit7lw/edit?gid=1092082017#gid=1092082017"", address(row($D13),column($D13),,,""JAVA-P""))"),4)</f>
        <v>4</v>
      </c>
      <c r="M15" s="8">
        <f t="shared" ca="1" si="6"/>
        <v>25</v>
      </c>
      <c r="N15" s="5">
        <f ca="1">IFERROR(__xludf.DUMMYFUNCTION("IMPORTRANGE(""https://docs.google.com/spreadsheets/d/1rOGZhKHVnDGFqGTO7UNOJSkSJyQwVuEb2-yhWQit7lw/edit?gid=1379505903#gid=1379505903"", address(row($D13),column($D13),,,""FOSS LAB-P""))"),3)</f>
        <v>3</v>
      </c>
      <c r="O15" s="8">
        <f t="shared" ca="1" si="7"/>
        <v>25</v>
      </c>
      <c r="P15" s="5">
        <f ca="1">IFERROR(__xludf.DUMMYFUNCTION("IMPORTRANGE(""https://docs.google.com/spreadsheets/d/1rOGZhKHVnDGFqGTO7UNOJSkSJyQwVuEb2-yhWQit7lw/edit?gid=434615646#gid=434615646"", address(row($D13),column($D13),,,""PP-P""))"),14)</f>
        <v>14</v>
      </c>
      <c r="Q15" s="8">
        <f t="shared" ca="1" si="8"/>
        <v>50</v>
      </c>
      <c r="R15" s="5">
        <f ca="1">IFERROR(__xludf.DUMMYFUNCTION("IMPORTRANGE(""https://docs.google.com/spreadsheets/d/1rOGZhKHVnDGFqGTO7UNOJSkSJyQwVuEb2-yhWQit7lw/edit?gid=1663742830#gid=1663742830"", address(row($D13),column($D13),,,""NPTEL-P""))"),2)</f>
        <v>2</v>
      </c>
      <c r="S15" s="5">
        <f t="shared" ca="1" si="9"/>
        <v>16.666666666666664</v>
      </c>
      <c r="T15" s="6">
        <f ca="1">IFERROR(__xludf.DUMMYFUNCTION("IMPORTRANGE(""https://docs.google.com/spreadsheets/d/1rOGZhKHVnDGFqGTO7UNOJSkSJyQwVuEb2-yhWQit7lw/edit?gid=227426469#gid=227426469"", address(row($D13),column($D13),,,""CRT-P""))"),0)</f>
        <v>0</v>
      </c>
      <c r="U15" s="8" t="e">
        <f t="shared" ca="1" si="10"/>
        <v>#DIV/0!</v>
      </c>
      <c r="V15" s="6">
        <f t="shared" ca="1" si="0"/>
        <v>65</v>
      </c>
      <c r="W15" s="4">
        <f t="shared" ca="1" si="11"/>
        <v>42</v>
      </c>
      <c r="X15" s="4">
        <v>0</v>
      </c>
      <c r="Y15" s="4">
        <v>0</v>
      </c>
      <c r="Z15" s="4">
        <f t="shared" ca="1" si="1"/>
        <v>65</v>
      </c>
      <c r="AA15" s="10">
        <f t="shared" ca="1" si="12"/>
        <v>42</v>
      </c>
    </row>
    <row r="16" spans="1:27" ht="17.25" customHeight="1" x14ac:dyDescent="0.35">
      <c r="A16" s="8">
        <v>11</v>
      </c>
      <c r="B16" s="9" t="s">
        <v>477</v>
      </c>
      <c r="C16" s="21" t="s">
        <v>478</v>
      </c>
      <c r="D16" s="5">
        <f ca="1">IFERROR(__xludf.DUMMYFUNCTION("IMPORTRANGE(""https://docs.google.com/spreadsheets/d/1rOGZhKHVnDGFqGTO7UNOJSkSJyQwVuEb2-yhWQit7lw/edit?gid=1294109558#gid=1294109558"", address(row($D14),column($D14),,,""DM&amp;GT-P""))"),0)</f>
        <v>0</v>
      </c>
      <c r="E16" s="8" t="e">
        <f t="shared" ca="1" si="2"/>
        <v>#DIV/0!</v>
      </c>
      <c r="F16" s="5">
        <f ca="1">IFERROR(__xludf.DUMMYFUNCTION("IMPORTRANGE(""https://docs.google.com/spreadsheets/d/1rOGZhKHVnDGFqGTO7UNOJSkSJyQwVuEb2-yhWQit7lw/edit?gid=1839445998#gid=1839445998"", address(row($D14),column($D14),,,""UHV-P""))"),20)</f>
        <v>20</v>
      </c>
      <c r="G16" s="8">
        <f t="shared" ca="1" si="3"/>
        <v>90.909090909090907</v>
      </c>
      <c r="H16" s="5">
        <f ca="1">IFERROR(__xludf.DUMMYFUNCTION("IMPORTRANGE(""https://docs.google.com/spreadsheets/d/1rOGZhKHVnDGFqGTO7UNOJSkSJyQwVuEb2-yhWQit7lw/edit?gid=1415582716#gid=1415582716"", address(row($D14),column($D14),,,""DL&amp;CO-P""))"),19)</f>
        <v>19</v>
      </c>
      <c r="I16" s="8">
        <f t="shared" ca="1" si="4"/>
        <v>100</v>
      </c>
      <c r="J16" s="5">
        <f ca="1">IFERROR(__xludf.DUMMYFUNCTION("IMPORTRANGE(""https://docs.google.com/spreadsheets/d/1rOGZhKHVnDGFqGTO7UNOJSkSJyQwVuEb2-yhWQit7lw/edit?gid=412846422#gid=412846422"", address(row($D14),column($D14),,,""ADSA-P""))"),36)</f>
        <v>36</v>
      </c>
      <c r="K16" s="8">
        <f t="shared" ca="1" si="5"/>
        <v>81.818181818181827</v>
      </c>
      <c r="L16" s="5">
        <f ca="1">IFERROR(__xludf.DUMMYFUNCTION("IMPORTRANGE(""https://docs.google.com/spreadsheets/d/1rOGZhKHVnDGFqGTO7UNOJSkSJyQwVuEb2-yhWQit7lw/edit?gid=1092082017#gid=1092082017"", address(row($D14),column($D14),,,""JAVA-P""))"),14)</f>
        <v>14</v>
      </c>
      <c r="M16" s="8">
        <f t="shared" ca="1" si="6"/>
        <v>87.5</v>
      </c>
      <c r="N16" s="5">
        <f ca="1">IFERROR(__xludf.DUMMYFUNCTION("IMPORTRANGE(""https://docs.google.com/spreadsheets/d/1rOGZhKHVnDGFqGTO7UNOJSkSJyQwVuEb2-yhWQit7lw/edit?gid=1379505903#gid=1379505903"", address(row($D14),column($D14),,,""FOSS LAB-P""))"),12)</f>
        <v>12</v>
      </c>
      <c r="O16" s="8">
        <f t="shared" ca="1" si="7"/>
        <v>100</v>
      </c>
      <c r="P16" s="5">
        <f ca="1">IFERROR(__xludf.DUMMYFUNCTION("IMPORTRANGE(""https://docs.google.com/spreadsheets/d/1rOGZhKHVnDGFqGTO7UNOJSkSJyQwVuEb2-yhWQit7lw/edit?gid=434615646#gid=434615646"", address(row($D14),column($D14),,,""PP-P""))"),22)</f>
        <v>22</v>
      </c>
      <c r="Q16" s="8">
        <f t="shared" ca="1" si="8"/>
        <v>78.571428571428569</v>
      </c>
      <c r="R16" s="5">
        <f ca="1">IFERROR(__xludf.DUMMYFUNCTION("IMPORTRANGE(""https://docs.google.com/spreadsheets/d/1rOGZhKHVnDGFqGTO7UNOJSkSJyQwVuEb2-yhWQit7lw/edit?gid=1663742830#gid=1663742830"", address(row($D14),column($D14),,,""NPTEL-P""))"),10)</f>
        <v>10</v>
      </c>
      <c r="S16" s="5">
        <f t="shared" ca="1" si="9"/>
        <v>83.333333333333343</v>
      </c>
      <c r="T16" s="6">
        <f ca="1">IFERROR(__xludf.DUMMYFUNCTION("IMPORTRANGE(""https://docs.google.com/spreadsheets/d/1rOGZhKHVnDGFqGTO7UNOJSkSJyQwVuEb2-yhWQit7lw/edit?gid=227426469#gid=227426469"", address(row($D14),column($D14),,,""CRT-P""))"),0)</f>
        <v>0</v>
      </c>
      <c r="U16" s="8" t="e">
        <f t="shared" ca="1" si="10"/>
        <v>#DIV/0!</v>
      </c>
      <c r="V16" s="6">
        <f t="shared" ca="1" si="0"/>
        <v>133</v>
      </c>
      <c r="W16" s="4">
        <f t="shared" ca="1" si="11"/>
        <v>87</v>
      </c>
      <c r="X16" s="4">
        <v>0</v>
      </c>
      <c r="Y16" s="4">
        <v>0</v>
      </c>
      <c r="Z16" s="4">
        <f t="shared" ca="1" si="1"/>
        <v>133</v>
      </c>
      <c r="AA16" s="10">
        <f t="shared" ca="1" si="12"/>
        <v>87</v>
      </c>
    </row>
    <row r="17" spans="1:27" ht="17.25" customHeight="1" x14ac:dyDescent="0.35">
      <c r="A17" s="8">
        <v>12</v>
      </c>
      <c r="B17" s="9" t="s">
        <v>479</v>
      </c>
      <c r="C17" s="21" t="s">
        <v>480</v>
      </c>
      <c r="D17" s="5">
        <f ca="1">IFERROR(__xludf.DUMMYFUNCTION("IMPORTRANGE(""https://docs.google.com/spreadsheets/d/1rOGZhKHVnDGFqGTO7UNOJSkSJyQwVuEb2-yhWQit7lw/edit?gid=1294109558#gid=1294109558"", address(row($D15),column($D15),,,""DM&amp;GT-P""))"),0)</f>
        <v>0</v>
      </c>
      <c r="E17" s="8" t="e">
        <f t="shared" ca="1" si="2"/>
        <v>#DIV/0!</v>
      </c>
      <c r="F17" s="5">
        <f ca="1">IFERROR(__xludf.DUMMYFUNCTION("IMPORTRANGE(""https://docs.google.com/spreadsheets/d/1rOGZhKHVnDGFqGTO7UNOJSkSJyQwVuEb2-yhWQit7lw/edit?gid=1839445998#gid=1839445998"", address(row($D15),column($D15),,,""UHV-P""))"),18)</f>
        <v>18</v>
      </c>
      <c r="G17" s="8">
        <f t="shared" ca="1" si="3"/>
        <v>81.818181818181827</v>
      </c>
      <c r="H17" s="5">
        <f ca="1">IFERROR(__xludf.DUMMYFUNCTION("IMPORTRANGE(""https://docs.google.com/spreadsheets/d/1rOGZhKHVnDGFqGTO7UNOJSkSJyQwVuEb2-yhWQit7lw/edit?gid=1415582716#gid=1415582716"", address(row($D15),column($D15),,,""DL&amp;CO-P""))"),16)</f>
        <v>16</v>
      </c>
      <c r="I17" s="8">
        <f t="shared" ca="1" si="4"/>
        <v>84.210526315789465</v>
      </c>
      <c r="J17" s="5">
        <f ca="1">IFERROR(__xludf.DUMMYFUNCTION("IMPORTRANGE(""https://docs.google.com/spreadsheets/d/1rOGZhKHVnDGFqGTO7UNOJSkSJyQwVuEb2-yhWQit7lw/edit?gid=412846422#gid=412846422"", address(row($D15),column($D15),,,""ADSA-P""))"),32)</f>
        <v>32</v>
      </c>
      <c r="K17" s="8">
        <f t="shared" ca="1" si="5"/>
        <v>72.727272727272734</v>
      </c>
      <c r="L17" s="5">
        <f ca="1">IFERROR(__xludf.DUMMYFUNCTION("IMPORTRANGE(""https://docs.google.com/spreadsheets/d/1rOGZhKHVnDGFqGTO7UNOJSkSJyQwVuEb2-yhWQit7lw/edit?gid=1092082017#gid=1092082017"", address(row($D15),column($D15),,,""JAVA-P""))"),8)</f>
        <v>8</v>
      </c>
      <c r="M17" s="8">
        <f t="shared" ca="1" si="6"/>
        <v>50</v>
      </c>
      <c r="N17" s="5">
        <f ca="1">IFERROR(__xludf.DUMMYFUNCTION("IMPORTRANGE(""https://docs.google.com/spreadsheets/d/1rOGZhKHVnDGFqGTO7UNOJSkSJyQwVuEb2-yhWQit7lw/edit?gid=1379505903#gid=1379505903"", address(row($D15),column($D15),,,""FOSS LAB-P""))"),12)</f>
        <v>12</v>
      </c>
      <c r="O17" s="8">
        <f t="shared" ca="1" si="7"/>
        <v>100</v>
      </c>
      <c r="P17" s="5">
        <f ca="1">IFERROR(__xludf.DUMMYFUNCTION("IMPORTRANGE(""https://docs.google.com/spreadsheets/d/1rOGZhKHVnDGFqGTO7UNOJSkSJyQwVuEb2-yhWQit7lw/edit?gid=434615646#gid=434615646"", address(row($D15),column($D15),,,""PP-P""))"),20)</f>
        <v>20</v>
      </c>
      <c r="Q17" s="8">
        <f t="shared" ca="1" si="8"/>
        <v>71.428571428571431</v>
      </c>
      <c r="R17" s="5">
        <f ca="1">IFERROR(__xludf.DUMMYFUNCTION("IMPORTRANGE(""https://docs.google.com/spreadsheets/d/1rOGZhKHVnDGFqGTO7UNOJSkSJyQwVuEb2-yhWQit7lw/edit?gid=1663742830#gid=1663742830"", address(row($D15),column($D15),,,""NPTEL-P""))"),10)</f>
        <v>10</v>
      </c>
      <c r="S17" s="5">
        <f t="shared" ca="1" si="9"/>
        <v>83.333333333333343</v>
      </c>
      <c r="T17" s="6">
        <f ca="1">IFERROR(__xludf.DUMMYFUNCTION("IMPORTRANGE(""https://docs.google.com/spreadsheets/d/1rOGZhKHVnDGFqGTO7UNOJSkSJyQwVuEb2-yhWQit7lw/edit?gid=227426469#gid=227426469"", address(row($D15),column($D15),,,""CRT-P""))"),0)</f>
        <v>0</v>
      </c>
      <c r="U17" s="8" t="e">
        <f t="shared" ca="1" si="10"/>
        <v>#DIV/0!</v>
      </c>
      <c r="V17" s="6">
        <f t="shared" ca="1" si="0"/>
        <v>116</v>
      </c>
      <c r="W17" s="4">
        <f t="shared" ca="1" si="11"/>
        <v>76</v>
      </c>
      <c r="X17" s="4">
        <v>0</v>
      </c>
      <c r="Y17" s="4">
        <v>0</v>
      </c>
      <c r="Z17" s="4">
        <f t="shared" ca="1" si="1"/>
        <v>116</v>
      </c>
      <c r="AA17" s="10">
        <f t="shared" ca="1" si="12"/>
        <v>76</v>
      </c>
    </row>
    <row r="18" spans="1:27" ht="17.25" customHeight="1" x14ac:dyDescent="0.35">
      <c r="A18" s="8">
        <v>13</v>
      </c>
      <c r="B18" s="9" t="s">
        <v>481</v>
      </c>
      <c r="C18" s="21" t="s">
        <v>482</v>
      </c>
      <c r="D18" s="5">
        <f ca="1">IFERROR(__xludf.DUMMYFUNCTION("IMPORTRANGE(""https://docs.google.com/spreadsheets/d/1rOGZhKHVnDGFqGTO7UNOJSkSJyQwVuEb2-yhWQit7lw/edit?gid=1294109558#gid=1294109558"", address(row($D16),column($D16),,,""DM&amp;GT-P""))"),0)</f>
        <v>0</v>
      </c>
      <c r="E18" s="8" t="e">
        <f t="shared" ca="1" si="2"/>
        <v>#DIV/0!</v>
      </c>
      <c r="F18" s="5">
        <f ca="1">IFERROR(__xludf.DUMMYFUNCTION("IMPORTRANGE(""https://docs.google.com/spreadsheets/d/1rOGZhKHVnDGFqGTO7UNOJSkSJyQwVuEb2-yhWQit7lw/edit?gid=1839445998#gid=1839445998"", address(row($D16),column($D16),,,""UHV-P""))"),19)</f>
        <v>19</v>
      </c>
      <c r="G18" s="8">
        <f t="shared" ca="1" si="3"/>
        <v>86.36363636363636</v>
      </c>
      <c r="H18" s="5">
        <f ca="1">IFERROR(__xludf.DUMMYFUNCTION("IMPORTRANGE(""https://docs.google.com/spreadsheets/d/1rOGZhKHVnDGFqGTO7UNOJSkSJyQwVuEb2-yhWQit7lw/edit?gid=1415582716#gid=1415582716"", address(row($D16),column($D16),,,""DL&amp;CO-P""))"),17)</f>
        <v>17</v>
      </c>
      <c r="I18" s="8">
        <f t="shared" ca="1" si="4"/>
        <v>89.473684210526315</v>
      </c>
      <c r="J18" s="5">
        <f ca="1">IFERROR(__xludf.DUMMYFUNCTION("IMPORTRANGE(""https://docs.google.com/spreadsheets/d/1rOGZhKHVnDGFqGTO7UNOJSkSJyQwVuEb2-yhWQit7lw/edit?gid=412846422#gid=412846422"", address(row($D16),column($D16),,,""ADSA-P""))"),34)</f>
        <v>34</v>
      </c>
      <c r="K18" s="8">
        <f t="shared" ca="1" si="5"/>
        <v>77.272727272727266</v>
      </c>
      <c r="L18" s="5">
        <f ca="1">IFERROR(__xludf.DUMMYFUNCTION("IMPORTRANGE(""https://docs.google.com/spreadsheets/d/1rOGZhKHVnDGFqGTO7UNOJSkSJyQwVuEb2-yhWQit7lw/edit?gid=1092082017#gid=1092082017"", address(row($D16),column($D16),,,""JAVA-P""))"),14)</f>
        <v>14</v>
      </c>
      <c r="M18" s="8">
        <f t="shared" ca="1" si="6"/>
        <v>87.5</v>
      </c>
      <c r="N18" s="5">
        <f ca="1">IFERROR(__xludf.DUMMYFUNCTION("IMPORTRANGE(""https://docs.google.com/spreadsheets/d/1rOGZhKHVnDGFqGTO7UNOJSkSJyQwVuEb2-yhWQit7lw/edit?gid=1379505903#gid=1379505903"", address(row($D16),column($D16),,,""FOSS LAB-P""))"),9)</f>
        <v>9</v>
      </c>
      <c r="O18" s="8">
        <f t="shared" ca="1" si="7"/>
        <v>75</v>
      </c>
      <c r="P18" s="5">
        <f ca="1">IFERROR(__xludf.DUMMYFUNCTION("IMPORTRANGE(""https://docs.google.com/spreadsheets/d/1rOGZhKHVnDGFqGTO7UNOJSkSJyQwVuEb2-yhWQit7lw/edit?gid=434615646#gid=434615646"", address(row($D16),column($D16),,,""PP-P""))"),22)</f>
        <v>22</v>
      </c>
      <c r="Q18" s="8">
        <f t="shared" ca="1" si="8"/>
        <v>78.571428571428569</v>
      </c>
      <c r="R18" s="5">
        <f ca="1">IFERROR(__xludf.DUMMYFUNCTION("IMPORTRANGE(""https://docs.google.com/spreadsheets/d/1rOGZhKHVnDGFqGTO7UNOJSkSJyQwVuEb2-yhWQit7lw/edit?gid=1663742830#gid=1663742830"", address(row($D16),column($D16),,,""NPTEL-P""))"),8)</f>
        <v>8</v>
      </c>
      <c r="S18" s="5">
        <f t="shared" ca="1" si="9"/>
        <v>66.666666666666657</v>
      </c>
      <c r="T18" s="6">
        <f ca="1">IFERROR(__xludf.DUMMYFUNCTION("IMPORTRANGE(""https://docs.google.com/spreadsheets/d/1rOGZhKHVnDGFqGTO7UNOJSkSJyQwVuEb2-yhWQit7lw/edit?gid=227426469#gid=227426469"", address(row($D16),column($D16),,,""CRT-P""))"),0)</f>
        <v>0</v>
      </c>
      <c r="U18" s="8" t="e">
        <f t="shared" ca="1" si="10"/>
        <v>#DIV/0!</v>
      </c>
      <c r="V18" s="6">
        <f t="shared" ca="1" si="0"/>
        <v>123</v>
      </c>
      <c r="W18" s="4">
        <f t="shared" ca="1" si="11"/>
        <v>80</v>
      </c>
      <c r="X18" s="4">
        <v>0</v>
      </c>
      <c r="Y18" s="4">
        <v>0</v>
      </c>
      <c r="Z18" s="4">
        <f t="shared" ca="1" si="1"/>
        <v>123</v>
      </c>
      <c r="AA18" s="10">
        <f t="shared" ca="1" si="12"/>
        <v>80</v>
      </c>
    </row>
    <row r="19" spans="1:27" ht="17.25" customHeight="1" x14ac:dyDescent="0.35">
      <c r="A19" s="8">
        <v>14</v>
      </c>
      <c r="B19" s="9" t="s">
        <v>483</v>
      </c>
      <c r="C19" s="21" t="s">
        <v>484</v>
      </c>
      <c r="D19" s="5">
        <f ca="1">IFERROR(__xludf.DUMMYFUNCTION("IMPORTRANGE(""https://docs.google.com/spreadsheets/d/1rOGZhKHVnDGFqGTO7UNOJSkSJyQwVuEb2-yhWQit7lw/edit?gid=1294109558#gid=1294109558"", address(row($D17),column($D17),,,""DM&amp;GT-P""))"),0)</f>
        <v>0</v>
      </c>
      <c r="E19" s="8" t="e">
        <f t="shared" ca="1" si="2"/>
        <v>#DIV/0!</v>
      </c>
      <c r="F19" s="5">
        <f ca="1">IFERROR(__xludf.DUMMYFUNCTION("IMPORTRANGE(""https://docs.google.com/spreadsheets/d/1rOGZhKHVnDGFqGTO7UNOJSkSJyQwVuEb2-yhWQit7lw/edit?gid=1839445998#gid=1839445998"", address(row($D17),column($D17),,,""UHV-P""))"),1)</f>
        <v>1</v>
      </c>
      <c r="G19" s="8">
        <f t="shared" ca="1" si="3"/>
        <v>4.5454545454545459</v>
      </c>
      <c r="H19" s="5">
        <f ca="1">IFERROR(__xludf.DUMMYFUNCTION("IMPORTRANGE(""https://docs.google.com/spreadsheets/d/1rOGZhKHVnDGFqGTO7UNOJSkSJyQwVuEb2-yhWQit7lw/edit?gid=1415582716#gid=1415582716"", address(row($D17),column($D17),,,""DL&amp;CO-P""))"),10)</f>
        <v>10</v>
      </c>
      <c r="I19" s="8">
        <f t="shared" ca="1" si="4"/>
        <v>52.631578947368418</v>
      </c>
      <c r="J19" s="5">
        <f ca="1">IFERROR(__xludf.DUMMYFUNCTION("IMPORTRANGE(""https://docs.google.com/spreadsheets/d/1rOGZhKHVnDGFqGTO7UNOJSkSJyQwVuEb2-yhWQit7lw/edit?gid=412846422#gid=412846422"", address(row($D17),column($D17),,,""ADSA-P""))"),0)</f>
        <v>0</v>
      </c>
      <c r="K19" s="8">
        <f t="shared" ca="1" si="5"/>
        <v>0</v>
      </c>
      <c r="L19" s="5">
        <f ca="1">IFERROR(__xludf.DUMMYFUNCTION("IMPORTRANGE(""https://docs.google.com/spreadsheets/d/1rOGZhKHVnDGFqGTO7UNOJSkSJyQwVuEb2-yhWQit7lw/edit?gid=1092082017#gid=1092082017"", address(row($D17),column($D17),,,""JAVA-P""))"),0)</f>
        <v>0</v>
      </c>
      <c r="M19" s="8">
        <f t="shared" ca="1" si="6"/>
        <v>0</v>
      </c>
      <c r="N19" s="5">
        <f ca="1">IFERROR(__xludf.DUMMYFUNCTION("IMPORTRANGE(""https://docs.google.com/spreadsheets/d/1rOGZhKHVnDGFqGTO7UNOJSkSJyQwVuEb2-yhWQit7lw/edit?gid=1379505903#gid=1379505903"", address(row($D17),column($D17),,,""FOSS LAB-P""))"),0)</f>
        <v>0</v>
      </c>
      <c r="O19" s="8">
        <f t="shared" ca="1" si="7"/>
        <v>0</v>
      </c>
      <c r="P19" s="5">
        <f ca="1">IFERROR(__xludf.DUMMYFUNCTION("IMPORTRANGE(""https://docs.google.com/spreadsheets/d/1rOGZhKHVnDGFqGTO7UNOJSkSJyQwVuEb2-yhWQit7lw/edit?gid=434615646#gid=434615646"", address(row($D17),column($D17),,,""PP-P""))"),0)</f>
        <v>0</v>
      </c>
      <c r="Q19" s="8">
        <f t="shared" ca="1" si="8"/>
        <v>0</v>
      </c>
      <c r="R19" s="5">
        <f ca="1">IFERROR(__xludf.DUMMYFUNCTION("IMPORTRANGE(""https://docs.google.com/spreadsheets/d/1rOGZhKHVnDGFqGTO7UNOJSkSJyQwVuEb2-yhWQit7lw/edit?gid=1663742830#gid=1663742830"", address(row($D17),column($D17),,,""NPTEL-P""))"),0)</f>
        <v>0</v>
      </c>
      <c r="S19" s="5">
        <f t="shared" ca="1" si="9"/>
        <v>0</v>
      </c>
      <c r="T19" s="6">
        <f ca="1">IFERROR(__xludf.DUMMYFUNCTION("IMPORTRANGE(""https://docs.google.com/spreadsheets/d/1rOGZhKHVnDGFqGTO7UNOJSkSJyQwVuEb2-yhWQit7lw/edit?gid=227426469#gid=227426469"", address(row($D17),column($D17),,,""CRT-P""))"),0)</f>
        <v>0</v>
      </c>
      <c r="U19" s="8" t="e">
        <f t="shared" ca="1" si="10"/>
        <v>#DIV/0!</v>
      </c>
      <c r="V19" s="6">
        <f t="shared" ca="1" si="0"/>
        <v>11</v>
      </c>
      <c r="W19" s="4">
        <f t="shared" ca="1" si="11"/>
        <v>7</v>
      </c>
      <c r="X19" s="4">
        <v>0</v>
      </c>
      <c r="Y19" s="4">
        <v>0</v>
      </c>
      <c r="Z19" s="4">
        <f t="shared" ca="1" si="1"/>
        <v>11</v>
      </c>
      <c r="AA19" s="10">
        <f t="shared" ca="1" si="12"/>
        <v>7</v>
      </c>
    </row>
    <row r="20" spans="1:27" ht="17.25" customHeight="1" x14ac:dyDescent="0.35">
      <c r="A20" s="8">
        <v>15</v>
      </c>
      <c r="B20" s="9" t="s">
        <v>485</v>
      </c>
      <c r="C20" s="21" t="s">
        <v>486</v>
      </c>
      <c r="D20" s="5">
        <f ca="1">IFERROR(__xludf.DUMMYFUNCTION("IMPORTRANGE(""https://docs.google.com/spreadsheets/d/1rOGZhKHVnDGFqGTO7UNOJSkSJyQwVuEb2-yhWQit7lw/edit?gid=1294109558#gid=1294109558"", address(row($D18),column($D18),,,""DM&amp;GT-P""))"),0)</f>
        <v>0</v>
      </c>
      <c r="E20" s="8" t="e">
        <f t="shared" ca="1" si="2"/>
        <v>#DIV/0!</v>
      </c>
      <c r="F20" s="5">
        <f ca="1">IFERROR(__xludf.DUMMYFUNCTION("IMPORTRANGE(""https://docs.google.com/spreadsheets/d/1rOGZhKHVnDGFqGTO7UNOJSkSJyQwVuEb2-yhWQit7lw/edit?gid=1839445998#gid=1839445998"", address(row($D18),column($D18),,,""UHV-P""))"),21)</f>
        <v>21</v>
      </c>
      <c r="G20" s="8">
        <f t="shared" ca="1" si="3"/>
        <v>95.454545454545453</v>
      </c>
      <c r="H20" s="5">
        <f ca="1">IFERROR(__xludf.DUMMYFUNCTION("IMPORTRANGE(""https://docs.google.com/spreadsheets/d/1rOGZhKHVnDGFqGTO7UNOJSkSJyQwVuEb2-yhWQit7lw/edit?gid=1415582716#gid=1415582716"", address(row($D18),column($D18),,,""DL&amp;CO-P""))"),18)</f>
        <v>18</v>
      </c>
      <c r="I20" s="8">
        <f t="shared" ca="1" si="4"/>
        <v>94.73684210526315</v>
      </c>
      <c r="J20" s="5">
        <f ca="1">IFERROR(__xludf.DUMMYFUNCTION("IMPORTRANGE(""https://docs.google.com/spreadsheets/d/1rOGZhKHVnDGFqGTO7UNOJSkSJyQwVuEb2-yhWQit7lw/edit?gid=412846422#gid=412846422"", address(row($D18),column($D18),,,""ADSA-P""))"),34)</f>
        <v>34</v>
      </c>
      <c r="K20" s="8">
        <f t="shared" ca="1" si="5"/>
        <v>77.272727272727266</v>
      </c>
      <c r="L20" s="5">
        <f ca="1">IFERROR(__xludf.DUMMYFUNCTION("IMPORTRANGE(""https://docs.google.com/spreadsheets/d/1rOGZhKHVnDGFqGTO7UNOJSkSJyQwVuEb2-yhWQit7lw/edit?gid=1092082017#gid=1092082017"", address(row($D18),column($D18),,,""JAVA-P""))"),16)</f>
        <v>16</v>
      </c>
      <c r="M20" s="8">
        <f t="shared" ca="1" si="6"/>
        <v>100</v>
      </c>
      <c r="N20" s="5">
        <f ca="1">IFERROR(__xludf.DUMMYFUNCTION("IMPORTRANGE(""https://docs.google.com/spreadsheets/d/1rOGZhKHVnDGFqGTO7UNOJSkSJyQwVuEb2-yhWQit7lw/edit?gid=1379505903#gid=1379505903"", address(row($D18),column($D18),,,""FOSS LAB-P""))"),9)</f>
        <v>9</v>
      </c>
      <c r="O20" s="8">
        <f t="shared" ca="1" si="7"/>
        <v>75</v>
      </c>
      <c r="P20" s="5">
        <f ca="1">IFERROR(__xludf.DUMMYFUNCTION("IMPORTRANGE(""https://docs.google.com/spreadsheets/d/1rOGZhKHVnDGFqGTO7UNOJSkSJyQwVuEb2-yhWQit7lw/edit?gid=434615646#gid=434615646"", address(row($D18),column($D18),,,""PP-P""))"),24)</f>
        <v>24</v>
      </c>
      <c r="Q20" s="8">
        <f t="shared" ca="1" si="8"/>
        <v>85.714285714285708</v>
      </c>
      <c r="R20" s="5">
        <f ca="1">IFERROR(__xludf.DUMMYFUNCTION("IMPORTRANGE(""https://docs.google.com/spreadsheets/d/1rOGZhKHVnDGFqGTO7UNOJSkSJyQwVuEb2-yhWQit7lw/edit?gid=1663742830#gid=1663742830"", address(row($D18),column($D18),,,""NPTEL-P""))"),10)</f>
        <v>10</v>
      </c>
      <c r="S20" s="5">
        <f t="shared" ca="1" si="9"/>
        <v>83.333333333333343</v>
      </c>
      <c r="T20" s="6">
        <f ca="1">IFERROR(__xludf.DUMMYFUNCTION("IMPORTRANGE(""https://docs.google.com/spreadsheets/d/1rOGZhKHVnDGFqGTO7UNOJSkSJyQwVuEb2-yhWQit7lw/edit?gid=227426469#gid=227426469"", address(row($D18),column($D18),,,""CRT-P""))"),0)</f>
        <v>0</v>
      </c>
      <c r="U20" s="8" t="e">
        <f t="shared" ca="1" si="10"/>
        <v>#DIV/0!</v>
      </c>
      <c r="V20" s="6">
        <f t="shared" ca="1" si="0"/>
        <v>132</v>
      </c>
      <c r="W20" s="4">
        <f t="shared" ca="1" si="11"/>
        <v>86</v>
      </c>
      <c r="X20" s="4">
        <v>0</v>
      </c>
      <c r="Y20" s="4">
        <v>0</v>
      </c>
      <c r="Z20" s="4">
        <f t="shared" ca="1" si="1"/>
        <v>132</v>
      </c>
      <c r="AA20" s="10">
        <f t="shared" ca="1" si="12"/>
        <v>86</v>
      </c>
    </row>
    <row r="21" spans="1:27" ht="15.85" customHeight="1" x14ac:dyDescent="0.35">
      <c r="A21" s="8">
        <v>16</v>
      </c>
      <c r="B21" s="9" t="s">
        <v>487</v>
      </c>
      <c r="C21" s="21" t="s">
        <v>488</v>
      </c>
      <c r="D21" s="5">
        <f ca="1">IFERROR(__xludf.DUMMYFUNCTION("IMPORTRANGE(""https://docs.google.com/spreadsheets/d/1rOGZhKHVnDGFqGTO7UNOJSkSJyQwVuEb2-yhWQit7lw/edit?gid=1294109558#gid=1294109558"", address(row($D19),column($D19),,,""DM&amp;GT-P""))"),0)</f>
        <v>0</v>
      </c>
      <c r="E21" s="8" t="e">
        <f t="shared" ca="1" si="2"/>
        <v>#DIV/0!</v>
      </c>
      <c r="F21" s="5">
        <f ca="1">IFERROR(__xludf.DUMMYFUNCTION("IMPORTRANGE(""https://docs.google.com/spreadsheets/d/1rOGZhKHVnDGFqGTO7UNOJSkSJyQwVuEb2-yhWQit7lw/edit?gid=1839445998#gid=1839445998"", address(row($D19),column($D19),,,""UHV-P""))"),14)</f>
        <v>14</v>
      </c>
      <c r="G21" s="8">
        <f t="shared" ca="1" si="3"/>
        <v>63.636363636363633</v>
      </c>
      <c r="H21" s="5">
        <f ca="1">IFERROR(__xludf.DUMMYFUNCTION("IMPORTRANGE(""https://docs.google.com/spreadsheets/d/1rOGZhKHVnDGFqGTO7UNOJSkSJyQwVuEb2-yhWQit7lw/edit?gid=1415582716#gid=1415582716"", address(row($D19),column($D19),,,""DL&amp;CO-P""))"),11)</f>
        <v>11</v>
      </c>
      <c r="I21" s="8">
        <f t="shared" ca="1" si="4"/>
        <v>57.894736842105267</v>
      </c>
      <c r="J21" s="5">
        <f ca="1">IFERROR(__xludf.DUMMYFUNCTION("IMPORTRANGE(""https://docs.google.com/spreadsheets/d/1rOGZhKHVnDGFqGTO7UNOJSkSJyQwVuEb2-yhWQit7lw/edit?gid=412846422#gid=412846422"", address(row($D19),column($D19),,,""ADSA-P""))"),26)</f>
        <v>26</v>
      </c>
      <c r="K21" s="8">
        <f t="shared" ca="1" si="5"/>
        <v>59.090909090909093</v>
      </c>
      <c r="L21" s="5">
        <f ca="1">IFERROR(__xludf.DUMMYFUNCTION("IMPORTRANGE(""https://docs.google.com/spreadsheets/d/1rOGZhKHVnDGFqGTO7UNOJSkSJyQwVuEb2-yhWQit7lw/edit?gid=1092082017#gid=1092082017"", address(row($D19),column($D19),,,""JAVA-P""))"),8)</f>
        <v>8</v>
      </c>
      <c r="M21" s="8">
        <f t="shared" ca="1" si="6"/>
        <v>50</v>
      </c>
      <c r="N21" s="5">
        <f ca="1">IFERROR(__xludf.DUMMYFUNCTION("IMPORTRANGE(""https://docs.google.com/spreadsheets/d/1rOGZhKHVnDGFqGTO7UNOJSkSJyQwVuEb2-yhWQit7lw/edit?gid=1379505903#gid=1379505903"", address(row($D19),column($D19),,,""FOSS LAB-P""))"),6)</f>
        <v>6</v>
      </c>
      <c r="O21" s="8">
        <f t="shared" ca="1" si="7"/>
        <v>50</v>
      </c>
      <c r="P21" s="5">
        <f ca="1">IFERROR(__xludf.DUMMYFUNCTION("IMPORTRANGE(""https://docs.google.com/spreadsheets/d/1rOGZhKHVnDGFqGTO7UNOJSkSJyQwVuEb2-yhWQit7lw/edit?gid=434615646#gid=434615646"", address(row($D19),column($D19),,,""PP-P""))"),14)</f>
        <v>14</v>
      </c>
      <c r="Q21" s="8">
        <f t="shared" ca="1" si="8"/>
        <v>50</v>
      </c>
      <c r="R21" s="5">
        <f ca="1">IFERROR(__xludf.DUMMYFUNCTION("IMPORTRANGE(""https://docs.google.com/spreadsheets/d/1rOGZhKHVnDGFqGTO7UNOJSkSJyQwVuEb2-yhWQit7lw/edit?gid=1663742830#gid=1663742830"", address(row($D19),column($D19),,,""NPTEL-P""))"),8)</f>
        <v>8</v>
      </c>
      <c r="S21" s="5">
        <f t="shared" ca="1" si="9"/>
        <v>66.666666666666657</v>
      </c>
      <c r="T21" s="6">
        <f ca="1">IFERROR(__xludf.DUMMYFUNCTION("IMPORTRANGE(""https://docs.google.com/spreadsheets/d/1rOGZhKHVnDGFqGTO7UNOJSkSJyQwVuEb2-yhWQit7lw/edit?gid=227426469#gid=227426469"", address(row($D19),column($D19),,,""CRT-P""))"),0)</f>
        <v>0</v>
      </c>
      <c r="U21" s="8" t="e">
        <f t="shared" ca="1" si="10"/>
        <v>#DIV/0!</v>
      </c>
      <c r="V21" s="6">
        <f t="shared" ca="1" si="0"/>
        <v>87</v>
      </c>
      <c r="W21" s="4">
        <f t="shared" ca="1" si="11"/>
        <v>57</v>
      </c>
      <c r="X21" s="4">
        <v>0</v>
      </c>
      <c r="Y21" s="4">
        <v>0</v>
      </c>
      <c r="Z21" s="4">
        <f t="shared" ca="1" si="1"/>
        <v>87</v>
      </c>
      <c r="AA21" s="10">
        <f t="shared" ca="1" si="12"/>
        <v>57</v>
      </c>
    </row>
    <row r="22" spans="1:27" ht="15.85" customHeight="1" x14ac:dyDescent="0.35">
      <c r="A22" s="8">
        <v>17</v>
      </c>
      <c r="B22" s="9" t="s">
        <v>489</v>
      </c>
      <c r="C22" s="21" t="s">
        <v>490</v>
      </c>
      <c r="D22" s="5">
        <f ca="1">IFERROR(__xludf.DUMMYFUNCTION("IMPORTRANGE(""https://docs.google.com/spreadsheets/d/1rOGZhKHVnDGFqGTO7UNOJSkSJyQwVuEb2-yhWQit7lw/edit?gid=1294109558#gid=1294109558"", address(row($D20),column($D20),,,""DM&amp;GT-P""))"),0)</f>
        <v>0</v>
      </c>
      <c r="E22" s="8" t="e">
        <f t="shared" ca="1" si="2"/>
        <v>#DIV/0!</v>
      </c>
      <c r="F22" s="5">
        <f ca="1">IFERROR(__xludf.DUMMYFUNCTION("IMPORTRANGE(""https://docs.google.com/spreadsheets/d/1rOGZhKHVnDGFqGTO7UNOJSkSJyQwVuEb2-yhWQit7lw/edit?gid=1839445998#gid=1839445998"", address(row($D20),column($D20),,,""UHV-P""))"),1)</f>
        <v>1</v>
      </c>
      <c r="G22" s="8">
        <f t="shared" ca="1" si="3"/>
        <v>4.5454545454545459</v>
      </c>
      <c r="H22" s="5">
        <f ca="1">IFERROR(__xludf.DUMMYFUNCTION("IMPORTRANGE(""https://docs.google.com/spreadsheets/d/1rOGZhKHVnDGFqGTO7UNOJSkSJyQwVuEb2-yhWQit7lw/edit?gid=1415582716#gid=1415582716"", address(row($D20),column($D20),,,""DL&amp;CO-P""))"),6)</f>
        <v>6</v>
      </c>
      <c r="I22" s="8">
        <f t="shared" ca="1" si="4"/>
        <v>31.578947368421051</v>
      </c>
      <c r="J22" s="5">
        <f ca="1">IFERROR(__xludf.DUMMYFUNCTION("IMPORTRANGE(""https://docs.google.com/spreadsheets/d/1rOGZhKHVnDGFqGTO7UNOJSkSJyQwVuEb2-yhWQit7lw/edit?gid=412846422#gid=412846422"", address(row($D20),column($D20),,,""ADSA-P""))"),0)</f>
        <v>0</v>
      </c>
      <c r="K22" s="8">
        <f t="shared" ca="1" si="5"/>
        <v>0</v>
      </c>
      <c r="L22" s="5">
        <f ca="1">IFERROR(__xludf.DUMMYFUNCTION("IMPORTRANGE(""https://docs.google.com/spreadsheets/d/1rOGZhKHVnDGFqGTO7UNOJSkSJyQwVuEb2-yhWQit7lw/edit?gid=1092082017#gid=1092082017"", address(row($D20),column($D20),,,""JAVA-P""))"),0)</f>
        <v>0</v>
      </c>
      <c r="M22" s="8">
        <f t="shared" ca="1" si="6"/>
        <v>0</v>
      </c>
      <c r="N22" s="5">
        <f ca="1">IFERROR(__xludf.DUMMYFUNCTION("IMPORTRANGE(""https://docs.google.com/spreadsheets/d/1rOGZhKHVnDGFqGTO7UNOJSkSJyQwVuEb2-yhWQit7lw/edit?gid=1379505903#gid=1379505903"", address(row($D20),column($D20),,,""FOSS LAB-P""))"),0)</f>
        <v>0</v>
      </c>
      <c r="O22" s="8">
        <f t="shared" ca="1" si="7"/>
        <v>0</v>
      </c>
      <c r="P22" s="5">
        <f ca="1">IFERROR(__xludf.DUMMYFUNCTION("IMPORTRANGE(""https://docs.google.com/spreadsheets/d/1rOGZhKHVnDGFqGTO7UNOJSkSJyQwVuEb2-yhWQit7lw/edit?gid=434615646#gid=434615646"", address(row($D20),column($D20),,,""PP-P""))"),0)</f>
        <v>0</v>
      </c>
      <c r="Q22" s="8">
        <f t="shared" ca="1" si="8"/>
        <v>0</v>
      </c>
      <c r="R22" s="5">
        <f ca="1">IFERROR(__xludf.DUMMYFUNCTION("IMPORTRANGE(""https://docs.google.com/spreadsheets/d/1rOGZhKHVnDGFqGTO7UNOJSkSJyQwVuEb2-yhWQit7lw/edit?gid=1663742830#gid=1663742830"", address(row($D20),column($D20),,,""NPTEL-P""))"),0)</f>
        <v>0</v>
      </c>
      <c r="S22" s="5">
        <f t="shared" ca="1" si="9"/>
        <v>0</v>
      </c>
      <c r="T22" s="6">
        <f ca="1">IFERROR(__xludf.DUMMYFUNCTION("IMPORTRANGE(""https://docs.google.com/spreadsheets/d/1rOGZhKHVnDGFqGTO7UNOJSkSJyQwVuEb2-yhWQit7lw/edit?gid=227426469#gid=227426469"", address(row($D20),column($D20),,,""CRT-P""))"),0)</f>
        <v>0</v>
      </c>
      <c r="U22" s="8" t="e">
        <f t="shared" ca="1" si="10"/>
        <v>#DIV/0!</v>
      </c>
      <c r="V22" s="6">
        <f t="shared" ca="1" si="0"/>
        <v>7</v>
      </c>
      <c r="W22" s="4">
        <f t="shared" ca="1" si="11"/>
        <v>5</v>
      </c>
      <c r="X22" s="4">
        <v>0</v>
      </c>
      <c r="Y22" s="4">
        <v>0</v>
      </c>
      <c r="Z22" s="4">
        <f t="shared" ca="1" si="1"/>
        <v>7</v>
      </c>
      <c r="AA22" s="10">
        <f t="shared" ca="1" si="12"/>
        <v>5</v>
      </c>
    </row>
    <row r="23" spans="1:27" ht="15.85" customHeight="1" x14ac:dyDescent="0.35">
      <c r="A23" s="8">
        <v>18</v>
      </c>
      <c r="B23" s="9" t="s">
        <v>491</v>
      </c>
      <c r="C23" s="21" t="s">
        <v>492</v>
      </c>
      <c r="D23" s="5">
        <f ca="1">IFERROR(__xludf.DUMMYFUNCTION("IMPORTRANGE(""https://docs.google.com/spreadsheets/d/1rOGZhKHVnDGFqGTO7UNOJSkSJyQwVuEb2-yhWQit7lw/edit?gid=1294109558#gid=1294109558"", address(row($D21),column($D21),,,""DM&amp;GT-P""))"),0)</f>
        <v>0</v>
      </c>
      <c r="E23" s="8" t="e">
        <f t="shared" ca="1" si="2"/>
        <v>#DIV/0!</v>
      </c>
      <c r="F23" s="5">
        <f ca="1">IFERROR(__xludf.DUMMYFUNCTION("IMPORTRANGE(""https://docs.google.com/spreadsheets/d/1rOGZhKHVnDGFqGTO7UNOJSkSJyQwVuEb2-yhWQit7lw/edit?gid=1839445998#gid=1839445998"", address(row($D21),column($D21),,,""UHV-P""))"),20)</f>
        <v>20</v>
      </c>
      <c r="G23" s="8">
        <f t="shared" ca="1" si="3"/>
        <v>90.909090909090907</v>
      </c>
      <c r="H23" s="5">
        <f ca="1">IFERROR(__xludf.DUMMYFUNCTION("IMPORTRANGE(""https://docs.google.com/spreadsheets/d/1rOGZhKHVnDGFqGTO7UNOJSkSJyQwVuEb2-yhWQit7lw/edit?gid=1415582716#gid=1415582716"", address(row($D21),column($D21),,,""DL&amp;CO-P""))"),17)</f>
        <v>17</v>
      </c>
      <c r="I23" s="8">
        <f t="shared" ca="1" si="4"/>
        <v>89.473684210526315</v>
      </c>
      <c r="J23" s="5">
        <f ca="1">IFERROR(__xludf.DUMMYFUNCTION("IMPORTRANGE(""https://docs.google.com/spreadsheets/d/1rOGZhKHVnDGFqGTO7UNOJSkSJyQwVuEb2-yhWQit7lw/edit?gid=412846422#gid=412846422"", address(row($D21),column($D21),,,""ADSA-P""))"),32)</f>
        <v>32</v>
      </c>
      <c r="K23" s="8">
        <f t="shared" ca="1" si="5"/>
        <v>72.727272727272734</v>
      </c>
      <c r="L23" s="5">
        <f ca="1">IFERROR(__xludf.DUMMYFUNCTION("IMPORTRANGE(""https://docs.google.com/spreadsheets/d/1rOGZhKHVnDGFqGTO7UNOJSkSJyQwVuEb2-yhWQit7lw/edit?gid=1092082017#gid=1092082017"", address(row($D21),column($D21),,,""JAVA-P""))"),16)</f>
        <v>16</v>
      </c>
      <c r="M23" s="8">
        <f t="shared" ca="1" si="6"/>
        <v>100</v>
      </c>
      <c r="N23" s="5">
        <f ca="1">IFERROR(__xludf.DUMMYFUNCTION("IMPORTRANGE(""https://docs.google.com/spreadsheets/d/1rOGZhKHVnDGFqGTO7UNOJSkSJyQwVuEb2-yhWQit7lw/edit?gid=1379505903#gid=1379505903"", address(row($D21),column($D21),,,""FOSS LAB-P""))"),12)</f>
        <v>12</v>
      </c>
      <c r="O23" s="8">
        <f t="shared" ca="1" si="7"/>
        <v>100</v>
      </c>
      <c r="P23" s="5">
        <f ca="1">IFERROR(__xludf.DUMMYFUNCTION("IMPORTRANGE(""https://docs.google.com/spreadsheets/d/1rOGZhKHVnDGFqGTO7UNOJSkSJyQwVuEb2-yhWQit7lw/edit?gid=434615646#gid=434615646"", address(row($D21),column($D21),,,""PP-P""))"),20)</f>
        <v>20</v>
      </c>
      <c r="Q23" s="8">
        <f t="shared" ca="1" si="8"/>
        <v>71.428571428571431</v>
      </c>
      <c r="R23" s="5">
        <f ca="1">IFERROR(__xludf.DUMMYFUNCTION("IMPORTRANGE(""https://docs.google.com/spreadsheets/d/1rOGZhKHVnDGFqGTO7UNOJSkSJyQwVuEb2-yhWQit7lw/edit?gid=1663742830#gid=1663742830"", address(row($D21),column($D21),,,""NPTEL-P""))"),12)</f>
        <v>12</v>
      </c>
      <c r="S23" s="5">
        <f t="shared" ca="1" si="9"/>
        <v>100</v>
      </c>
      <c r="T23" s="6">
        <f ca="1">IFERROR(__xludf.DUMMYFUNCTION("IMPORTRANGE(""https://docs.google.com/spreadsheets/d/1rOGZhKHVnDGFqGTO7UNOJSkSJyQwVuEb2-yhWQit7lw/edit?gid=227426469#gid=227426469"", address(row($D21),column($D21),,,""CRT-P""))"),0)</f>
        <v>0</v>
      </c>
      <c r="U23" s="8" t="e">
        <f t="shared" ca="1" si="10"/>
        <v>#DIV/0!</v>
      </c>
      <c r="V23" s="6">
        <f t="shared" ca="1" si="0"/>
        <v>129</v>
      </c>
      <c r="W23" s="4">
        <f t="shared" ca="1" si="11"/>
        <v>84</v>
      </c>
      <c r="X23" s="4">
        <v>0</v>
      </c>
      <c r="Y23" s="4">
        <v>0</v>
      </c>
      <c r="Z23" s="4">
        <f t="shared" ca="1" si="1"/>
        <v>129</v>
      </c>
      <c r="AA23" s="10">
        <f t="shared" ca="1" si="12"/>
        <v>84</v>
      </c>
    </row>
    <row r="24" spans="1:27" ht="15.85" customHeight="1" x14ac:dyDescent="0.35">
      <c r="A24" s="8">
        <v>19</v>
      </c>
      <c r="B24" s="9" t="s">
        <v>493</v>
      </c>
      <c r="C24" s="21" t="s">
        <v>494</v>
      </c>
      <c r="D24" s="5">
        <f ca="1">IFERROR(__xludf.DUMMYFUNCTION("IMPORTRANGE(""https://docs.google.com/spreadsheets/d/1rOGZhKHVnDGFqGTO7UNOJSkSJyQwVuEb2-yhWQit7lw/edit?gid=1294109558#gid=1294109558"", address(row($D22),column($D22),,,""DM&amp;GT-P""))"),0)</f>
        <v>0</v>
      </c>
      <c r="E24" s="8" t="e">
        <f t="shared" ca="1" si="2"/>
        <v>#DIV/0!</v>
      </c>
      <c r="F24" s="5">
        <f ca="1">IFERROR(__xludf.DUMMYFUNCTION("IMPORTRANGE(""https://docs.google.com/spreadsheets/d/1rOGZhKHVnDGFqGTO7UNOJSkSJyQwVuEb2-yhWQit7lw/edit?gid=1839445998#gid=1839445998"", address(row($D22),column($D22),,,""UHV-P""))"),17)</f>
        <v>17</v>
      </c>
      <c r="G24" s="8">
        <f t="shared" ca="1" si="3"/>
        <v>77.272727272727266</v>
      </c>
      <c r="H24" s="5">
        <f ca="1">IFERROR(__xludf.DUMMYFUNCTION("IMPORTRANGE(""https://docs.google.com/spreadsheets/d/1rOGZhKHVnDGFqGTO7UNOJSkSJyQwVuEb2-yhWQit7lw/edit?gid=1415582716#gid=1415582716"", address(row($D22),column($D22),,,""DL&amp;CO-P""))"),15)</f>
        <v>15</v>
      </c>
      <c r="I24" s="8">
        <f t="shared" ca="1" si="4"/>
        <v>78.94736842105263</v>
      </c>
      <c r="J24" s="5">
        <f ca="1">IFERROR(__xludf.DUMMYFUNCTION("IMPORTRANGE(""https://docs.google.com/spreadsheets/d/1rOGZhKHVnDGFqGTO7UNOJSkSJyQwVuEb2-yhWQit7lw/edit?gid=412846422#gid=412846422"", address(row($D22),column($D22),,,""ADSA-P""))"),32)</f>
        <v>32</v>
      </c>
      <c r="K24" s="8">
        <f t="shared" ca="1" si="5"/>
        <v>72.727272727272734</v>
      </c>
      <c r="L24" s="5">
        <f ca="1">IFERROR(__xludf.DUMMYFUNCTION("IMPORTRANGE(""https://docs.google.com/spreadsheets/d/1rOGZhKHVnDGFqGTO7UNOJSkSJyQwVuEb2-yhWQit7lw/edit?gid=1092082017#gid=1092082017"", address(row($D22),column($D22),,,""JAVA-P""))"),16)</f>
        <v>16</v>
      </c>
      <c r="M24" s="8">
        <f t="shared" ca="1" si="6"/>
        <v>100</v>
      </c>
      <c r="N24" s="5">
        <f ca="1">IFERROR(__xludf.DUMMYFUNCTION("IMPORTRANGE(""https://docs.google.com/spreadsheets/d/1rOGZhKHVnDGFqGTO7UNOJSkSJyQwVuEb2-yhWQit7lw/edit?gid=1379505903#gid=1379505903"", address(row($D22),column($D22),,,""FOSS LAB-P""))"),6)</f>
        <v>6</v>
      </c>
      <c r="O24" s="8">
        <f t="shared" ca="1" si="7"/>
        <v>50</v>
      </c>
      <c r="P24" s="5">
        <f ca="1">IFERROR(__xludf.DUMMYFUNCTION("IMPORTRANGE(""https://docs.google.com/spreadsheets/d/1rOGZhKHVnDGFqGTO7UNOJSkSJyQwVuEb2-yhWQit7lw/edit?gid=434615646#gid=434615646"", address(row($D22),column($D22),,,""PP-P""))"),20)</f>
        <v>20</v>
      </c>
      <c r="Q24" s="8">
        <f t="shared" ca="1" si="8"/>
        <v>71.428571428571431</v>
      </c>
      <c r="R24" s="5">
        <f ca="1">IFERROR(__xludf.DUMMYFUNCTION("IMPORTRANGE(""https://docs.google.com/spreadsheets/d/1rOGZhKHVnDGFqGTO7UNOJSkSJyQwVuEb2-yhWQit7lw/edit?gid=1663742830#gid=1663742830"", address(row($D22),column($D22),,,""NPTEL-P""))"),8)</f>
        <v>8</v>
      </c>
      <c r="S24" s="5">
        <f t="shared" ca="1" si="9"/>
        <v>66.666666666666657</v>
      </c>
      <c r="T24" s="6">
        <f ca="1">IFERROR(__xludf.DUMMYFUNCTION("IMPORTRANGE(""https://docs.google.com/spreadsheets/d/1rOGZhKHVnDGFqGTO7UNOJSkSJyQwVuEb2-yhWQit7lw/edit?gid=227426469#gid=227426469"", address(row($D22),column($D22),,,""CRT-P""))"),0)</f>
        <v>0</v>
      </c>
      <c r="U24" s="8" t="e">
        <f t="shared" ca="1" si="10"/>
        <v>#DIV/0!</v>
      </c>
      <c r="V24" s="6">
        <f t="shared" ca="1" si="0"/>
        <v>114</v>
      </c>
      <c r="W24" s="4">
        <f t="shared" ca="1" si="11"/>
        <v>75</v>
      </c>
      <c r="X24" s="4">
        <v>0</v>
      </c>
      <c r="Y24" s="4">
        <v>0</v>
      </c>
      <c r="Z24" s="4">
        <f t="shared" ca="1" si="1"/>
        <v>114</v>
      </c>
      <c r="AA24" s="10">
        <f t="shared" ca="1" si="12"/>
        <v>75</v>
      </c>
    </row>
    <row r="25" spans="1:27" ht="15.85" customHeight="1" x14ac:dyDescent="0.35">
      <c r="A25" s="8">
        <v>20</v>
      </c>
      <c r="B25" s="9" t="s">
        <v>495</v>
      </c>
      <c r="C25" s="21" t="s">
        <v>496</v>
      </c>
      <c r="D25" s="5">
        <f ca="1">IFERROR(__xludf.DUMMYFUNCTION("IMPORTRANGE(""https://docs.google.com/spreadsheets/d/1rOGZhKHVnDGFqGTO7UNOJSkSJyQwVuEb2-yhWQit7lw/edit?gid=1294109558#gid=1294109558"", address(row($D23),column($D23),,,""DM&amp;GT-P""))"),0)</f>
        <v>0</v>
      </c>
      <c r="E25" s="8" t="e">
        <f t="shared" ca="1" si="2"/>
        <v>#DIV/0!</v>
      </c>
      <c r="F25" s="5">
        <f ca="1">IFERROR(__xludf.DUMMYFUNCTION("IMPORTRANGE(""https://docs.google.com/spreadsheets/d/1rOGZhKHVnDGFqGTO7UNOJSkSJyQwVuEb2-yhWQit7lw/edit?gid=1839445998#gid=1839445998"", address(row($D23),column($D23),,,""UHV-P""))"),20)</f>
        <v>20</v>
      </c>
      <c r="G25" s="8">
        <f t="shared" ca="1" si="3"/>
        <v>90.909090909090907</v>
      </c>
      <c r="H25" s="5">
        <f ca="1">IFERROR(__xludf.DUMMYFUNCTION("IMPORTRANGE(""https://docs.google.com/spreadsheets/d/1rOGZhKHVnDGFqGTO7UNOJSkSJyQwVuEb2-yhWQit7lw/edit?gid=1415582716#gid=1415582716"", address(row($D23),column($D23),,,""DL&amp;CO-P""))"),19)</f>
        <v>19</v>
      </c>
      <c r="I25" s="8">
        <f t="shared" ca="1" si="4"/>
        <v>100</v>
      </c>
      <c r="J25" s="5">
        <f ca="1">IFERROR(__xludf.DUMMYFUNCTION("IMPORTRANGE(""https://docs.google.com/spreadsheets/d/1rOGZhKHVnDGFqGTO7UNOJSkSJyQwVuEb2-yhWQit7lw/edit?gid=412846422#gid=412846422"", address(row($D23),column($D23),,,""ADSA-P""))"),38)</f>
        <v>38</v>
      </c>
      <c r="K25" s="8">
        <f t="shared" ca="1" si="5"/>
        <v>86.36363636363636</v>
      </c>
      <c r="L25" s="5">
        <f ca="1">IFERROR(__xludf.DUMMYFUNCTION("IMPORTRANGE(""https://docs.google.com/spreadsheets/d/1rOGZhKHVnDGFqGTO7UNOJSkSJyQwVuEb2-yhWQit7lw/edit?gid=1092082017#gid=1092082017"", address(row($D23),column($D23),,,""JAVA-P""))"),14)</f>
        <v>14</v>
      </c>
      <c r="M25" s="8">
        <f t="shared" ca="1" si="6"/>
        <v>87.5</v>
      </c>
      <c r="N25" s="5">
        <f ca="1">IFERROR(__xludf.DUMMYFUNCTION("IMPORTRANGE(""https://docs.google.com/spreadsheets/d/1rOGZhKHVnDGFqGTO7UNOJSkSJyQwVuEb2-yhWQit7lw/edit?gid=1379505903#gid=1379505903"", address(row($D23),column($D23),,,""FOSS LAB-P""))"),9)</f>
        <v>9</v>
      </c>
      <c r="O25" s="8">
        <f t="shared" ca="1" si="7"/>
        <v>75</v>
      </c>
      <c r="P25" s="5">
        <f ca="1">IFERROR(__xludf.DUMMYFUNCTION("IMPORTRANGE(""https://docs.google.com/spreadsheets/d/1rOGZhKHVnDGFqGTO7UNOJSkSJyQwVuEb2-yhWQit7lw/edit?gid=434615646#gid=434615646"", address(row($D23),column($D23),,,""PP-P""))"),22)</f>
        <v>22</v>
      </c>
      <c r="Q25" s="8">
        <f t="shared" ca="1" si="8"/>
        <v>78.571428571428569</v>
      </c>
      <c r="R25" s="5">
        <f ca="1">IFERROR(__xludf.DUMMYFUNCTION("IMPORTRANGE(""https://docs.google.com/spreadsheets/d/1rOGZhKHVnDGFqGTO7UNOJSkSJyQwVuEb2-yhWQit7lw/edit?gid=1663742830#gid=1663742830"", address(row($D23),column($D23),,,""NPTEL-P""))"),10)</f>
        <v>10</v>
      </c>
      <c r="S25" s="5">
        <f t="shared" ca="1" si="9"/>
        <v>83.333333333333343</v>
      </c>
      <c r="T25" s="6">
        <f ca="1">IFERROR(__xludf.DUMMYFUNCTION("IMPORTRANGE(""https://docs.google.com/spreadsheets/d/1rOGZhKHVnDGFqGTO7UNOJSkSJyQwVuEb2-yhWQit7lw/edit?gid=227426469#gid=227426469"", address(row($D23),column($D23),,,""CRT-P""))"),0)</f>
        <v>0</v>
      </c>
      <c r="U25" s="8" t="e">
        <f t="shared" ca="1" si="10"/>
        <v>#DIV/0!</v>
      </c>
      <c r="V25" s="6">
        <f t="shared" ca="1" si="0"/>
        <v>132</v>
      </c>
      <c r="W25" s="4">
        <f t="shared" ca="1" si="11"/>
        <v>86</v>
      </c>
      <c r="X25" s="4">
        <v>0</v>
      </c>
      <c r="Y25" s="4">
        <v>0</v>
      </c>
      <c r="Z25" s="4">
        <f t="shared" ca="1" si="1"/>
        <v>132</v>
      </c>
      <c r="AA25" s="10">
        <f t="shared" ca="1" si="12"/>
        <v>86</v>
      </c>
    </row>
    <row r="26" spans="1:27" ht="15.85" customHeight="1" x14ac:dyDescent="0.35">
      <c r="A26" s="8">
        <v>21</v>
      </c>
      <c r="B26" s="9" t="s">
        <v>497</v>
      </c>
      <c r="C26" s="21" t="s">
        <v>498</v>
      </c>
      <c r="D26" s="5">
        <f ca="1">IFERROR(__xludf.DUMMYFUNCTION("IMPORTRANGE(""https://docs.google.com/spreadsheets/d/1rOGZhKHVnDGFqGTO7UNOJSkSJyQwVuEb2-yhWQit7lw/edit?gid=1294109558#gid=1294109558"", address(row($D24),column($D24),,,""DM&amp;GT-P""))"),0)</f>
        <v>0</v>
      </c>
      <c r="E26" s="8" t="e">
        <f t="shared" ca="1" si="2"/>
        <v>#DIV/0!</v>
      </c>
      <c r="F26" s="5">
        <f ca="1">IFERROR(__xludf.DUMMYFUNCTION("IMPORTRANGE(""https://docs.google.com/spreadsheets/d/1rOGZhKHVnDGFqGTO7UNOJSkSJyQwVuEb2-yhWQit7lw/edit?gid=1839445998#gid=1839445998"", address(row($D24),column($D24),,,""UHV-P""))"),16)</f>
        <v>16</v>
      </c>
      <c r="G26" s="8">
        <f t="shared" ca="1" si="3"/>
        <v>72.727272727272734</v>
      </c>
      <c r="H26" s="5">
        <f ca="1">IFERROR(__xludf.DUMMYFUNCTION("IMPORTRANGE(""https://docs.google.com/spreadsheets/d/1rOGZhKHVnDGFqGTO7UNOJSkSJyQwVuEb2-yhWQit7lw/edit?gid=1415582716#gid=1415582716"", address(row($D24),column($D24),,,""DL&amp;CO-P""))"),13)</f>
        <v>13</v>
      </c>
      <c r="I26" s="8">
        <f t="shared" ca="1" si="4"/>
        <v>68.421052631578945</v>
      </c>
      <c r="J26" s="5">
        <f ca="1">IFERROR(__xludf.DUMMYFUNCTION("IMPORTRANGE(""https://docs.google.com/spreadsheets/d/1rOGZhKHVnDGFqGTO7UNOJSkSJyQwVuEb2-yhWQit7lw/edit?gid=412846422#gid=412846422"", address(row($D24),column($D24),,,""ADSA-P""))"),24)</f>
        <v>24</v>
      </c>
      <c r="K26" s="8">
        <f t="shared" ca="1" si="5"/>
        <v>54.54545454545454</v>
      </c>
      <c r="L26" s="5">
        <f ca="1">IFERROR(__xludf.DUMMYFUNCTION("IMPORTRANGE(""https://docs.google.com/spreadsheets/d/1rOGZhKHVnDGFqGTO7UNOJSkSJyQwVuEb2-yhWQit7lw/edit?gid=1092082017#gid=1092082017"", address(row($D24),column($D24),,,""JAVA-P""))"),16)</f>
        <v>16</v>
      </c>
      <c r="M26" s="8">
        <f t="shared" ca="1" si="6"/>
        <v>100</v>
      </c>
      <c r="N26" s="5">
        <f ca="1">IFERROR(__xludf.DUMMYFUNCTION("IMPORTRANGE(""https://docs.google.com/spreadsheets/d/1rOGZhKHVnDGFqGTO7UNOJSkSJyQwVuEb2-yhWQit7lw/edit?gid=1379505903#gid=1379505903"", address(row($D24),column($D24),,,""FOSS LAB-P""))"),9)</f>
        <v>9</v>
      </c>
      <c r="O26" s="8">
        <f t="shared" ca="1" si="7"/>
        <v>75</v>
      </c>
      <c r="P26" s="5">
        <f ca="1">IFERROR(__xludf.DUMMYFUNCTION("IMPORTRANGE(""https://docs.google.com/spreadsheets/d/1rOGZhKHVnDGFqGTO7UNOJSkSJyQwVuEb2-yhWQit7lw/edit?gid=434615646#gid=434615646"", address(row($D24),column($D24),,,""PP-P""))"),22)</f>
        <v>22</v>
      </c>
      <c r="Q26" s="8">
        <f t="shared" ca="1" si="8"/>
        <v>78.571428571428569</v>
      </c>
      <c r="R26" s="5">
        <f ca="1">IFERROR(__xludf.DUMMYFUNCTION("IMPORTRANGE(""https://docs.google.com/spreadsheets/d/1rOGZhKHVnDGFqGTO7UNOJSkSJyQwVuEb2-yhWQit7lw/edit?gid=1663742830#gid=1663742830"", address(row($D24),column($D24),,,""NPTEL-P""))"),8)</f>
        <v>8</v>
      </c>
      <c r="S26" s="5">
        <f t="shared" ca="1" si="9"/>
        <v>66.666666666666657</v>
      </c>
      <c r="T26" s="6">
        <f ca="1">IFERROR(__xludf.DUMMYFUNCTION("IMPORTRANGE(""https://docs.google.com/spreadsheets/d/1rOGZhKHVnDGFqGTO7UNOJSkSJyQwVuEb2-yhWQit7lw/edit?gid=227426469#gid=227426469"", address(row($D24),column($D24),,,""CRT-P""))"),0)</f>
        <v>0</v>
      </c>
      <c r="U26" s="8" t="e">
        <f t="shared" ca="1" si="10"/>
        <v>#DIV/0!</v>
      </c>
      <c r="V26" s="6">
        <f t="shared" ca="1" si="0"/>
        <v>108</v>
      </c>
      <c r="W26" s="4">
        <f t="shared" ca="1" si="11"/>
        <v>71</v>
      </c>
      <c r="X26" s="4">
        <v>0</v>
      </c>
      <c r="Y26" s="4">
        <v>0</v>
      </c>
      <c r="Z26" s="4">
        <f t="shared" ca="1" si="1"/>
        <v>108</v>
      </c>
      <c r="AA26" s="10">
        <f t="shared" ca="1" si="12"/>
        <v>71</v>
      </c>
    </row>
    <row r="27" spans="1:27" ht="15.85" customHeight="1" x14ac:dyDescent="0.35">
      <c r="A27" s="8">
        <v>22</v>
      </c>
      <c r="B27" s="9" t="s">
        <v>499</v>
      </c>
      <c r="C27" s="21" t="s">
        <v>500</v>
      </c>
      <c r="D27" s="5">
        <f ca="1">IFERROR(__xludf.DUMMYFUNCTION("IMPORTRANGE(""https://docs.google.com/spreadsheets/d/1rOGZhKHVnDGFqGTO7UNOJSkSJyQwVuEb2-yhWQit7lw/edit?gid=1294109558#gid=1294109558"", address(row($D25),column($D25),,,""DM&amp;GT-P""))"),0)</f>
        <v>0</v>
      </c>
      <c r="E27" s="8" t="e">
        <f t="shared" ca="1" si="2"/>
        <v>#DIV/0!</v>
      </c>
      <c r="F27" s="5">
        <f ca="1">IFERROR(__xludf.DUMMYFUNCTION("IMPORTRANGE(""https://docs.google.com/spreadsheets/d/1rOGZhKHVnDGFqGTO7UNOJSkSJyQwVuEb2-yhWQit7lw/edit?gid=1839445998#gid=1839445998"", address(row($D25),column($D25),,,""UHV-P""))"),21)</f>
        <v>21</v>
      </c>
      <c r="G27" s="8">
        <f t="shared" ca="1" si="3"/>
        <v>95.454545454545453</v>
      </c>
      <c r="H27" s="5">
        <f ca="1">IFERROR(__xludf.DUMMYFUNCTION("IMPORTRANGE(""https://docs.google.com/spreadsheets/d/1rOGZhKHVnDGFqGTO7UNOJSkSJyQwVuEb2-yhWQit7lw/edit?gid=1415582716#gid=1415582716"", address(row($D25),column($D25),,,""DL&amp;CO-P""))"),18)</f>
        <v>18</v>
      </c>
      <c r="I27" s="8">
        <f t="shared" ca="1" si="4"/>
        <v>94.73684210526315</v>
      </c>
      <c r="J27" s="5">
        <f ca="1">IFERROR(__xludf.DUMMYFUNCTION("IMPORTRANGE(""https://docs.google.com/spreadsheets/d/1rOGZhKHVnDGFqGTO7UNOJSkSJyQwVuEb2-yhWQit7lw/edit?gid=412846422#gid=412846422"", address(row($D25),column($D25),,,""ADSA-P""))"),36)</f>
        <v>36</v>
      </c>
      <c r="K27" s="8">
        <f t="shared" ca="1" si="5"/>
        <v>81.818181818181827</v>
      </c>
      <c r="L27" s="5">
        <f ca="1">IFERROR(__xludf.DUMMYFUNCTION("IMPORTRANGE(""https://docs.google.com/spreadsheets/d/1rOGZhKHVnDGFqGTO7UNOJSkSJyQwVuEb2-yhWQit7lw/edit?gid=1092082017#gid=1092082017"", address(row($D25),column($D25),,,""JAVA-P""))"),16)</f>
        <v>16</v>
      </c>
      <c r="M27" s="8">
        <f t="shared" ca="1" si="6"/>
        <v>100</v>
      </c>
      <c r="N27" s="5">
        <f ca="1">IFERROR(__xludf.DUMMYFUNCTION("IMPORTRANGE(""https://docs.google.com/spreadsheets/d/1rOGZhKHVnDGFqGTO7UNOJSkSJyQwVuEb2-yhWQit7lw/edit?gid=1379505903#gid=1379505903"", address(row($D25),column($D25),,,""FOSS LAB-P""))"),12)</f>
        <v>12</v>
      </c>
      <c r="O27" s="8">
        <f t="shared" ca="1" si="7"/>
        <v>100</v>
      </c>
      <c r="P27" s="5">
        <f ca="1">IFERROR(__xludf.DUMMYFUNCTION("IMPORTRANGE(""https://docs.google.com/spreadsheets/d/1rOGZhKHVnDGFqGTO7UNOJSkSJyQwVuEb2-yhWQit7lw/edit?gid=434615646#gid=434615646"", address(row($D25),column($D25),,,""PP-P""))"),22)</f>
        <v>22</v>
      </c>
      <c r="Q27" s="8">
        <f t="shared" ca="1" si="8"/>
        <v>78.571428571428569</v>
      </c>
      <c r="R27" s="5">
        <f ca="1">IFERROR(__xludf.DUMMYFUNCTION("IMPORTRANGE(""https://docs.google.com/spreadsheets/d/1rOGZhKHVnDGFqGTO7UNOJSkSJyQwVuEb2-yhWQit7lw/edit?gid=1663742830#gid=1663742830"", address(row($D25),column($D25),,,""NPTEL-P""))"),12)</f>
        <v>12</v>
      </c>
      <c r="S27" s="5">
        <f t="shared" ca="1" si="9"/>
        <v>100</v>
      </c>
      <c r="T27" s="6">
        <f ca="1">IFERROR(__xludf.DUMMYFUNCTION("IMPORTRANGE(""https://docs.google.com/spreadsheets/d/1rOGZhKHVnDGFqGTO7UNOJSkSJyQwVuEb2-yhWQit7lw/edit?gid=227426469#gid=227426469"", address(row($D25),column($D25),,,""CRT-P""))"),0)</f>
        <v>0</v>
      </c>
      <c r="U27" s="8" t="e">
        <f t="shared" ca="1" si="10"/>
        <v>#DIV/0!</v>
      </c>
      <c r="V27" s="6">
        <f t="shared" ca="1" si="0"/>
        <v>137</v>
      </c>
      <c r="W27" s="4">
        <f t="shared" ca="1" si="11"/>
        <v>90</v>
      </c>
      <c r="X27" s="4">
        <v>0</v>
      </c>
      <c r="Y27" s="4">
        <v>0</v>
      </c>
      <c r="Z27" s="4">
        <f t="shared" ca="1" si="1"/>
        <v>137</v>
      </c>
      <c r="AA27" s="10">
        <f t="shared" ca="1" si="12"/>
        <v>90</v>
      </c>
    </row>
    <row r="28" spans="1:27" ht="15.85" customHeight="1" x14ac:dyDescent="0.35">
      <c r="A28" s="8">
        <v>23</v>
      </c>
      <c r="B28" s="9" t="s">
        <v>501</v>
      </c>
      <c r="C28" s="21" t="s">
        <v>502</v>
      </c>
      <c r="D28" s="5">
        <f ca="1">IFERROR(__xludf.DUMMYFUNCTION("IMPORTRANGE(""https://docs.google.com/spreadsheets/d/1rOGZhKHVnDGFqGTO7UNOJSkSJyQwVuEb2-yhWQit7lw/edit?gid=1294109558#gid=1294109558"", address(row($D26),column($D26),,,""DM&amp;GT-P""))"),0)</f>
        <v>0</v>
      </c>
      <c r="E28" s="8" t="e">
        <f t="shared" ca="1" si="2"/>
        <v>#DIV/0!</v>
      </c>
      <c r="F28" s="5">
        <f ca="1">IFERROR(__xludf.DUMMYFUNCTION("IMPORTRANGE(""https://docs.google.com/spreadsheets/d/1rOGZhKHVnDGFqGTO7UNOJSkSJyQwVuEb2-yhWQit7lw/edit?gid=1839445998#gid=1839445998"", address(row($D26),column($D26),,,""UHV-P""))"),17)</f>
        <v>17</v>
      </c>
      <c r="G28" s="8">
        <f t="shared" ca="1" si="3"/>
        <v>77.272727272727266</v>
      </c>
      <c r="H28" s="5">
        <f ca="1">IFERROR(__xludf.DUMMYFUNCTION("IMPORTRANGE(""https://docs.google.com/spreadsheets/d/1rOGZhKHVnDGFqGTO7UNOJSkSJyQwVuEb2-yhWQit7lw/edit?gid=1415582716#gid=1415582716"", address(row($D26),column($D26),,,""DL&amp;CO-P""))"),17)</f>
        <v>17</v>
      </c>
      <c r="I28" s="8">
        <f t="shared" ca="1" si="4"/>
        <v>89.473684210526315</v>
      </c>
      <c r="J28" s="5">
        <f ca="1">IFERROR(__xludf.DUMMYFUNCTION("IMPORTRANGE(""https://docs.google.com/spreadsheets/d/1rOGZhKHVnDGFqGTO7UNOJSkSJyQwVuEb2-yhWQit7lw/edit?gid=412846422#gid=412846422"", address(row($D26),column($D26),,,""ADSA-P""))"),30)</f>
        <v>30</v>
      </c>
      <c r="K28" s="8">
        <f t="shared" ca="1" si="5"/>
        <v>68.181818181818173</v>
      </c>
      <c r="L28" s="5">
        <f ca="1">IFERROR(__xludf.DUMMYFUNCTION("IMPORTRANGE(""https://docs.google.com/spreadsheets/d/1rOGZhKHVnDGFqGTO7UNOJSkSJyQwVuEb2-yhWQit7lw/edit?gid=1092082017#gid=1092082017"", address(row($D26),column($D26),,,""JAVA-P""))"),12)</f>
        <v>12</v>
      </c>
      <c r="M28" s="8">
        <f t="shared" ca="1" si="6"/>
        <v>75</v>
      </c>
      <c r="N28" s="5">
        <f ca="1">IFERROR(__xludf.DUMMYFUNCTION("IMPORTRANGE(""https://docs.google.com/spreadsheets/d/1rOGZhKHVnDGFqGTO7UNOJSkSJyQwVuEb2-yhWQit7lw/edit?gid=1379505903#gid=1379505903"", address(row($D26),column($D26),,,""FOSS LAB-P""))"),9)</f>
        <v>9</v>
      </c>
      <c r="O28" s="8">
        <f t="shared" ca="1" si="7"/>
        <v>75</v>
      </c>
      <c r="P28" s="5">
        <f ca="1">IFERROR(__xludf.DUMMYFUNCTION("IMPORTRANGE(""https://docs.google.com/spreadsheets/d/1rOGZhKHVnDGFqGTO7UNOJSkSJyQwVuEb2-yhWQit7lw/edit?gid=434615646#gid=434615646"", address(row($D26),column($D26),,,""PP-P""))"),22)</f>
        <v>22</v>
      </c>
      <c r="Q28" s="8">
        <f t="shared" ca="1" si="8"/>
        <v>78.571428571428569</v>
      </c>
      <c r="R28" s="5">
        <f ca="1">IFERROR(__xludf.DUMMYFUNCTION("IMPORTRANGE(""https://docs.google.com/spreadsheets/d/1rOGZhKHVnDGFqGTO7UNOJSkSJyQwVuEb2-yhWQit7lw/edit?gid=1663742830#gid=1663742830"", address(row($D26),column($D26),,,""NPTEL-P""))"),12)</f>
        <v>12</v>
      </c>
      <c r="S28" s="5">
        <f t="shared" ca="1" si="9"/>
        <v>100</v>
      </c>
      <c r="T28" s="6">
        <f ca="1">IFERROR(__xludf.DUMMYFUNCTION("IMPORTRANGE(""https://docs.google.com/spreadsheets/d/1rOGZhKHVnDGFqGTO7UNOJSkSJyQwVuEb2-yhWQit7lw/edit?gid=227426469#gid=227426469"", address(row($D26),column($D26),,,""CRT-P""))"),0)</f>
        <v>0</v>
      </c>
      <c r="U28" s="8" t="e">
        <f t="shared" ca="1" si="10"/>
        <v>#DIV/0!</v>
      </c>
      <c r="V28" s="6">
        <f t="shared" ca="1" si="0"/>
        <v>119</v>
      </c>
      <c r="W28" s="4">
        <f t="shared" ca="1" si="11"/>
        <v>78</v>
      </c>
      <c r="X28" s="4">
        <v>0</v>
      </c>
      <c r="Y28" s="4">
        <v>0</v>
      </c>
      <c r="Z28" s="4">
        <f t="shared" ca="1" si="1"/>
        <v>119</v>
      </c>
      <c r="AA28" s="10">
        <f t="shared" ca="1" si="12"/>
        <v>78</v>
      </c>
    </row>
    <row r="29" spans="1:27" ht="15.85" customHeight="1" x14ac:dyDescent="0.35">
      <c r="A29" s="8">
        <v>24</v>
      </c>
      <c r="B29" s="9" t="s">
        <v>503</v>
      </c>
      <c r="C29" s="21" t="s">
        <v>504</v>
      </c>
      <c r="D29" s="5">
        <f ca="1">IFERROR(__xludf.DUMMYFUNCTION("IMPORTRANGE(""https://docs.google.com/spreadsheets/d/1rOGZhKHVnDGFqGTO7UNOJSkSJyQwVuEb2-yhWQit7lw/edit?gid=1294109558#gid=1294109558"", address(row($D27),column($D27),,,""DM&amp;GT-P""))"),0)</f>
        <v>0</v>
      </c>
      <c r="E29" s="8" t="e">
        <f t="shared" ca="1" si="2"/>
        <v>#DIV/0!</v>
      </c>
      <c r="F29" s="5">
        <f ca="1">IFERROR(__xludf.DUMMYFUNCTION("IMPORTRANGE(""https://docs.google.com/spreadsheets/d/1rOGZhKHVnDGFqGTO7UNOJSkSJyQwVuEb2-yhWQit7lw/edit?gid=1839445998#gid=1839445998"", address(row($D27),column($D27),,,""UHV-P""))"),22)</f>
        <v>22</v>
      </c>
      <c r="G29" s="8">
        <f t="shared" ca="1" si="3"/>
        <v>100</v>
      </c>
      <c r="H29" s="5">
        <f ca="1">IFERROR(__xludf.DUMMYFUNCTION("IMPORTRANGE(""https://docs.google.com/spreadsheets/d/1rOGZhKHVnDGFqGTO7UNOJSkSJyQwVuEb2-yhWQit7lw/edit?gid=1415582716#gid=1415582716"", address(row($D27),column($D27),,,""DL&amp;CO-P""))"),20)</f>
        <v>20</v>
      </c>
      <c r="I29" s="8">
        <f t="shared" ca="1" si="4"/>
        <v>105.26315789473684</v>
      </c>
      <c r="J29" s="5">
        <f ca="1">IFERROR(__xludf.DUMMYFUNCTION("IMPORTRANGE(""https://docs.google.com/spreadsheets/d/1rOGZhKHVnDGFqGTO7UNOJSkSJyQwVuEb2-yhWQit7lw/edit?gid=412846422#gid=412846422"", address(row($D27),column($D27),,,""ADSA-P""))"),42)</f>
        <v>42</v>
      </c>
      <c r="K29" s="8">
        <f t="shared" ca="1" si="5"/>
        <v>95.454545454545453</v>
      </c>
      <c r="L29" s="5">
        <f ca="1">IFERROR(__xludf.DUMMYFUNCTION("IMPORTRANGE(""https://docs.google.com/spreadsheets/d/1rOGZhKHVnDGFqGTO7UNOJSkSJyQwVuEb2-yhWQit7lw/edit?gid=1092082017#gid=1092082017"", address(row($D27),column($D27),,,""JAVA-P""))"),14)</f>
        <v>14</v>
      </c>
      <c r="M29" s="8">
        <f t="shared" ca="1" si="6"/>
        <v>87.5</v>
      </c>
      <c r="N29" s="5">
        <f ca="1">IFERROR(__xludf.DUMMYFUNCTION("IMPORTRANGE(""https://docs.google.com/spreadsheets/d/1rOGZhKHVnDGFqGTO7UNOJSkSJyQwVuEb2-yhWQit7lw/edit?gid=1379505903#gid=1379505903"", address(row($D27),column($D27),,,""FOSS LAB-P""))"),12)</f>
        <v>12</v>
      </c>
      <c r="O29" s="8">
        <f t="shared" ca="1" si="7"/>
        <v>100</v>
      </c>
      <c r="P29" s="5">
        <f ca="1">IFERROR(__xludf.DUMMYFUNCTION("IMPORTRANGE(""https://docs.google.com/spreadsheets/d/1rOGZhKHVnDGFqGTO7UNOJSkSJyQwVuEb2-yhWQit7lw/edit?gid=434615646#gid=434615646"", address(row($D27),column($D27),,,""PP-P""))"),24)</f>
        <v>24</v>
      </c>
      <c r="Q29" s="8">
        <f t="shared" ca="1" si="8"/>
        <v>85.714285714285708</v>
      </c>
      <c r="R29" s="5">
        <f ca="1">IFERROR(__xludf.DUMMYFUNCTION("IMPORTRANGE(""https://docs.google.com/spreadsheets/d/1rOGZhKHVnDGFqGTO7UNOJSkSJyQwVuEb2-yhWQit7lw/edit?gid=1663742830#gid=1663742830"", address(row($D27),column($D27),,,""NPTEL-P""))"),12)</f>
        <v>12</v>
      </c>
      <c r="S29" s="5">
        <f t="shared" ca="1" si="9"/>
        <v>100</v>
      </c>
      <c r="T29" s="6">
        <f ca="1">IFERROR(__xludf.DUMMYFUNCTION("IMPORTRANGE(""https://docs.google.com/spreadsheets/d/1rOGZhKHVnDGFqGTO7UNOJSkSJyQwVuEb2-yhWQit7lw/edit?gid=227426469#gid=227426469"", address(row($D27),column($D27),,,""CRT-P""))"),0)</f>
        <v>0</v>
      </c>
      <c r="U29" s="8" t="e">
        <f t="shared" ca="1" si="10"/>
        <v>#DIV/0!</v>
      </c>
      <c r="V29" s="6">
        <f t="shared" ca="1" si="0"/>
        <v>146</v>
      </c>
      <c r="W29" s="4">
        <f t="shared" ca="1" si="11"/>
        <v>95</v>
      </c>
      <c r="X29" s="4">
        <v>0</v>
      </c>
      <c r="Y29" s="4">
        <v>0</v>
      </c>
      <c r="Z29" s="4">
        <f t="shared" ca="1" si="1"/>
        <v>146</v>
      </c>
      <c r="AA29" s="10">
        <f t="shared" ca="1" si="12"/>
        <v>95</v>
      </c>
    </row>
    <row r="30" spans="1:27" ht="15.85" customHeight="1" x14ac:dyDescent="0.35">
      <c r="A30" s="8">
        <v>25</v>
      </c>
      <c r="B30" s="9" t="s">
        <v>505</v>
      </c>
      <c r="C30" s="21" t="s">
        <v>506</v>
      </c>
      <c r="D30" s="5">
        <f ca="1">IFERROR(__xludf.DUMMYFUNCTION("IMPORTRANGE(""https://docs.google.com/spreadsheets/d/1rOGZhKHVnDGFqGTO7UNOJSkSJyQwVuEb2-yhWQit7lw/edit?gid=1294109558#gid=1294109558"", address(row($D28),column($D28),,,""DM&amp;GT-P""))"),0)</f>
        <v>0</v>
      </c>
      <c r="E30" s="8" t="e">
        <f t="shared" ca="1" si="2"/>
        <v>#DIV/0!</v>
      </c>
      <c r="F30" s="5">
        <f ca="1">IFERROR(__xludf.DUMMYFUNCTION("IMPORTRANGE(""https://docs.google.com/spreadsheets/d/1rOGZhKHVnDGFqGTO7UNOJSkSJyQwVuEb2-yhWQit7lw/edit?gid=1839445998#gid=1839445998"", address(row($D28),column($D28),,,""UHV-P""))"),17)</f>
        <v>17</v>
      </c>
      <c r="G30" s="8">
        <f t="shared" ca="1" si="3"/>
        <v>77.272727272727266</v>
      </c>
      <c r="H30" s="5">
        <f ca="1">IFERROR(__xludf.DUMMYFUNCTION("IMPORTRANGE(""https://docs.google.com/spreadsheets/d/1rOGZhKHVnDGFqGTO7UNOJSkSJyQwVuEb2-yhWQit7lw/edit?gid=1415582716#gid=1415582716"", address(row($D28),column($D28),,,""DL&amp;CO-P""))"),14)</f>
        <v>14</v>
      </c>
      <c r="I30" s="8">
        <f t="shared" ca="1" si="4"/>
        <v>73.68421052631578</v>
      </c>
      <c r="J30" s="5">
        <f ca="1">IFERROR(__xludf.DUMMYFUNCTION("IMPORTRANGE(""https://docs.google.com/spreadsheets/d/1rOGZhKHVnDGFqGTO7UNOJSkSJyQwVuEb2-yhWQit7lw/edit?gid=412846422#gid=412846422"", address(row($D28),column($D28),,,""ADSA-P""))"),24)</f>
        <v>24</v>
      </c>
      <c r="K30" s="8">
        <f t="shared" ca="1" si="5"/>
        <v>54.54545454545454</v>
      </c>
      <c r="L30" s="5">
        <f ca="1">IFERROR(__xludf.DUMMYFUNCTION("IMPORTRANGE(""https://docs.google.com/spreadsheets/d/1rOGZhKHVnDGFqGTO7UNOJSkSJyQwVuEb2-yhWQit7lw/edit?gid=1092082017#gid=1092082017"", address(row($D28),column($D28),,,""JAVA-P""))"),10)</f>
        <v>10</v>
      </c>
      <c r="M30" s="8">
        <f t="shared" ca="1" si="6"/>
        <v>62.5</v>
      </c>
      <c r="N30" s="5">
        <f ca="1">IFERROR(__xludf.DUMMYFUNCTION("IMPORTRANGE(""https://docs.google.com/spreadsheets/d/1rOGZhKHVnDGFqGTO7UNOJSkSJyQwVuEb2-yhWQit7lw/edit?gid=1379505903#gid=1379505903"", address(row($D28),column($D28),,,""FOSS LAB-P""))"),9)</f>
        <v>9</v>
      </c>
      <c r="O30" s="8">
        <f t="shared" ca="1" si="7"/>
        <v>75</v>
      </c>
      <c r="P30" s="5">
        <f ca="1">IFERROR(__xludf.DUMMYFUNCTION("IMPORTRANGE(""https://docs.google.com/spreadsheets/d/1rOGZhKHVnDGFqGTO7UNOJSkSJyQwVuEb2-yhWQit7lw/edit?gid=434615646#gid=434615646"", address(row($D28),column($D28),,,""PP-P""))"),22)</f>
        <v>22</v>
      </c>
      <c r="Q30" s="8">
        <f t="shared" ca="1" si="8"/>
        <v>78.571428571428569</v>
      </c>
      <c r="R30" s="5">
        <f ca="1">IFERROR(__xludf.DUMMYFUNCTION("IMPORTRANGE(""https://docs.google.com/spreadsheets/d/1rOGZhKHVnDGFqGTO7UNOJSkSJyQwVuEb2-yhWQit7lw/edit?gid=1663742830#gid=1663742830"", address(row($D28),column($D28),,,""NPTEL-P""))"),12)</f>
        <v>12</v>
      </c>
      <c r="S30" s="5">
        <f t="shared" ca="1" si="9"/>
        <v>100</v>
      </c>
      <c r="T30" s="6">
        <f ca="1">IFERROR(__xludf.DUMMYFUNCTION("IMPORTRANGE(""https://docs.google.com/spreadsheets/d/1rOGZhKHVnDGFqGTO7UNOJSkSJyQwVuEb2-yhWQit7lw/edit?gid=227426469#gid=227426469"", address(row($D28),column($D28),,,""CRT-P""))"),0)</f>
        <v>0</v>
      </c>
      <c r="U30" s="8" t="e">
        <f t="shared" ca="1" si="10"/>
        <v>#DIV/0!</v>
      </c>
      <c r="V30" s="6">
        <f t="shared" ca="1" si="0"/>
        <v>108</v>
      </c>
      <c r="W30" s="4">
        <f t="shared" ca="1" si="11"/>
        <v>71</v>
      </c>
      <c r="X30" s="4">
        <v>0</v>
      </c>
      <c r="Y30" s="4">
        <v>0</v>
      </c>
      <c r="Z30" s="4">
        <f t="shared" ca="1" si="1"/>
        <v>108</v>
      </c>
      <c r="AA30" s="10">
        <f t="shared" ca="1" si="12"/>
        <v>71</v>
      </c>
    </row>
    <row r="31" spans="1:27" ht="15.85" customHeight="1" x14ac:dyDescent="0.35">
      <c r="A31" s="8">
        <v>26</v>
      </c>
      <c r="B31" s="9" t="s">
        <v>507</v>
      </c>
      <c r="C31" s="21" t="s">
        <v>508</v>
      </c>
      <c r="D31" s="5">
        <f ca="1">IFERROR(__xludf.DUMMYFUNCTION("IMPORTRANGE(""https://docs.google.com/spreadsheets/d/1rOGZhKHVnDGFqGTO7UNOJSkSJyQwVuEb2-yhWQit7lw/edit?gid=1294109558#gid=1294109558"", address(row($D29),column($D29),,,""DM&amp;GT-P""))"),0)</f>
        <v>0</v>
      </c>
      <c r="E31" s="8" t="e">
        <f t="shared" ca="1" si="2"/>
        <v>#DIV/0!</v>
      </c>
      <c r="F31" s="5">
        <f ca="1">IFERROR(__xludf.DUMMYFUNCTION("IMPORTRANGE(""https://docs.google.com/spreadsheets/d/1rOGZhKHVnDGFqGTO7UNOJSkSJyQwVuEb2-yhWQit7lw/edit?gid=1839445998#gid=1839445998"", address(row($D29),column($D29),,,""UHV-P""))"),19)</f>
        <v>19</v>
      </c>
      <c r="G31" s="8">
        <f t="shared" ca="1" si="3"/>
        <v>86.36363636363636</v>
      </c>
      <c r="H31" s="5">
        <f ca="1">IFERROR(__xludf.DUMMYFUNCTION("IMPORTRANGE(""https://docs.google.com/spreadsheets/d/1rOGZhKHVnDGFqGTO7UNOJSkSJyQwVuEb2-yhWQit7lw/edit?gid=1415582716#gid=1415582716"", address(row($D29),column($D29),,,""DL&amp;CO-P""))"),16)</f>
        <v>16</v>
      </c>
      <c r="I31" s="8">
        <f t="shared" ca="1" si="4"/>
        <v>84.210526315789465</v>
      </c>
      <c r="J31" s="5">
        <f ca="1">IFERROR(__xludf.DUMMYFUNCTION("IMPORTRANGE(""https://docs.google.com/spreadsheets/d/1rOGZhKHVnDGFqGTO7UNOJSkSJyQwVuEb2-yhWQit7lw/edit?gid=412846422#gid=412846422"", address(row($D29),column($D29),,,""ADSA-P""))"),30)</f>
        <v>30</v>
      </c>
      <c r="K31" s="8">
        <f t="shared" ca="1" si="5"/>
        <v>68.181818181818173</v>
      </c>
      <c r="L31" s="5">
        <f ca="1">IFERROR(__xludf.DUMMYFUNCTION("IMPORTRANGE(""https://docs.google.com/spreadsheets/d/1rOGZhKHVnDGFqGTO7UNOJSkSJyQwVuEb2-yhWQit7lw/edit?gid=1092082017#gid=1092082017"", address(row($D29),column($D29),,,""JAVA-P""))"),16)</f>
        <v>16</v>
      </c>
      <c r="M31" s="8">
        <f t="shared" ca="1" si="6"/>
        <v>100</v>
      </c>
      <c r="N31" s="5">
        <f ca="1">IFERROR(__xludf.DUMMYFUNCTION("IMPORTRANGE(""https://docs.google.com/spreadsheets/d/1rOGZhKHVnDGFqGTO7UNOJSkSJyQwVuEb2-yhWQit7lw/edit?gid=1379505903#gid=1379505903"", address(row($D29),column($D29),,,""FOSS LAB-P""))"),9)</f>
        <v>9</v>
      </c>
      <c r="O31" s="8">
        <f t="shared" ca="1" si="7"/>
        <v>75</v>
      </c>
      <c r="P31" s="5">
        <f ca="1">IFERROR(__xludf.DUMMYFUNCTION("IMPORTRANGE(""https://docs.google.com/spreadsheets/d/1rOGZhKHVnDGFqGTO7UNOJSkSJyQwVuEb2-yhWQit7lw/edit?gid=434615646#gid=434615646"", address(row($D29),column($D29),,,""PP-P""))"),22)</f>
        <v>22</v>
      </c>
      <c r="Q31" s="8">
        <f t="shared" ca="1" si="8"/>
        <v>78.571428571428569</v>
      </c>
      <c r="R31" s="5">
        <f ca="1">IFERROR(__xludf.DUMMYFUNCTION("IMPORTRANGE(""https://docs.google.com/spreadsheets/d/1rOGZhKHVnDGFqGTO7UNOJSkSJyQwVuEb2-yhWQit7lw/edit?gid=1663742830#gid=1663742830"", address(row($D29),column($D29),,,""NPTEL-P""))"),12)</f>
        <v>12</v>
      </c>
      <c r="S31" s="5">
        <f t="shared" ca="1" si="9"/>
        <v>100</v>
      </c>
      <c r="T31" s="6">
        <f ca="1">IFERROR(__xludf.DUMMYFUNCTION("IMPORTRANGE(""https://docs.google.com/spreadsheets/d/1rOGZhKHVnDGFqGTO7UNOJSkSJyQwVuEb2-yhWQit7lw/edit?gid=227426469#gid=227426469"", address(row($D29),column($D29),,,""CRT-P""))"),0)</f>
        <v>0</v>
      </c>
      <c r="U31" s="8" t="e">
        <f t="shared" ca="1" si="10"/>
        <v>#DIV/0!</v>
      </c>
      <c r="V31" s="6">
        <f t="shared" ca="1" si="0"/>
        <v>124</v>
      </c>
      <c r="W31" s="4">
        <f t="shared" ca="1" si="11"/>
        <v>81</v>
      </c>
      <c r="X31" s="4">
        <v>0</v>
      </c>
      <c r="Y31" s="4">
        <v>0</v>
      </c>
      <c r="Z31" s="4">
        <f t="shared" ca="1" si="1"/>
        <v>124</v>
      </c>
      <c r="AA31" s="10">
        <f t="shared" ca="1" si="12"/>
        <v>81</v>
      </c>
    </row>
    <row r="32" spans="1:27" ht="15.85" customHeight="1" x14ac:dyDescent="0.35">
      <c r="A32" s="8">
        <v>27</v>
      </c>
      <c r="B32" s="9" t="s">
        <v>509</v>
      </c>
      <c r="C32" s="21" t="s">
        <v>510</v>
      </c>
      <c r="D32" s="5">
        <f ca="1">IFERROR(__xludf.DUMMYFUNCTION("IMPORTRANGE(""https://docs.google.com/spreadsheets/d/1rOGZhKHVnDGFqGTO7UNOJSkSJyQwVuEb2-yhWQit7lw/edit?gid=1294109558#gid=1294109558"", address(row($D30),column($D30),,,""DM&amp;GT-P""))"),0)</f>
        <v>0</v>
      </c>
      <c r="E32" s="8" t="e">
        <f t="shared" ca="1" si="2"/>
        <v>#DIV/0!</v>
      </c>
      <c r="F32" s="5">
        <f ca="1">IFERROR(__xludf.DUMMYFUNCTION("IMPORTRANGE(""https://docs.google.com/spreadsheets/d/1rOGZhKHVnDGFqGTO7UNOJSkSJyQwVuEb2-yhWQit7lw/edit?gid=1839445998#gid=1839445998"", address(row($D30),column($D30),,,""UHV-P""))"),18)</f>
        <v>18</v>
      </c>
      <c r="G32" s="8">
        <f t="shared" ca="1" si="3"/>
        <v>81.818181818181827</v>
      </c>
      <c r="H32" s="5">
        <f ca="1">IFERROR(__xludf.DUMMYFUNCTION("IMPORTRANGE(""https://docs.google.com/spreadsheets/d/1rOGZhKHVnDGFqGTO7UNOJSkSJyQwVuEb2-yhWQit7lw/edit?gid=1415582716#gid=1415582716"", address(row($D30),column($D30),,,""DL&amp;CO-P""))"),16)</f>
        <v>16</v>
      </c>
      <c r="I32" s="8">
        <f t="shared" ca="1" si="4"/>
        <v>84.210526315789465</v>
      </c>
      <c r="J32" s="5">
        <f ca="1">IFERROR(__xludf.DUMMYFUNCTION("IMPORTRANGE(""https://docs.google.com/spreadsheets/d/1rOGZhKHVnDGFqGTO7UNOJSkSJyQwVuEb2-yhWQit7lw/edit?gid=412846422#gid=412846422"", address(row($D30),column($D30),,,""ADSA-P""))"),34)</f>
        <v>34</v>
      </c>
      <c r="K32" s="8">
        <f t="shared" ca="1" si="5"/>
        <v>77.272727272727266</v>
      </c>
      <c r="L32" s="5">
        <f ca="1">IFERROR(__xludf.DUMMYFUNCTION("IMPORTRANGE(""https://docs.google.com/spreadsheets/d/1rOGZhKHVnDGFqGTO7UNOJSkSJyQwVuEb2-yhWQit7lw/edit?gid=1092082017#gid=1092082017"", address(row($D30),column($D30),,,""JAVA-P""))"),14)</f>
        <v>14</v>
      </c>
      <c r="M32" s="8">
        <f t="shared" ca="1" si="6"/>
        <v>87.5</v>
      </c>
      <c r="N32" s="5">
        <f ca="1">IFERROR(__xludf.DUMMYFUNCTION("IMPORTRANGE(""https://docs.google.com/spreadsheets/d/1rOGZhKHVnDGFqGTO7UNOJSkSJyQwVuEb2-yhWQit7lw/edit?gid=1379505903#gid=1379505903"", address(row($D30),column($D30),,,""FOSS LAB-P""))"),12)</f>
        <v>12</v>
      </c>
      <c r="O32" s="8">
        <f t="shared" ca="1" si="7"/>
        <v>100</v>
      </c>
      <c r="P32" s="5">
        <f ca="1">IFERROR(__xludf.DUMMYFUNCTION("IMPORTRANGE(""https://docs.google.com/spreadsheets/d/1rOGZhKHVnDGFqGTO7UNOJSkSJyQwVuEb2-yhWQit7lw/edit?gid=434615646#gid=434615646"", address(row($D30),column($D30),,,""PP-P""))"),22)</f>
        <v>22</v>
      </c>
      <c r="Q32" s="8">
        <f t="shared" ca="1" si="8"/>
        <v>78.571428571428569</v>
      </c>
      <c r="R32" s="5">
        <f ca="1">IFERROR(__xludf.DUMMYFUNCTION("IMPORTRANGE(""https://docs.google.com/spreadsheets/d/1rOGZhKHVnDGFqGTO7UNOJSkSJyQwVuEb2-yhWQit7lw/edit?gid=1663742830#gid=1663742830"", address(row($D30),column($D30),,,""NPTEL-P""))"),10)</f>
        <v>10</v>
      </c>
      <c r="S32" s="5">
        <f t="shared" ca="1" si="9"/>
        <v>83.333333333333343</v>
      </c>
      <c r="T32" s="6">
        <f ca="1">IFERROR(__xludf.DUMMYFUNCTION("IMPORTRANGE(""https://docs.google.com/spreadsheets/d/1rOGZhKHVnDGFqGTO7UNOJSkSJyQwVuEb2-yhWQit7lw/edit?gid=227426469#gid=227426469"", address(row($D30),column($D30),,,""CRT-P""))"),0)</f>
        <v>0</v>
      </c>
      <c r="U32" s="8" t="e">
        <f t="shared" ca="1" si="10"/>
        <v>#DIV/0!</v>
      </c>
      <c r="V32" s="6">
        <f t="shared" ca="1" si="0"/>
        <v>126</v>
      </c>
      <c r="W32" s="4">
        <f t="shared" ca="1" si="11"/>
        <v>82</v>
      </c>
      <c r="X32" s="4">
        <v>0</v>
      </c>
      <c r="Y32" s="4">
        <v>0</v>
      </c>
      <c r="Z32" s="4">
        <f t="shared" ca="1" si="1"/>
        <v>126</v>
      </c>
      <c r="AA32" s="10">
        <f t="shared" ca="1" si="12"/>
        <v>82</v>
      </c>
    </row>
    <row r="33" spans="1:27" ht="15.85" customHeight="1" x14ac:dyDescent="0.35">
      <c r="A33" s="8">
        <v>28</v>
      </c>
      <c r="B33" s="9" t="s">
        <v>511</v>
      </c>
      <c r="C33" s="21" t="s">
        <v>512</v>
      </c>
      <c r="D33" s="5">
        <f ca="1">IFERROR(__xludf.DUMMYFUNCTION("IMPORTRANGE(""https://docs.google.com/spreadsheets/d/1rOGZhKHVnDGFqGTO7UNOJSkSJyQwVuEb2-yhWQit7lw/edit?gid=1294109558#gid=1294109558"", address(row($D31),column($D31),,,""DM&amp;GT-P""))"),0)</f>
        <v>0</v>
      </c>
      <c r="E33" s="8" t="e">
        <f t="shared" ca="1" si="2"/>
        <v>#DIV/0!</v>
      </c>
      <c r="F33" s="5">
        <f ca="1">IFERROR(__xludf.DUMMYFUNCTION("IMPORTRANGE(""https://docs.google.com/spreadsheets/d/1rOGZhKHVnDGFqGTO7UNOJSkSJyQwVuEb2-yhWQit7lw/edit?gid=1839445998#gid=1839445998"", address(row($D31),column($D31),,,""UHV-P""))"),17)</f>
        <v>17</v>
      </c>
      <c r="G33" s="8">
        <f t="shared" ca="1" si="3"/>
        <v>77.272727272727266</v>
      </c>
      <c r="H33" s="5">
        <f ca="1">IFERROR(__xludf.DUMMYFUNCTION("IMPORTRANGE(""https://docs.google.com/spreadsheets/d/1rOGZhKHVnDGFqGTO7UNOJSkSJyQwVuEb2-yhWQit7lw/edit?gid=1415582716#gid=1415582716"", address(row($D31),column($D31),,,""DL&amp;CO-P""))"),16)</f>
        <v>16</v>
      </c>
      <c r="I33" s="8">
        <f t="shared" ca="1" si="4"/>
        <v>84.210526315789465</v>
      </c>
      <c r="J33" s="5">
        <f ca="1">IFERROR(__xludf.DUMMYFUNCTION("IMPORTRANGE(""https://docs.google.com/spreadsheets/d/1rOGZhKHVnDGFqGTO7UNOJSkSJyQwVuEb2-yhWQit7lw/edit?gid=412846422#gid=412846422"", address(row($D31),column($D31),,,""ADSA-P""))"),28)</f>
        <v>28</v>
      </c>
      <c r="K33" s="8">
        <f t="shared" ca="1" si="5"/>
        <v>63.636363636363633</v>
      </c>
      <c r="L33" s="5">
        <f ca="1">IFERROR(__xludf.DUMMYFUNCTION("IMPORTRANGE(""https://docs.google.com/spreadsheets/d/1rOGZhKHVnDGFqGTO7UNOJSkSJyQwVuEb2-yhWQit7lw/edit?gid=1092082017#gid=1092082017"", address(row($D31),column($D31),,,""JAVA-P""))"),16)</f>
        <v>16</v>
      </c>
      <c r="M33" s="8">
        <f t="shared" ca="1" si="6"/>
        <v>100</v>
      </c>
      <c r="N33" s="5">
        <f ca="1">IFERROR(__xludf.DUMMYFUNCTION("IMPORTRANGE(""https://docs.google.com/spreadsheets/d/1rOGZhKHVnDGFqGTO7UNOJSkSJyQwVuEb2-yhWQit7lw/edit?gid=1379505903#gid=1379505903"", address(row($D31),column($D31),,,""FOSS LAB-P""))"),6)</f>
        <v>6</v>
      </c>
      <c r="O33" s="8">
        <f t="shared" ca="1" si="7"/>
        <v>50</v>
      </c>
      <c r="P33" s="5">
        <f ca="1">IFERROR(__xludf.DUMMYFUNCTION("IMPORTRANGE(""https://docs.google.com/spreadsheets/d/1rOGZhKHVnDGFqGTO7UNOJSkSJyQwVuEb2-yhWQit7lw/edit?gid=434615646#gid=434615646"", address(row($D31),column($D31),,,""PP-P""))"),20)</f>
        <v>20</v>
      </c>
      <c r="Q33" s="8">
        <f t="shared" ca="1" si="8"/>
        <v>71.428571428571431</v>
      </c>
      <c r="R33" s="5">
        <f ca="1">IFERROR(__xludf.DUMMYFUNCTION("IMPORTRANGE(""https://docs.google.com/spreadsheets/d/1rOGZhKHVnDGFqGTO7UNOJSkSJyQwVuEb2-yhWQit7lw/edit?gid=1663742830#gid=1663742830"", address(row($D31),column($D31),,,""NPTEL-P""))"),8)</f>
        <v>8</v>
      </c>
      <c r="S33" s="5">
        <f t="shared" ca="1" si="9"/>
        <v>66.666666666666657</v>
      </c>
      <c r="T33" s="6">
        <f ca="1">IFERROR(__xludf.DUMMYFUNCTION("IMPORTRANGE(""https://docs.google.com/spreadsheets/d/1rOGZhKHVnDGFqGTO7UNOJSkSJyQwVuEb2-yhWQit7lw/edit?gid=227426469#gid=227426469"", address(row($D31),column($D31),,,""CRT-P""))"),0)</f>
        <v>0</v>
      </c>
      <c r="U33" s="8" t="e">
        <f t="shared" ca="1" si="10"/>
        <v>#DIV/0!</v>
      </c>
      <c r="V33" s="6">
        <f t="shared" ca="1" si="0"/>
        <v>111</v>
      </c>
      <c r="W33" s="4">
        <f t="shared" ca="1" si="11"/>
        <v>73</v>
      </c>
      <c r="X33" s="4">
        <v>0</v>
      </c>
      <c r="Y33" s="4">
        <v>0</v>
      </c>
      <c r="Z33" s="4">
        <f t="shared" ca="1" si="1"/>
        <v>111</v>
      </c>
      <c r="AA33" s="10">
        <f t="shared" ca="1" si="12"/>
        <v>73</v>
      </c>
    </row>
    <row r="34" spans="1:27" ht="15.85" customHeight="1" x14ac:dyDescent="0.35">
      <c r="A34" s="8">
        <v>29</v>
      </c>
      <c r="B34" s="9" t="s">
        <v>513</v>
      </c>
      <c r="C34" s="21" t="s">
        <v>514</v>
      </c>
      <c r="D34" s="5">
        <f ca="1">IFERROR(__xludf.DUMMYFUNCTION("IMPORTRANGE(""https://docs.google.com/spreadsheets/d/1rOGZhKHVnDGFqGTO7UNOJSkSJyQwVuEb2-yhWQit7lw/edit?gid=1294109558#gid=1294109558"", address(row($D32),column($D32),,,""DM&amp;GT-P""))"),0)</f>
        <v>0</v>
      </c>
      <c r="E34" s="8" t="e">
        <f t="shared" ca="1" si="2"/>
        <v>#DIV/0!</v>
      </c>
      <c r="F34" s="5">
        <f ca="1">IFERROR(__xludf.DUMMYFUNCTION("IMPORTRANGE(""https://docs.google.com/spreadsheets/d/1rOGZhKHVnDGFqGTO7UNOJSkSJyQwVuEb2-yhWQit7lw/edit?gid=1839445998#gid=1839445998"", address(row($D32),column($D32),,,""UHV-P""))"),16)</f>
        <v>16</v>
      </c>
      <c r="G34" s="8">
        <f t="shared" ca="1" si="3"/>
        <v>72.727272727272734</v>
      </c>
      <c r="H34" s="5">
        <f ca="1">IFERROR(__xludf.DUMMYFUNCTION("IMPORTRANGE(""https://docs.google.com/spreadsheets/d/1rOGZhKHVnDGFqGTO7UNOJSkSJyQwVuEb2-yhWQit7lw/edit?gid=1415582716#gid=1415582716"", address(row($D32),column($D32),,,""DL&amp;CO-P""))"),15)</f>
        <v>15</v>
      </c>
      <c r="I34" s="8">
        <f t="shared" ca="1" si="4"/>
        <v>78.94736842105263</v>
      </c>
      <c r="J34" s="5">
        <f ca="1">IFERROR(__xludf.DUMMYFUNCTION("IMPORTRANGE(""https://docs.google.com/spreadsheets/d/1rOGZhKHVnDGFqGTO7UNOJSkSJyQwVuEb2-yhWQit7lw/edit?gid=412846422#gid=412846422"", address(row($D32),column($D32),,,""ADSA-P""))"),24)</f>
        <v>24</v>
      </c>
      <c r="K34" s="8">
        <f t="shared" ca="1" si="5"/>
        <v>54.54545454545454</v>
      </c>
      <c r="L34" s="5">
        <f ca="1">IFERROR(__xludf.DUMMYFUNCTION("IMPORTRANGE(""https://docs.google.com/spreadsheets/d/1rOGZhKHVnDGFqGTO7UNOJSkSJyQwVuEb2-yhWQit7lw/edit?gid=1092082017#gid=1092082017"", address(row($D32),column($D32),,,""JAVA-P""))"),8)</f>
        <v>8</v>
      </c>
      <c r="M34" s="8">
        <f t="shared" ca="1" si="6"/>
        <v>50</v>
      </c>
      <c r="N34" s="5">
        <f ca="1">IFERROR(__xludf.DUMMYFUNCTION("IMPORTRANGE(""https://docs.google.com/spreadsheets/d/1rOGZhKHVnDGFqGTO7UNOJSkSJyQwVuEb2-yhWQit7lw/edit?gid=1379505903#gid=1379505903"", address(row($D32),column($D32),,,""FOSS LAB-P""))"),3)</f>
        <v>3</v>
      </c>
      <c r="O34" s="8">
        <f t="shared" ca="1" si="7"/>
        <v>25</v>
      </c>
      <c r="P34" s="5">
        <f ca="1">IFERROR(__xludf.DUMMYFUNCTION("IMPORTRANGE(""https://docs.google.com/spreadsheets/d/1rOGZhKHVnDGFqGTO7UNOJSkSJyQwVuEb2-yhWQit7lw/edit?gid=434615646#gid=434615646"", address(row($D32),column($D32),,,""PP-P""))"),14)</f>
        <v>14</v>
      </c>
      <c r="Q34" s="8">
        <f t="shared" ca="1" si="8"/>
        <v>50</v>
      </c>
      <c r="R34" s="5">
        <f ca="1">IFERROR(__xludf.DUMMYFUNCTION("IMPORTRANGE(""https://docs.google.com/spreadsheets/d/1rOGZhKHVnDGFqGTO7UNOJSkSJyQwVuEb2-yhWQit7lw/edit?gid=1663742830#gid=1663742830"", address(row($D32),column($D32),,,""NPTEL-P""))"),8)</f>
        <v>8</v>
      </c>
      <c r="S34" s="5">
        <f t="shared" ca="1" si="9"/>
        <v>66.666666666666657</v>
      </c>
      <c r="T34" s="6">
        <f ca="1">IFERROR(__xludf.DUMMYFUNCTION("IMPORTRANGE(""https://docs.google.com/spreadsheets/d/1rOGZhKHVnDGFqGTO7UNOJSkSJyQwVuEb2-yhWQit7lw/edit?gid=227426469#gid=227426469"", address(row($D32),column($D32),,,""CRT-P""))"),0)</f>
        <v>0</v>
      </c>
      <c r="U34" s="8" t="e">
        <f t="shared" ca="1" si="10"/>
        <v>#DIV/0!</v>
      </c>
      <c r="V34" s="6">
        <f t="shared" ca="1" si="0"/>
        <v>88</v>
      </c>
      <c r="W34" s="4">
        <f t="shared" ca="1" si="11"/>
        <v>58</v>
      </c>
      <c r="X34" s="4">
        <v>0</v>
      </c>
      <c r="Y34" s="4">
        <v>0</v>
      </c>
      <c r="Z34" s="4">
        <f t="shared" ca="1" si="1"/>
        <v>88</v>
      </c>
      <c r="AA34" s="10">
        <f t="shared" ca="1" si="12"/>
        <v>58</v>
      </c>
    </row>
    <row r="35" spans="1:27" ht="15.85" customHeight="1" x14ac:dyDescent="0.35">
      <c r="A35" s="8">
        <v>30</v>
      </c>
      <c r="B35" s="9" t="s">
        <v>515</v>
      </c>
      <c r="C35" s="21" t="s">
        <v>516</v>
      </c>
      <c r="D35" s="5">
        <f ca="1">IFERROR(__xludf.DUMMYFUNCTION("IMPORTRANGE(""https://docs.google.com/spreadsheets/d/1rOGZhKHVnDGFqGTO7UNOJSkSJyQwVuEb2-yhWQit7lw/edit?gid=1294109558#gid=1294109558"", address(row($D33),column($D33),,,""DM&amp;GT-P""))"),0)</f>
        <v>0</v>
      </c>
      <c r="E35" s="8" t="e">
        <f t="shared" ca="1" si="2"/>
        <v>#DIV/0!</v>
      </c>
      <c r="F35" s="5">
        <f ca="1">IFERROR(__xludf.DUMMYFUNCTION("IMPORTRANGE(""https://docs.google.com/spreadsheets/d/1rOGZhKHVnDGFqGTO7UNOJSkSJyQwVuEb2-yhWQit7lw/edit?gid=1839445998#gid=1839445998"", address(row($D33),column($D33),,,""UHV-P""))"),17)</f>
        <v>17</v>
      </c>
      <c r="G35" s="8">
        <f t="shared" ca="1" si="3"/>
        <v>77.272727272727266</v>
      </c>
      <c r="H35" s="5">
        <f ca="1">IFERROR(__xludf.DUMMYFUNCTION("IMPORTRANGE(""https://docs.google.com/spreadsheets/d/1rOGZhKHVnDGFqGTO7UNOJSkSJyQwVuEb2-yhWQit7lw/edit?gid=1415582716#gid=1415582716"", address(row($D33),column($D33),,,""DL&amp;CO-P""))"),14)</f>
        <v>14</v>
      </c>
      <c r="I35" s="8">
        <f t="shared" ca="1" si="4"/>
        <v>73.68421052631578</v>
      </c>
      <c r="J35" s="5">
        <f ca="1">IFERROR(__xludf.DUMMYFUNCTION("IMPORTRANGE(""https://docs.google.com/spreadsheets/d/1rOGZhKHVnDGFqGTO7UNOJSkSJyQwVuEb2-yhWQit7lw/edit?gid=412846422#gid=412846422"", address(row($D33),column($D33),,,""ADSA-P""))"),26)</f>
        <v>26</v>
      </c>
      <c r="K35" s="8">
        <f t="shared" ca="1" si="5"/>
        <v>59.090909090909093</v>
      </c>
      <c r="L35" s="5">
        <f ca="1">IFERROR(__xludf.DUMMYFUNCTION("IMPORTRANGE(""https://docs.google.com/spreadsheets/d/1rOGZhKHVnDGFqGTO7UNOJSkSJyQwVuEb2-yhWQit7lw/edit?gid=1092082017#gid=1092082017"", address(row($D33),column($D33),,,""JAVA-P""))"),12)</f>
        <v>12</v>
      </c>
      <c r="M35" s="8">
        <f t="shared" ca="1" si="6"/>
        <v>75</v>
      </c>
      <c r="N35" s="5">
        <f ca="1">IFERROR(__xludf.DUMMYFUNCTION("IMPORTRANGE(""https://docs.google.com/spreadsheets/d/1rOGZhKHVnDGFqGTO7UNOJSkSJyQwVuEb2-yhWQit7lw/edit?gid=1379505903#gid=1379505903"", address(row($D33),column($D33),,,""FOSS LAB-P""))"),12)</f>
        <v>12</v>
      </c>
      <c r="O35" s="8">
        <f t="shared" ca="1" si="7"/>
        <v>100</v>
      </c>
      <c r="P35" s="5">
        <f ca="1">IFERROR(__xludf.DUMMYFUNCTION("IMPORTRANGE(""https://docs.google.com/spreadsheets/d/1rOGZhKHVnDGFqGTO7UNOJSkSJyQwVuEb2-yhWQit7lw/edit?gid=434615646#gid=434615646"", address(row($D33),column($D33),,,""PP-P""))"),20)</f>
        <v>20</v>
      </c>
      <c r="Q35" s="8">
        <f t="shared" ca="1" si="8"/>
        <v>71.428571428571431</v>
      </c>
      <c r="R35" s="5">
        <f ca="1">IFERROR(__xludf.DUMMYFUNCTION("IMPORTRANGE(""https://docs.google.com/spreadsheets/d/1rOGZhKHVnDGFqGTO7UNOJSkSJyQwVuEb2-yhWQit7lw/edit?gid=1663742830#gid=1663742830"", address(row($D33),column($D33),,,""NPTEL-P""))"),10)</f>
        <v>10</v>
      </c>
      <c r="S35" s="5">
        <f t="shared" ca="1" si="9"/>
        <v>83.333333333333343</v>
      </c>
      <c r="T35" s="6">
        <f ca="1">IFERROR(__xludf.DUMMYFUNCTION("IMPORTRANGE(""https://docs.google.com/spreadsheets/d/1rOGZhKHVnDGFqGTO7UNOJSkSJyQwVuEb2-yhWQit7lw/edit?gid=227426469#gid=227426469"", address(row($D33),column($D33),,,""CRT-P""))"),0)</f>
        <v>0</v>
      </c>
      <c r="U35" s="8" t="e">
        <f t="shared" ca="1" si="10"/>
        <v>#DIV/0!</v>
      </c>
      <c r="V35" s="6">
        <f t="shared" ca="1" si="0"/>
        <v>111</v>
      </c>
      <c r="W35" s="4">
        <f t="shared" ca="1" si="11"/>
        <v>73</v>
      </c>
      <c r="X35" s="4">
        <v>0</v>
      </c>
      <c r="Y35" s="4">
        <v>0</v>
      </c>
      <c r="Z35" s="4">
        <f t="shared" ca="1" si="1"/>
        <v>111</v>
      </c>
      <c r="AA35" s="10">
        <f t="shared" ca="1" si="12"/>
        <v>73</v>
      </c>
    </row>
    <row r="36" spans="1:27" ht="15.85" customHeight="1" x14ac:dyDescent="0.35">
      <c r="A36" s="8">
        <v>31</v>
      </c>
      <c r="B36" s="9" t="s">
        <v>517</v>
      </c>
      <c r="C36" s="21" t="s">
        <v>518</v>
      </c>
      <c r="D36" s="5">
        <f ca="1">IFERROR(__xludf.DUMMYFUNCTION("IMPORTRANGE(""https://docs.google.com/spreadsheets/d/1rOGZhKHVnDGFqGTO7UNOJSkSJyQwVuEb2-yhWQit7lw/edit?gid=1294109558#gid=1294109558"", address(row($D34),column($D34),,,""DM&amp;GT-P""))"),0)</f>
        <v>0</v>
      </c>
      <c r="E36" s="8" t="e">
        <f t="shared" ca="1" si="2"/>
        <v>#DIV/0!</v>
      </c>
      <c r="F36" s="5">
        <f ca="1">IFERROR(__xludf.DUMMYFUNCTION("IMPORTRANGE(""https://docs.google.com/spreadsheets/d/1rOGZhKHVnDGFqGTO7UNOJSkSJyQwVuEb2-yhWQit7lw/edit?gid=1839445998#gid=1839445998"", address(row($D34),column($D34),,,""UHV-P""))"),17)</f>
        <v>17</v>
      </c>
      <c r="G36" s="8">
        <f t="shared" ca="1" si="3"/>
        <v>77.272727272727266</v>
      </c>
      <c r="H36" s="5">
        <f ca="1">IFERROR(__xludf.DUMMYFUNCTION("IMPORTRANGE(""https://docs.google.com/spreadsheets/d/1rOGZhKHVnDGFqGTO7UNOJSkSJyQwVuEb2-yhWQit7lw/edit?gid=1415582716#gid=1415582716"", address(row($D34),column($D34),,,""DL&amp;CO-P""))"),15)</f>
        <v>15</v>
      </c>
      <c r="I36" s="8">
        <f t="shared" ca="1" si="4"/>
        <v>78.94736842105263</v>
      </c>
      <c r="J36" s="5">
        <f ca="1">IFERROR(__xludf.DUMMYFUNCTION("IMPORTRANGE(""https://docs.google.com/spreadsheets/d/1rOGZhKHVnDGFqGTO7UNOJSkSJyQwVuEb2-yhWQit7lw/edit?gid=412846422#gid=412846422"", address(row($D34),column($D34),,,""ADSA-P""))"),30)</f>
        <v>30</v>
      </c>
      <c r="K36" s="8">
        <f t="shared" ca="1" si="5"/>
        <v>68.181818181818173</v>
      </c>
      <c r="L36" s="5">
        <f ca="1">IFERROR(__xludf.DUMMYFUNCTION("IMPORTRANGE(""https://docs.google.com/spreadsheets/d/1rOGZhKHVnDGFqGTO7UNOJSkSJyQwVuEb2-yhWQit7lw/edit?gid=1092082017#gid=1092082017"", address(row($D34),column($D34),,,""JAVA-P""))"),14)</f>
        <v>14</v>
      </c>
      <c r="M36" s="8">
        <f t="shared" ca="1" si="6"/>
        <v>87.5</v>
      </c>
      <c r="N36" s="5">
        <f ca="1">IFERROR(__xludf.DUMMYFUNCTION("IMPORTRANGE(""https://docs.google.com/spreadsheets/d/1rOGZhKHVnDGFqGTO7UNOJSkSJyQwVuEb2-yhWQit7lw/edit?gid=1379505903#gid=1379505903"", address(row($D34),column($D34),,,""FOSS LAB-P""))"),9)</f>
        <v>9</v>
      </c>
      <c r="O36" s="8">
        <f t="shared" ca="1" si="7"/>
        <v>75</v>
      </c>
      <c r="P36" s="5">
        <f ca="1">IFERROR(__xludf.DUMMYFUNCTION("IMPORTRANGE(""https://docs.google.com/spreadsheets/d/1rOGZhKHVnDGFqGTO7UNOJSkSJyQwVuEb2-yhWQit7lw/edit?gid=434615646#gid=434615646"", address(row($D34),column($D34),,,""PP-P""))"),20)</f>
        <v>20</v>
      </c>
      <c r="Q36" s="8">
        <f t="shared" ca="1" si="8"/>
        <v>71.428571428571431</v>
      </c>
      <c r="R36" s="5">
        <f ca="1">IFERROR(__xludf.DUMMYFUNCTION("IMPORTRANGE(""https://docs.google.com/spreadsheets/d/1rOGZhKHVnDGFqGTO7UNOJSkSJyQwVuEb2-yhWQit7lw/edit?gid=1663742830#gid=1663742830"", address(row($D34),column($D34),,,""NPTEL-P""))"),8)</f>
        <v>8</v>
      </c>
      <c r="S36" s="5">
        <f t="shared" ca="1" si="9"/>
        <v>66.666666666666657</v>
      </c>
      <c r="T36" s="6">
        <f ca="1">IFERROR(__xludf.DUMMYFUNCTION("IMPORTRANGE(""https://docs.google.com/spreadsheets/d/1rOGZhKHVnDGFqGTO7UNOJSkSJyQwVuEb2-yhWQit7lw/edit?gid=227426469#gid=227426469"", address(row($D34),column($D34),,,""CRT-P""))"),0)</f>
        <v>0</v>
      </c>
      <c r="U36" s="8" t="e">
        <f t="shared" ca="1" si="10"/>
        <v>#DIV/0!</v>
      </c>
      <c r="V36" s="6">
        <f t="shared" ca="1" si="0"/>
        <v>113</v>
      </c>
      <c r="W36" s="4">
        <f t="shared" ca="1" si="11"/>
        <v>74</v>
      </c>
      <c r="X36" s="4">
        <v>0</v>
      </c>
      <c r="Y36" s="4">
        <v>0</v>
      </c>
      <c r="Z36" s="4">
        <f t="shared" ca="1" si="1"/>
        <v>113</v>
      </c>
      <c r="AA36" s="10">
        <f t="shared" ca="1" si="12"/>
        <v>74</v>
      </c>
    </row>
    <row r="37" spans="1:27" ht="15.85" customHeight="1" x14ac:dyDescent="0.35">
      <c r="A37" s="8">
        <v>32</v>
      </c>
      <c r="B37" s="9" t="s">
        <v>519</v>
      </c>
      <c r="C37" s="21" t="s">
        <v>520</v>
      </c>
      <c r="D37" s="5">
        <f ca="1">IFERROR(__xludf.DUMMYFUNCTION("IMPORTRANGE(""https://docs.google.com/spreadsheets/d/1rOGZhKHVnDGFqGTO7UNOJSkSJyQwVuEb2-yhWQit7lw/edit?gid=1294109558#gid=1294109558"", address(row($D35),column($D35),,,""DM&amp;GT-P""))"),0)</f>
        <v>0</v>
      </c>
      <c r="E37" s="8" t="e">
        <f t="shared" ca="1" si="2"/>
        <v>#DIV/0!</v>
      </c>
      <c r="F37" s="5">
        <f ca="1">IFERROR(__xludf.DUMMYFUNCTION("IMPORTRANGE(""https://docs.google.com/spreadsheets/d/1rOGZhKHVnDGFqGTO7UNOJSkSJyQwVuEb2-yhWQit7lw/edit?gid=1839445998#gid=1839445998"", address(row($D35),column($D35),,,""UHV-P""))"),17)</f>
        <v>17</v>
      </c>
      <c r="G37" s="8">
        <f t="shared" ca="1" si="3"/>
        <v>77.272727272727266</v>
      </c>
      <c r="H37" s="5">
        <f ca="1">IFERROR(__xludf.DUMMYFUNCTION("IMPORTRANGE(""https://docs.google.com/spreadsheets/d/1rOGZhKHVnDGFqGTO7UNOJSkSJyQwVuEb2-yhWQit7lw/edit?gid=1415582716#gid=1415582716"", address(row($D35),column($D35),,,""DL&amp;CO-P""))"),13)</f>
        <v>13</v>
      </c>
      <c r="I37" s="8">
        <f t="shared" ca="1" si="4"/>
        <v>68.421052631578945</v>
      </c>
      <c r="J37" s="5">
        <f ca="1">IFERROR(__xludf.DUMMYFUNCTION("IMPORTRANGE(""https://docs.google.com/spreadsheets/d/1rOGZhKHVnDGFqGTO7UNOJSkSJyQwVuEb2-yhWQit7lw/edit?gid=412846422#gid=412846422"", address(row($D35),column($D35),,,""ADSA-P""))"),24)</f>
        <v>24</v>
      </c>
      <c r="K37" s="8">
        <f t="shared" ca="1" si="5"/>
        <v>54.54545454545454</v>
      </c>
      <c r="L37" s="5">
        <f ca="1">IFERROR(__xludf.DUMMYFUNCTION("IMPORTRANGE(""https://docs.google.com/spreadsheets/d/1rOGZhKHVnDGFqGTO7UNOJSkSJyQwVuEb2-yhWQit7lw/edit?gid=1092082017#gid=1092082017"", address(row($D35),column($D35),,,""JAVA-P""))"),8)</f>
        <v>8</v>
      </c>
      <c r="M37" s="8">
        <f t="shared" ca="1" si="6"/>
        <v>50</v>
      </c>
      <c r="N37" s="5">
        <f ca="1">IFERROR(__xludf.DUMMYFUNCTION("IMPORTRANGE(""https://docs.google.com/spreadsheets/d/1rOGZhKHVnDGFqGTO7UNOJSkSJyQwVuEb2-yhWQit7lw/edit?gid=1379505903#gid=1379505903"", address(row($D35),column($D35),,,""FOSS LAB-P""))"),9)</f>
        <v>9</v>
      </c>
      <c r="O37" s="8">
        <f t="shared" ca="1" si="7"/>
        <v>75</v>
      </c>
      <c r="P37" s="5">
        <f ca="1">IFERROR(__xludf.DUMMYFUNCTION("IMPORTRANGE(""https://docs.google.com/spreadsheets/d/1rOGZhKHVnDGFqGTO7UNOJSkSJyQwVuEb2-yhWQit7lw/edit?gid=434615646#gid=434615646"", address(row($D35),column($D35),,,""PP-P""))"),14)</f>
        <v>14</v>
      </c>
      <c r="Q37" s="8">
        <f t="shared" ca="1" si="8"/>
        <v>50</v>
      </c>
      <c r="R37" s="5">
        <f ca="1">IFERROR(__xludf.DUMMYFUNCTION("IMPORTRANGE(""https://docs.google.com/spreadsheets/d/1rOGZhKHVnDGFqGTO7UNOJSkSJyQwVuEb2-yhWQit7lw/edit?gid=1663742830#gid=1663742830"", address(row($D35),column($D35),,,""NPTEL-P""))"),10)</f>
        <v>10</v>
      </c>
      <c r="S37" s="5">
        <f t="shared" ca="1" si="9"/>
        <v>83.333333333333343</v>
      </c>
      <c r="T37" s="6">
        <f ca="1">IFERROR(__xludf.DUMMYFUNCTION("IMPORTRANGE(""https://docs.google.com/spreadsheets/d/1rOGZhKHVnDGFqGTO7UNOJSkSJyQwVuEb2-yhWQit7lw/edit?gid=227426469#gid=227426469"", address(row($D35),column($D35),,,""CRT-P""))"),0)</f>
        <v>0</v>
      </c>
      <c r="U37" s="8" t="e">
        <f t="shared" ca="1" si="10"/>
        <v>#DIV/0!</v>
      </c>
      <c r="V37" s="6">
        <f t="shared" ca="1" si="0"/>
        <v>95</v>
      </c>
      <c r="W37" s="4">
        <f t="shared" ca="1" si="11"/>
        <v>62</v>
      </c>
      <c r="X37" s="4">
        <v>0</v>
      </c>
      <c r="Y37" s="4">
        <v>0</v>
      </c>
      <c r="Z37" s="4">
        <f t="shared" ca="1" si="1"/>
        <v>95</v>
      </c>
      <c r="AA37" s="10">
        <f t="shared" ca="1" si="12"/>
        <v>62</v>
      </c>
    </row>
    <row r="38" spans="1:27" ht="15.85" customHeight="1" x14ac:dyDescent="0.35">
      <c r="A38" s="8">
        <v>33</v>
      </c>
      <c r="B38" s="9" t="s">
        <v>521</v>
      </c>
      <c r="C38" s="21" t="s">
        <v>522</v>
      </c>
      <c r="D38" s="5">
        <f ca="1">IFERROR(__xludf.DUMMYFUNCTION("IMPORTRANGE(""https://docs.google.com/spreadsheets/d/1rOGZhKHVnDGFqGTO7UNOJSkSJyQwVuEb2-yhWQit7lw/edit?gid=1294109558#gid=1294109558"", address(row($D36),column($D36),,,""DM&amp;GT-P""))"),0)</f>
        <v>0</v>
      </c>
      <c r="E38" s="8" t="e">
        <f t="shared" ca="1" si="2"/>
        <v>#DIV/0!</v>
      </c>
      <c r="F38" s="5">
        <f ca="1">IFERROR(__xludf.DUMMYFUNCTION("IMPORTRANGE(""https://docs.google.com/spreadsheets/d/1rOGZhKHVnDGFqGTO7UNOJSkSJyQwVuEb2-yhWQit7lw/edit?gid=1839445998#gid=1839445998"", address(row($D36),column($D36),,,""UHV-P""))"),19)</f>
        <v>19</v>
      </c>
      <c r="G38" s="8">
        <f t="shared" ca="1" si="3"/>
        <v>86.36363636363636</v>
      </c>
      <c r="H38" s="5">
        <f ca="1">IFERROR(__xludf.DUMMYFUNCTION("IMPORTRANGE(""https://docs.google.com/spreadsheets/d/1rOGZhKHVnDGFqGTO7UNOJSkSJyQwVuEb2-yhWQit7lw/edit?gid=1415582716#gid=1415582716"", address(row($D36),column($D36),,,""DL&amp;CO-P""))"),16)</f>
        <v>16</v>
      </c>
      <c r="I38" s="8">
        <f t="shared" ca="1" si="4"/>
        <v>84.210526315789465</v>
      </c>
      <c r="J38" s="5">
        <f ca="1">IFERROR(__xludf.DUMMYFUNCTION("IMPORTRANGE(""https://docs.google.com/spreadsheets/d/1rOGZhKHVnDGFqGTO7UNOJSkSJyQwVuEb2-yhWQit7lw/edit?gid=412846422#gid=412846422"", address(row($D36),column($D36),,,""ADSA-P""))"),34)</f>
        <v>34</v>
      </c>
      <c r="K38" s="8">
        <f t="shared" ca="1" si="5"/>
        <v>77.272727272727266</v>
      </c>
      <c r="L38" s="5">
        <f ca="1">IFERROR(__xludf.DUMMYFUNCTION("IMPORTRANGE(""https://docs.google.com/spreadsheets/d/1rOGZhKHVnDGFqGTO7UNOJSkSJyQwVuEb2-yhWQit7lw/edit?gid=1092082017#gid=1092082017"", address(row($D36),column($D36),,,""JAVA-P""))"),16)</f>
        <v>16</v>
      </c>
      <c r="M38" s="8">
        <f t="shared" ca="1" si="6"/>
        <v>100</v>
      </c>
      <c r="N38" s="5">
        <f ca="1">IFERROR(__xludf.DUMMYFUNCTION("IMPORTRANGE(""https://docs.google.com/spreadsheets/d/1rOGZhKHVnDGFqGTO7UNOJSkSJyQwVuEb2-yhWQit7lw/edit?gid=1379505903#gid=1379505903"", address(row($D36),column($D36),,,""FOSS LAB-P""))"),6)</f>
        <v>6</v>
      </c>
      <c r="O38" s="8">
        <f t="shared" ca="1" si="7"/>
        <v>50</v>
      </c>
      <c r="P38" s="5">
        <f ca="1">IFERROR(__xludf.DUMMYFUNCTION("IMPORTRANGE(""https://docs.google.com/spreadsheets/d/1rOGZhKHVnDGFqGTO7UNOJSkSJyQwVuEb2-yhWQit7lw/edit?gid=434615646#gid=434615646"", address(row($D36),column($D36),,,""PP-P""))"),20)</f>
        <v>20</v>
      </c>
      <c r="Q38" s="8">
        <f t="shared" ca="1" si="8"/>
        <v>71.428571428571431</v>
      </c>
      <c r="R38" s="5">
        <f ca="1">IFERROR(__xludf.DUMMYFUNCTION("IMPORTRANGE(""https://docs.google.com/spreadsheets/d/1rOGZhKHVnDGFqGTO7UNOJSkSJyQwVuEb2-yhWQit7lw/edit?gid=1663742830#gid=1663742830"", address(row($D36),column($D36),,,""NPTEL-P""))"),8)</f>
        <v>8</v>
      </c>
      <c r="S38" s="5">
        <f t="shared" ca="1" si="9"/>
        <v>66.666666666666657</v>
      </c>
      <c r="T38" s="6">
        <f ca="1">IFERROR(__xludf.DUMMYFUNCTION("IMPORTRANGE(""https://docs.google.com/spreadsheets/d/1rOGZhKHVnDGFqGTO7UNOJSkSJyQwVuEb2-yhWQit7lw/edit?gid=227426469#gid=227426469"", address(row($D36),column($D36),,,""CRT-P""))"),0)</f>
        <v>0</v>
      </c>
      <c r="U38" s="8" t="e">
        <f t="shared" ca="1" si="10"/>
        <v>#DIV/0!</v>
      </c>
      <c r="V38" s="6">
        <f t="shared" ca="1" si="0"/>
        <v>119</v>
      </c>
      <c r="W38" s="4">
        <f t="shared" ca="1" si="11"/>
        <v>78</v>
      </c>
      <c r="X38" s="4">
        <v>0</v>
      </c>
      <c r="Y38" s="4">
        <v>0</v>
      </c>
      <c r="Z38" s="4">
        <f t="shared" ca="1" si="1"/>
        <v>119</v>
      </c>
      <c r="AA38" s="10">
        <f t="shared" ca="1" si="12"/>
        <v>78</v>
      </c>
    </row>
    <row r="39" spans="1:27" ht="15.85" customHeight="1" x14ac:dyDescent="0.35">
      <c r="A39" s="8">
        <v>34</v>
      </c>
      <c r="B39" s="9" t="s">
        <v>523</v>
      </c>
      <c r="C39" s="21" t="s">
        <v>524</v>
      </c>
      <c r="D39" s="5">
        <f ca="1">IFERROR(__xludf.DUMMYFUNCTION("IMPORTRANGE(""https://docs.google.com/spreadsheets/d/1rOGZhKHVnDGFqGTO7UNOJSkSJyQwVuEb2-yhWQit7lw/edit?gid=1294109558#gid=1294109558"", address(row($D37),column($D37),,,""DM&amp;GT-P""))"),0)</f>
        <v>0</v>
      </c>
      <c r="E39" s="8" t="e">
        <f t="shared" ca="1" si="2"/>
        <v>#DIV/0!</v>
      </c>
      <c r="F39" s="5">
        <f ca="1">IFERROR(__xludf.DUMMYFUNCTION("IMPORTRANGE(""https://docs.google.com/spreadsheets/d/1rOGZhKHVnDGFqGTO7UNOJSkSJyQwVuEb2-yhWQit7lw/edit?gid=1839445998#gid=1839445998"", address(row($D37),column($D37),,,""UHV-P""))"),20)</f>
        <v>20</v>
      </c>
      <c r="G39" s="8">
        <f t="shared" ca="1" si="3"/>
        <v>90.909090909090907</v>
      </c>
      <c r="H39" s="5">
        <f ca="1">IFERROR(__xludf.DUMMYFUNCTION("IMPORTRANGE(""https://docs.google.com/spreadsheets/d/1rOGZhKHVnDGFqGTO7UNOJSkSJyQwVuEb2-yhWQit7lw/edit?gid=1415582716#gid=1415582716"", address(row($D37),column($D37),,,""DL&amp;CO-P""))"),18)</f>
        <v>18</v>
      </c>
      <c r="I39" s="8">
        <f t="shared" ca="1" si="4"/>
        <v>94.73684210526315</v>
      </c>
      <c r="J39" s="5">
        <f ca="1">IFERROR(__xludf.DUMMYFUNCTION("IMPORTRANGE(""https://docs.google.com/spreadsheets/d/1rOGZhKHVnDGFqGTO7UNOJSkSJyQwVuEb2-yhWQit7lw/edit?gid=412846422#gid=412846422"", address(row($D37),column($D37),,,""ADSA-P""))"),40)</f>
        <v>40</v>
      </c>
      <c r="K39" s="8">
        <f t="shared" ca="1" si="5"/>
        <v>90.909090909090907</v>
      </c>
      <c r="L39" s="5">
        <f ca="1">IFERROR(__xludf.DUMMYFUNCTION("IMPORTRANGE(""https://docs.google.com/spreadsheets/d/1rOGZhKHVnDGFqGTO7UNOJSkSJyQwVuEb2-yhWQit7lw/edit?gid=1092082017#gid=1092082017"", address(row($D37),column($D37),,,""JAVA-P""))"),16)</f>
        <v>16</v>
      </c>
      <c r="M39" s="8">
        <f t="shared" ca="1" si="6"/>
        <v>100</v>
      </c>
      <c r="N39" s="5">
        <f ca="1">IFERROR(__xludf.DUMMYFUNCTION("IMPORTRANGE(""https://docs.google.com/spreadsheets/d/1rOGZhKHVnDGFqGTO7UNOJSkSJyQwVuEb2-yhWQit7lw/edit?gid=1379505903#gid=1379505903"", address(row($D37),column($D37),,,""FOSS LAB-P""))"),12)</f>
        <v>12</v>
      </c>
      <c r="O39" s="8">
        <f t="shared" ca="1" si="7"/>
        <v>100</v>
      </c>
      <c r="P39" s="5">
        <f ca="1">IFERROR(__xludf.DUMMYFUNCTION("IMPORTRANGE(""https://docs.google.com/spreadsheets/d/1rOGZhKHVnDGFqGTO7UNOJSkSJyQwVuEb2-yhWQit7lw/edit?gid=434615646#gid=434615646"", address(row($D37),column($D37),,,""PP-P""))"),24)</f>
        <v>24</v>
      </c>
      <c r="Q39" s="8">
        <f t="shared" ca="1" si="8"/>
        <v>85.714285714285708</v>
      </c>
      <c r="R39" s="5">
        <f ca="1">IFERROR(__xludf.DUMMYFUNCTION("IMPORTRANGE(""https://docs.google.com/spreadsheets/d/1rOGZhKHVnDGFqGTO7UNOJSkSJyQwVuEb2-yhWQit7lw/edit?gid=1663742830#gid=1663742830"", address(row($D37),column($D37),,,""NPTEL-P""))"),10)</f>
        <v>10</v>
      </c>
      <c r="S39" s="5">
        <f t="shared" ca="1" si="9"/>
        <v>83.333333333333343</v>
      </c>
      <c r="T39" s="6">
        <f ca="1">IFERROR(__xludf.DUMMYFUNCTION("IMPORTRANGE(""https://docs.google.com/spreadsheets/d/1rOGZhKHVnDGFqGTO7UNOJSkSJyQwVuEb2-yhWQit7lw/edit?gid=227426469#gid=227426469"", address(row($D37),column($D37),,,""CRT-P""))"),0)</f>
        <v>0</v>
      </c>
      <c r="U39" s="8" t="e">
        <f t="shared" ca="1" si="10"/>
        <v>#DIV/0!</v>
      </c>
      <c r="V39" s="6">
        <f t="shared" ca="1" si="0"/>
        <v>140</v>
      </c>
      <c r="W39" s="4">
        <f t="shared" ca="1" si="11"/>
        <v>92</v>
      </c>
      <c r="X39" s="4">
        <v>0</v>
      </c>
      <c r="Y39" s="4">
        <v>0</v>
      </c>
      <c r="Z39" s="4">
        <f t="shared" ca="1" si="1"/>
        <v>140</v>
      </c>
      <c r="AA39" s="10">
        <f t="shared" ca="1" si="12"/>
        <v>92</v>
      </c>
    </row>
    <row r="40" spans="1:27" ht="15.85" customHeight="1" x14ac:dyDescent="0.35">
      <c r="A40" s="8">
        <v>35</v>
      </c>
      <c r="B40" s="9" t="s">
        <v>525</v>
      </c>
      <c r="C40" s="21" t="s">
        <v>526</v>
      </c>
      <c r="D40" s="5">
        <f ca="1">IFERROR(__xludf.DUMMYFUNCTION("IMPORTRANGE(""https://docs.google.com/spreadsheets/d/1rOGZhKHVnDGFqGTO7UNOJSkSJyQwVuEb2-yhWQit7lw/edit?gid=1294109558#gid=1294109558"", address(row($D38),column($D38),,,""DM&amp;GT-P""))"),0)</f>
        <v>0</v>
      </c>
      <c r="E40" s="8" t="e">
        <f t="shared" ca="1" si="2"/>
        <v>#DIV/0!</v>
      </c>
      <c r="F40" s="5">
        <f ca="1">IFERROR(__xludf.DUMMYFUNCTION("IMPORTRANGE(""https://docs.google.com/spreadsheets/d/1rOGZhKHVnDGFqGTO7UNOJSkSJyQwVuEb2-yhWQit7lw/edit?gid=1839445998#gid=1839445998"", address(row($D38),column($D38),,,""UHV-P""))"),16)</f>
        <v>16</v>
      </c>
      <c r="G40" s="8">
        <f t="shared" ca="1" si="3"/>
        <v>72.727272727272734</v>
      </c>
      <c r="H40" s="5">
        <f ca="1">IFERROR(__xludf.DUMMYFUNCTION("IMPORTRANGE(""https://docs.google.com/spreadsheets/d/1rOGZhKHVnDGFqGTO7UNOJSkSJyQwVuEb2-yhWQit7lw/edit?gid=1415582716#gid=1415582716"", address(row($D38),column($D38),,,""DL&amp;CO-P""))"),15)</f>
        <v>15</v>
      </c>
      <c r="I40" s="8">
        <f t="shared" ca="1" si="4"/>
        <v>78.94736842105263</v>
      </c>
      <c r="J40" s="5">
        <f ca="1">IFERROR(__xludf.DUMMYFUNCTION("IMPORTRANGE(""https://docs.google.com/spreadsheets/d/1rOGZhKHVnDGFqGTO7UNOJSkSJyQwVuEb2-yhWQit7lw/edit?gid=412846422#gid=412846422"", address(row($D38),column($D38),,,""ADSA-P""))"),24)</f>
        <v>24</v>
      </c>
      <c r="K40" s="8">
        <f t="shared" ca="1" si="5"/>
        <v>54.54545454545454</v>
      </c>
      <c r="L40" s="5">
        <f ca="1">IFERROR(__xludf.DUMMYFUNCTION("IMPORTRANGE(""https://docs.google.com/spreadsheets/d/1rOGZhKHVnDGFqGTO7UNOJSkSJyQwVuEb2-yhWQit7lw/edit?gid=1092082017#gid=1092082017"", address(row($D38),column($D38),,,""JAVA-P""))"),10)</f>
        <v>10</v>
      </c>
      <c r="M40" s="8">
        <f t="shared" ca="1" si="6"/>
        <v>62.5</v>
      </c>
      <c r="N40" s="5">
        <f ca="1">IFERROR(__xludf.DUMMYFUNCTION("IMPORTRANGE(""https://docs.google.com/spreadsheets/d/1rOGZhKHVnDGFqGTO7UNOJSkSJyQwVuEb2-yhWQit7lw/edit?gid=1379505903#gid=1379505903"", address(row($D38),column($D38),,,""FOSS LAB-P""))"),12)</f>
        <v>12</v>
      </c>
      <c r="O40" s="8">
        <f t="shared" ca="1" si="7"/>
        <v>100</v>
      </c>
      <c r="P40" s="5">
        <f ca="1">IFERROR(__xludf.DUMMYFUNCTION("IMPORTRANGE(""https://docs.google.com/spreadsheets/d/1rOGZhKHVnDGFqGTO7UNOJSkSJyQwVuEb2-yhWQit7lw/edit?gid=434615646#gid=434615646"", address(row($D38),column($D38),,,""PP-P""))"),18)</f>
        <v>18</v>
      </c>
      <c r="Q40" s="8">
        <f t="shared" ca="1" si="8"/>
        <v>64.285714285714292</v>
      </c>
      <c r="R40" s="5">
        <f ca="1">IFERROR(__xludf.DUMMYFUNCTION("IMPORTRANGE(""https://docs.google.com/spreadsheets/d/1rOGZhKHVnDGFqGTO7UNOJSkSJyQwVuEb2-yhWQit7lw/edit?gid=1663742830#gid=1663742830"", address(row($D38),column($D38),,,""NPTEL-P""))"),12)</f>
        <v>12</v>
      </c>
      <c r="S40" s="5">
        <f t="shared" ca="1" si="9"/>
        <v>100</v>
      </c>
      <c r="T40" s="6">
        <f ca="1">IFERROR(__xludf.DUMMYFUNCTION("IMPORTRANGE(""https://docs.google.com/spreadsheets/d/1rOGZhKHVnDGFqGTO7UNOJSkSJyQwVuEb2-yhWQit7lw/edit?gid=227426469#gid=227426469"", address(row($D38),column($D38),,,""CRT-P""))"),0)</f>
        <v>0</v>
      </c>
      <c r="U40" s="8" t="e">
        <f t="shared" ca="1" si="10"/>
        <v>#DIV/0!</v>
      </c>
      <c r="V40" s="6">
        <f t="shared" ca="1" si="0"/>
        <v>107</v>
      </c>
      <c r="W40" s="4">
        <f t="shared" ca="1" si="11"/>
        <v>70</v>
      </c>
      <c r="X40" s="4">
        <v>0</v>
      </c>
      <c r="Y40" s="4">
        <v>0</v>
      </c>
      <c r="Z40" s="4">
        <f t="shared" ca="1" si="1"/>
        <v>107</v>
      </c>
      <c r="AA40" s="10">
        <f t="shared" ca="1" si="12"/>
        <v>70</v>
      </c>
    </row>
    <row r="41" spans="1:27" ht="15.85" customHeight="1" x14ac:dyDescent="0.35">
      <c r="A41" s="8">
        <v>36</v>
      </c>
      <c r="B41" s="9" t="s">
        <v>527</v>
      </c>
      <c r="C41" s="22" t="s">
        <v>528</v>
      </c>
      <c r="D41" s="5">
        <f ca="1">IFERROR(__xludf.DUMMYFUNCTION("IMPORTRANGE(""https://docs.google.com/spreadsheets/d/1rOGZhKHVnDGFqGTO7UNOJSkSJyQwVuEb2-yhWQit7lw/edit?gid=1294109558#gid=1294109558"", address(row($D39),column($D39),,,""DM&amp;GT-P""))"),0)</f>
        <v>0</v>
      </c>
      <c r="E41" s="8" t="e">
        <f t="shared" ca="1" si="2"/>
        <v>#DIV/0!</v>
      </c>
      <c r="F41" s="5">
        <f ca="1">IFERROR(__xludf.DUMMYFUNCTION("IMPORTRANGE(""https://docs.google.com/spreadsheets/d/1rOGZhKHVnDGFqGTO7UNOJSkSJyQwVuEb2-yhWQit7lw/edit?gid=1839445998#gid=1839445998"", address(row($D39),column($D39),,,""UHV-P""))"),18)</f>
        <v>18</v>
      </c>
      <c r="G41" s="8">
        <f t="shared" ca="1" si="3"/>
        <v>81.818181818181827</v>
      </c>
      <c r="H41" s="5">
        <f ca="1">IFERROR(__xludf.DUMMYFUNCTION("IMPORTRANGE(""https://docs.google.com/spreadsheets/d/1rOGZhKHVnDGFqGTO7UNOJSkSJyQwVuEb2-yhWQit7lw/edit?gid=1415582716#gid=1415582716"", address(row($D39),column($D39),,,""DL&amp;CO-P""))"),16)</f>
        <v>16</v>
      </c>
      <c r="I41" s="8">
        <f t="shared" ca="1" si="4"/>
        <v>84.210526315789465</v>
      </c>
      <c r="J41" s="5">
        <f ca="1">IFERROR(__xludf.DUMMYFUNCTION("IMPORTRANGE(""https://docs.google.com/spreadsheets/d/1rOGZhKHVnDGFqGTO7UNOJSkSJyQwVuEb2-yhWQit7lw/edit?gid=412846422#gid=412846422"", address(row($D39),column($D39),,,""ADSA-P""))"),32)</f>
        <v>32</v>
      </c>
      <c r="K41" s="8">
        <f t="shared" ca="1" si="5"/>
        <v>72.727272727272734</v>
      </c>
      <c r="L41" s="5">
        <f ca="1">IFERROR(__xludf.DUMMYFUNCTION("IMPORTRANGE(""https://docs.google.com/spreadsheets/d/1rOGZhKHVnDGFqGTO7UNOJSkSJyQwVuEb2-yhWQit7lw/edit?gid=1092082017#gid=1092082017"", address(row($D39),column($D39),,,""JAVA-P""))"),14)</f>
        <v>14</v>
      </c>
      <c r="M41" s="8">
        <f t="shared" ca="1" si="6"/>
        <v>87.5</v>
      </c>
      <c r="N41" s="5">
        <f ca="1">IFERROR(__xludf.DUMMYFUNCTION("IMPORTRANGE(""https://docs.google.com/spreadsheets/d/1rOGZhKHVnDGFqGTO7UNOJSkSJyQwVuEb2-yhWQit7lw/edit?gid=1379505903#gid=1379505903"", address(row($D39),column($D39),,,""FOSS LAB-P""))"),12)</f>
        <v>12</v>
      </c>
      <c r="O41" s="8">
        <f t="shared" ca="1" si="7"/>
        <v>100</v>
      </c>
      <c r="P41" s="5">
        <f ca="1">IFERROR(__xludf.DUMMYFUNCTION("IMPORTRANGE(""https://docs.google.com/spreadsheets/d/1rOGZhKHVnDGFqGTO7UNOJSkSJyQwVuEb2-yhWQit7lw/edit?gid=434615646#gid=434615646"", address(row($D39),column($D39),,,""PP-P""))"),20)</f>
        <v>20</v>
      </c>
      <c r="Q41" s="8">
        <f t="shared" ca="1" si="8"/>
        <v>71.428571428571431</v>
      </c>
      <c r="R41" s="5">
        <f ca="1">IFERROR(__xludf.DUMMYFUNCTION("IMPORTRANGE(""https://docs.google.com/spreadsheets/d/1rOGZhKHVnDGFqGTO7UNOJSkSJyQwVuEb2-yhWQit7lw/edit?gid=1663742830#gid=1663742830"", address(row($D39),column($D39),,,""NPTEL-P""))"),10)</f>
        <v>10</v>
      </c>
      <c r="S41" s="5">
        <f t="shared" ca="1" si="9"/>
        <v>83.333333333333343</v>
      </c>
      <c r="T41" s="6">
        <f ca="1">IFERROR(__xludf.DUMMYFUNCTION("IMPORTRANGE(""https://docs.google.com/spreadsheets/d/1rOGZhKHVnDGFqGTO7UNOJSkSJyQwVuEb2-yhWQit7lw/edit?gid=227426469#gid=227426469"", address(row($D39),column($D39),,,""CRT-P""))"),0)</f>
        <v>0</v>
      </c>
      <c r="U41" s="8" t="e">
        <f t="shared" ca="1" si="10"/>
        <v>#DIV/0!</v>
      </c>
      <c r="V41" s="6">
        <f t="shared" ca="1" si="0"/>
        <v>122</v>
      </c>
      <c r="W41" s="4">
        <f t="shared" ca="1" si="11"/>
        <v>80</v>
      </c>
      <c r="X41" s="4">
        <v>0</v>
      </c>
      <c r="Y41" s="4">
        <v>0</v>
      </c>
      <c r="Z41" s="4">
        <f t="shared" ca="1" si="1"/>
        <v>122</v>
      </c>
      <c r="AA41" s="10">
        <f t="shared" ca="1" si="12"/>
        <v>80</v>
      </c>
    </row>
    <row r="42" spans="1:27" ht="15.85" customHeight="1" x14ac:dyDescent="0.35">
      <c r="A42" s="8">
        <v>37</v>
      </c>
      <c r="B42" s="9" t="s">
        <v>529</v>
      </c>
      <c r="C42" s="21" t="s">
        <v>530</v>
      </c>
      <c r="D42" s="5">
        <f ca="1">IFERROR(__xludf.DUMMYFUNCTION("IMPORTRANGE(""https://docs.google.com/spreadsheets/d/1rOGZhKHVnDGFqGTO7UNOJSkSJyQwVuEb2-yhWQit7lw/edit?gid=1294109558#gid=1294109558"", address(row($D40),column($D40),,,""DM&amp;GT-P""))"),0)</f>
        <v>0</v>
      </c>
      <c r="E42" s="8" t="e">
        <f t="shared" ca="1" si="2"/>
        <v>#DIV/0!</v>
      </c>
      <c r="F42" s="5">
        <f ca="1">IFERROR(__xludf.DUMMYFUNCTION("IMPORTRANGE(""https://docs.google.com/spreadsheets/d/1rOGZhKHVnDGFqGTO7UNOJSkSJyQwVuEb2-yhWQit7lw/edit?gid=1839445998#gid=1839445998"", address(row($D40),column($D40),,,""UHV-P""))"),17)</f>
        <v>17</v>
      </c>
      <c r="G42" s="8">
        <f t="shared" ca="1" si="3"/>
        <v>77.272727272727266</v>
      </c>
      <c r="H42" s="5">
        <f ca="1">IFERROR(__xludf.DUMMYFUNCTION("IMPORTRANGE(""https://docs.google.com/spreadsheets/d/1rOGZhKHVnDGFqGTO7UNOJSkSJyQwVuEb2-yhWQit7lw/edit?gid=1415582716#gid=1415582716"", address(row($D40),column($D40),,,""DL&amp;CO-P""))"),16)</f>
        <v>16</v>
      </c>
      <c r="I42" s="8">
        <f t="shared" ca="1" si="4"/>
        <v>84.210526315789465</v>
      </c>
      <c r="J42" s="5">
        <f ca="1">IFERROR(__xludf.DUMMYFUNCTION("IMPORTRANGE(""https://docs.google.com/spreadsheets/d/1rOGZhKHVnDGFqGTO7UNOJSkSJyQwVuEb2-yhWQit7lw/edit?gid=412846422#gid=412846422"", address(row($D40),column($D40),,,""ADSA-P""))"),32)</f>
        <v>32</v>
      </c>
      <c r="K42" s="8">
        <f t="shared" ca="1" si="5"/>
        <v>72.727272727272734</v>
      </c>
      <c r="L42" s="5">
        <f ca="1">IFERROR(__xludf.DUMMYFUNCTION("IMPORTRANGE(""https://docs.google.com/spreadsheets/d/1rOGZhKHVnDGFqGTO7UNOJSkSJyQwVuEb2-yhWQit7lw/edit?gid=1092082017#gid=1092082017"", address(row($D40),column($D40),,,""JAVA-P""))"),12)</f>
        <v>12</v>
      </c>
      <c r="M42" s="8">
        <f t="shared" ca="1" si="6"/>
        <v>75</v>
      </c>
      <c r="N42" s="5">
        <f ca="1">IFERROR(__xludf.DUMMYFUNCTION("IMPORTRANGE(""https://docs.google.com/spreadsheets/d/1rOGZhKHVnDGFqGTO7UNOJSkSJyQwVuEb2-yhWQit7lw/edit?gid=1379505903#gid=1379505903"", address(row($D40),column($D40),,,""FOSS LAB-P""))"),9)</f>
        <v>9</v>
      </c>
      <c r="O42" s="8">
        <f t="shared" ca="1" si="7"/>
        <v>75</v>
      </c>
      <c r="P42" s="5">
        <f ca="1">IFERROR(__xludf.DUMMYFUNCTION("IMPORTRANGE(""https://docs.google.com/spreadsheets/d/1rOGZhKHVnDGFqGTO7UNOJSkSJyQwVuEb2-yhWQit7lw/edit?gid=434615646#gid=434615646"", address(row($D40),column($D40),,,""PP-P""))"),18)</f>
        <v>18</v>
      </c>
      <c r="Q42" s="8">
        <f t="shared" ca="1" si="8"/>
        <v>64.285714285714292</v>
      </c>
      <c r="R42" s="5">
        <f ca="1">IFERROR(__xludf.DUMMYFUNCTION("IMPORTRANGE(""https://docs.google.com/spreadsheets/d/1rOGZhKHVnDGFqGTO7UNOJSkSJyQwVuEb2-yhWQit7lw/edit?gid=1663742830#gid=1663742830"", address(row($D40),column($D40),,,""NPTEL-P""))"),10)</f>
        <v>10</v>
      </c>
      <c r="S42" s="5">
        <f t="shared" ca="1" si="9"/>
        <v>83.333333333333343</v>
      </c>
      <c r="T42" s="6">
        <f ca="1">IFERROR(__xludf.DUMMYFUNCTION("IMPORTRANGE(""https://docs.google.com/spreadsheets/d/1rOGZhKHVnDGFqGTO7UNOJSkSJyQwVuEb2-yhWQit7lw/edit?gid=227426469#gid=227426469"", address(row($D40),column($D40),,,""CRT-P""))"),0)</f>
        <v>0</v>
      </c>
      <c r="U42" s="8" t="e">
        <f t="shared" ca="1" si="10"/>
        <v>#DIV/0!</v>
      </c>
      <c r="V42" s="6">
        <f t="shared" ca="1" si="0"/>
        <v>114</v>
      </c>
      <c r="W42" s="4">
        <f t="shared" ca="1" si="11"/>
        <v>75</v>
      </c>
      <c r="X42" s="4">
        <v>0</v>
      </c>
      <c r="Y42" s="4">
        <v>0</v>
      </c>
      <c r="Z42" s="4">
        <f t="shared" ca="1" si="1"/>
        <v>114</v>
      </c>
      <c r="AA42" s="10">
        <f t="shared" ca="1" si="12"/>
        <v>75</v>
      </c>
    </row>
    <row r="43" spans="1:27" ht="15.85" customHeight="1" x14ac:dyDescent="0.35">
      <c r="A43" s="8">
        <v>38</v>
      </c>
      <c r="B43" s="9" t="s">
        <v>531</v>
      </c>
      <c r="C43" s="21" t="s">
        <v>532</v>
      </c>
      <c r="D43" s="5">
        <f ca="1">IFERROR(__xludf.DUMMYFUNCTION("IMPORTRANGE(""https://docs.google.com/spreadsheets/d/1rOGZhKHVnDGFqGTO7UNOJSkSJyQwVuEb2-yhWQit7lw/edit?gid=1294109558#gid=1294109558"", address(row($D41),column($D41),,,""DM&amp;GT-P""))"),0)</f>
        <v>0</v>
      </c>
      <c r="E43" s="8" t="e">
        <f t="shared" ca="1" si="2"/>
        <v>#DIV/0!</v>
      </c>
      <c r="F43" s="5">
        <f ca="1">IFERROR(__xludf.DUMMYFUNCTION("IMPORTRANGE(""https://docs.google.com/spreadsheets/d/1rOGZhKHVnDGFqGTO7UNOJSkSJyQwVuEb2-yhWQit7lw/edit?gid=1839445998#gid=1839445998"", address(row($D41),column($D41),,,""UHV-P""))"),19)</f>
        <v>19</v>
      </c>
      <c r="G43" s="8">
        <f t="shared" ca="1" si="3"/>
        <v>86.36363636363636</v>
      </c>
      <c r="H43" s="5">
        <f ca="1">IFERROR(__xludf.DUMMYFUNCTION("IMPORTRANGE(""https://docs.google.com/spreadsheets/d/1rOGZhKHVnDGFqGTO7UNOJSkSJyQwVuEb2-yhWQit7lw/edit?gid=1415582716#gid=1415582716"", address(row($D41),column($D41),,,""DL&amp;CO-P""))"),18)</f>
        <v>18</v>
      </c>
      <c r="I43" s="8">
        <f t="shared" ca="1" si="4"/>
        <v>94.73684210526315</v>
      </c>
      <c r="J43" s="5">
        <f ca="1">IFERROR(__xludf.DUMMYFUNCTION("IMPORTRANGE(""https://docs.google.com/spreadsheets/d/1rOGZhKHVnDGFqGTO7UNOJSkSJyQwVuEb2-yhWQit7lw/edit?gid=412846422#gid=412846422"", address(row($D41),column($D41),,,""ADSA-P""))"),30)</f>
        <v>30</v>
      </c>
      <c r="K43" s="8">
        <f t="shared" ca="1" si="5"/>
        <v>68.181818181818173</v>
      </c>
      <c r="L43" s="5">
        <f ca="1">IFERROR(__xludf.DUMMYFUNCTION("IMPORTRANGE(""https://docs.google.com/spreadsheets/d/1rOGZhKHVnDGFqGTO7UNOJSkSJyQwVuEb2-yhWQit7lw/edit?gid=1092082017#gid=1092082017"", address(row($D41),column($D41),,,""JAVA-P""))"),14)</f>
        <v>14</v>
      </c>
      <c r="M43" s="8">
        <f t="shared" ca="1" si="6"/>
        <v>87.5</v>
      </c>
      <c r="N43" s="5">
        <f ca="1">IFERROR(__xludf.DUMMYFUNCTION("IMPORTRANGE(""https://docs.google.com/spreadsheets/d/1rOGZhKHVnDGFqGTO7UNOJSkSJyQwVuEb2-yhWQit7lw/edit?gid=1379505903#gid=1379505903"", address(row($D41),column($D41),,,""FOSS LAB-P""))"),9)</f>
        <v>9</v>
      </c>
      <c r="O43" s="8">
        <f t="shared" ca="1" si="7"/>
        <v>75</v>
      </c>
      <c r="P43" s="5">
        <f ca="1">IFERROR(__xludf.DUMMYFUNCTION("IMPORTRANGE(""https://docs.google.com/spreadsheets/d/1rOGZhKHVnDGFqGTO7UNOJSkSJyQwVuEb2-yhWQit7lw/edit?gid=434615646#gid=434615646"", address(row($D41),column($D41),,,""PP-P""))"),24)</f>
        <v>24</v>
      </c>
      <c r="Q43" s="8">
        <f t="shared" ca="1" si="8"/>
        <v>85.714285714285708</v>
      </c>
      <c r="R43" s="5">
        <f ca="1">IFERROR(__xludf.DUMMYFUNCTION("IMPORTRANGE(""https://docs.google.com/spreadsheets/d/1rOGZhKHVnDGFqGTO7UNOJSkSJyQwVuEb2-yhWQit7lw/edit?gid=1663742830#gid=1663742830"", address(row($D41),column($D41),,,""NPTEL-P""))"),8)</f>
        <v>8</v>
      </c>
      <c r="S43" s="5">
        <f t="shared" ca="1" si="9"/>
        <v>66.666666666666657</v>
      </c>
      <c r="T43" s="6">
        <f ca="1">IFERROR(__xludf.DUMMYFUNCTION("IMPORTRANGE(""https://docs.google.com/spreadsheets/d/1rOGZhKHVnDGFqGTO7UNOJSkSJyQwVuEb2-yhWQit7lw/edit?gid=227426469#gid=227426469"", address(row($D41),column($D41),,,""CRT-P""))"),0)</f>
        <v>0</v>
      </c>
      <c r="U43" s="8" t="e">
        <f t="shared" ca="1" si="10"/>
        <v>#DIV/0!</v>
      </c>
      <c r="V43" s="6">
        <f t="shared" ca="1" si="0"/>
        <v>122</v>
      </c>
      <c r="W43" s="4">
        <f t="shared" ca="1" si="11"/>
        <v>80</v>
      </c>
      <c r="X43" s="4">
        <v>0</v>
      </c>
      <c r="Y43" s="4">
        <v>0</v>
      </c>
      <c r="Z43" s="4">
        <f t="shared" ca="1" si="1"/>
        <v>122</v>
      </c>
      <c r="AA43" s="10">
        <f t="shared" ca="1" si="12"/>
        <v>80</v>
      </c>
    </row>
    <row r="44" spans="1:27" ht="15.85" customHeight="1" x14ac:dyDescent="0.35">
      <c r="A44" s="8">
        <v>39</v>
      </c>
      <c r="B44" s="9" t="s">
        <v>533</v>
      </c>
      <c r="C44" s="21" t="s">
        <v>534</v>
      </c>
      <c r="D44" s="5">
        <f ca="1">IFERROR(__xludf.DUMMYFUNCTION("IMPORTRANGE(""https://docs.google.com/spreadsheets/d/1rOGZhKHVnDGFqGTO7UNOJSkSJyQwVuEb2-yhWQit7lw/edit?gid=1294109558#gid=1294109558"", address(row($D42),column($D42),,,""DM&amp;GT-P""))"),0)</f>
        <v>0</v>
      </c>
      <c r="E44" s="8" t="e">
        <f t="shared" ca="1" si="2"/>
        <v>#DIV/0!</v>
      </c>
      <c r="F44" s="5">
        <f ca="1">IFERROR(__xludf.DUMMYFUNCTION("IMPORTRANGE(""https://docs.google.com/spreadsheets/d/1rOGZhKHVnDGFqGTO7UNOJSkSJyQwVuEb2-yhWQit7lw/edit?gid=1839445998#gid=1839445998"", address(row($D42),column($D42),,,""UHV-P""))"),19)</f>
        <v>19</v>
      </c>
      <c r="G44" s="8">
        <f t="shared" ca="1" si="3"/>
        <v>86.36363636363636</v>
      </c>
      <c r="H44" s="5">
        <f ca="1">IFERROR(__xludf.DUMMYFUNCTION("IMPORTRANGE(""https://docs.google.com/spreadsheets/d/1rOGZhKHVnDGFqGTO7UNOJSkSJyQwVuEb2-yhWQit7lw/edit?gid=1415582716#gid=1415582716"", address(row($D42),column($D42),,,""DL&amp;CO-P""))"),17)</f>
        <v>17</v>
      </c>
      <c r="I44" s="8">
        <f t="shared" ca="1" si="4"/>
        <v>89.473684210526315</v>
      </c>
      <c r="J44" s="5">
        <f ca="1">IFERROR(__xludf.DUMMYFUNCTION("IMPORTRANGE(""https://docs.google.com/spreadsheets/d/1rOGZhKHVnDGFqGTO7UNOJSkSJyQwVuEb2-yhWQit7lw/edit?gid=412846422#gid=412846422"", address(row($D42),column($D42),,,""ADSA-P""))"),34)</f>
        <v>34</v>
      </c>
      <c r="K44" s="8">
        <f t="shared" ca="1" si="5"/>
        <v>77.272727272727266</v>
      </c>
      <c r="L44" s="5">
        <f ca="1">IFERROR(__xludf.DUMMYFUNCTION("IMPORTRANGE(""https://docs.google.com/spreadsheets/d/1rOGZhKHVnDGFqGTO7UNOJSkSJyQwVuEb2-yhWQit7lw/edit?gid=1092082017#gid=1092082017"", address(row($D42),column($D42),,,""JAVA-P""))"),12)</f>
        <v>12</v>
      </c>
      <c r="M44" s="8">
        <f t="shared" ca="1" si="6"/>
        <v>75</v>
      </c>
      <c r="N44" s="5">
        <f ca="1">IFERROR(__xludf.DUMMYFUNCTION("IMPORTRANGE(""https://docs.google.com/spreadsheets/d/1rOGZhKHVnDGFqGTO7UNOJSkSJyQwVuEb2-yhWQit7lw/edit?gid=1379505903#gid=1379505903"", address(row($D42),column($D42),,,""FOSS LAB-P""))"),9)</f>
        <v>9</v>
      </c>
      <c r="O44" s="8">
        <f t="shared" ca="1" si="7"/>
        <v>75</v>
      </c>
      <c r="P44" s="5">
        <f ca="1">IFERROR(__xludf.DUMMYFUNCTION("IMPORTRANGE(""https://docs.google.com/spreadsheets/d/1rOGZhKHVnDGFqGTO7UNOJSkSJyQwVuEb2-yhWQit7lw/edit?gid=434615646#gid=434615646"", address(row($D42),column($D42),,,""PP-P""))"),22)</f>
        <v>22</v>
      </c>
      <c r="Q44" s="8">
        <f t="shared" ca="1" si="8"/>
        <v>78.571428571428569</v>
      </c>
      <c r="R44" s="5">
        <f ca="1">IFERROR(__xludf.DUMMYFUNCTION("IMPORTRANGE(""https://docs.google.com/spreadsheets/d/1rOGZhKHVnDGFqGTO7UNOJSkSJyQwVuEb2-yhWQit7lw/edit?gid=1663742830#gid=1663742830"", address(row($D42),column($D42),,,""NPTEL-P""))"),10)</f>
        <v>10</v>
      </c>
      <c r="S44" s="5">
        <f t="shared" ca="1" si="9"/>
        <v>83.333333333333343</v>
      </c>
      <c r="T44" s="6">
        <f ca="1">IFERROR(__xludf.DUMMYFUNCTION("IMPORTRANGE(""https://docs.google.com/spreadsheets/d/1rOGZhKHVnDGFqGTO7UNOJSkSJyQwVuEb2-yhWQit7lw/edit?gid=227426469#gid=227426469"", address(row($D42),column($D42),,,""CRT-P""))"),0)</f>
        <v>0</v>
      </c>
      <c r="U44" s="8" t="e">
        <f t="shared" ca="1" si="10"/>
        <v>#DIV/0!</v>
      </c>
      <c r="V44" s="6">
        <f t="shared" ca="1" si="0"/>
        <v>123</v>
      </c>
      <c r="W44" s="4">
        <f t="shared" ca="1" si="11"/>
        <v>80</v>
      </c>
      <c r="X44" s="4">
        <v>0</v>
      </c>
      <c r="Y44" s="4">
        <v>0</v>
      </c>
      <c r="Z44" s="4">
        <f t="shared" ca="1" si="1"/>
        <v>123</v>
      </c>
      <c r="AA44" s="10">
        <f t="shared" ca="1" si="12"/>
        <v>80</v>
      </c>
    </row>
    <row r="45" spans="1:27" ht="15.85" customHeight="1" x14ac:dyDescent="0.35">
      <c r="A45" s="8">
        <v>40</v>
      </c>
      <c r="B45" s="9" t="s">
        <v>535</v>
      </c>
      <c r="C45" s="21" t="s">
        <v>536</v>
      </c>
      <c r="D45" s="5">
        <f ca="1">IFERROR(__xludf.DUMMYFUNCTION("IMPORTRANGE(""https://docs.google.com/spreadsheets/d/1rOGZhKHVnDGFqGTO7UNOJSkSJyQwVuEb2-yhWQit7lw/edit?gid=1294109558#gid=1294109558"", address(row($D43),column($D43),,,""DM&amp;GT-P""))"),0)</f>
        <v>0</v>
      </c>
      <c r="E45" s="8" t="e">
        <f t="shared" ca="1" si="2"/>
        <v>#DIV/0!</v>
      </c>
      <c r="F45" s="5">
        <f ca="1">IFERROR(__xludf.DUMMYFUNCTION("IMPORTRANGE(""https://docs.google.com/spreadsheets/d/1rOGZhKHVnDGFqGTO7UNOJSkSJyQwVuEb2-yhWQit7lw/edit?gid=1839445998#gid=1839445998"", address(row($D43),column($D43),,,""UHV-P""))"),0)</f>
        <v>0</v>
      </c>
      <c r="G45" s="8">
        <f t="shared" ca="1" si="3"/>
        <v>0</v>
      </c>
      <c r="H45" s="5">
        <f ca="1">IFERROR(__xludf.DUMMYFUNCTION("IMPORTRANGE(""https://docs.google.com/spreadsheets/d/1rOGZhKHVnDGFqGTO7UNOJSkSJyQwVuEb2-yhWQit7lw/edit?gid=1415582716#gid=1415582716"", address(row($D43),column($D43),,,""DL&amp;CO-P""))"),10)</f>
        <v>10</v>
      </c>
      <c r="I45" s="8">
        <f t="shared" ca="1" si="4"/>
        <v>52.631578947368418</v>
      </c>
      <c r="J45" s="5">
        <f ca="1">IFERROR(__xludf.DUMMYFUNCTION("IMPORTRANGE(""https://docs.google.com/spreadsheets/d/1rOGZhKHVnDGFqGTO7UNOJSkSJyQwVuEb2-yhWQit7lw/edit?gid=412846422#gid=412846422"", address(row($D43),column($D43),,,""ADSA-P""))"),0)</f>
        <v>0</v>
      </c>
      <c r="K45" s="8">
        <f t="shared" ca="1" si="5"/>
        <v>0</v>
      </c>
      <c r="L45" s="5">
        <f ca="1">IFERROR(__xludf.DUMMYFUNCTION("IMPORTRANGE(""https://docs.google.com/spreadsheets/d/1rOGZhKHVnDGFqGTO7UNOJSkSJyQwVuEb2-yhWQit7lw/edit?gid=1092082017#gid=1092082017"", address(row($D43),column($D43),,,""JAVA-P""))"),0)</f>
        <v>0</v>
      </c>
      <c r="M45" s="8">
        <f t="shared" ca="1" si="6"/>
        <v>0</v>
      </c>
      <c r="N45" s="5">
        <f ca="1">IFERROR(__xludf.DUMMYFUNCTION("IMPORTRANGE(""https://docs.google.com/spreadsheets/d/1rOGZhKHVnDGFqGTO7UNOJSkSJyQwVuEb2-yhWQit7lw/edit?gid=1379505903#gid=1379505903"", address(row($D43),column($D43),,,""FOSS LAB-P""))"),0)</f>
        <v>0</v>
      </c>
      <c r="O45" s="8">
        <f t="shared" ca="1" si="7"/>
        <v>0</v>
      </c>
      <c r="P45" s="5">
        <f ca="1">IFERROR(__xludf.DUMMYFUNCTION("IMPORTRANGE(""https://docs.google.com/spreadsheets/d/1rOGZhKHVnDGFqGTO7UNOJSkSJyQwVuEb2-yhWQit7lw/edit?gid=434615646#gid=434615646"", address(row($D43),column($D43),,,""PP-P""))"),0)</f>
        <v>0</v>
      </c>
      <c r="Q45" s="8">
        <f t="shared" ca="1" si="8"/>
        <v>0</v>
      </c>
      <c r="R45" s="5">
        <f ca="1">IFERROR(__xludf.DUMMYFUNCTION("IMPORTRANGE(""https://docs.google.com/spreadsheets/d/1rOGZhKHVnDGFqGTO7UNOJSkSJyQwVuEb2-yhWQit7lw/edit?gid=1663742830#gid=1663742830"", address(row($D43),column($D43),,,""NPTEL-P""))"),0)</f>
        <v>0</v>
      </c>
      <c r="S45" s="5">
        <f t="shared" ca="1" si="9"/>
        <v>0</v>
      </c>
      <c r="T45" s="6">
        <f ca="1">IFERROR(__xludf.DUMMYFUNCTION("IMPORTRANGE(""https://docs.google.com/spreadsheets/d/1rOGZhKHVnDGFqGTO7UNOJSkSJyQwVuEb2-yhWQit7lw/edit?gid=227426469#gid=227426469"", address(row($D43),column($D43),,,""CRT-P""))"),0)</f>
        <v>0</v>
      </c>
      <c r="U45" s="8" t="e">
        <f t="shared" ca="1" si="10"/>
        <v>#DIV/0!</v>
      </c>
      <c r="V45" s="6">
        <f t="shared" ca="1" si="0"/>
        <v>10</v>
      </c>
      <c r="W45" s="4">
        <f t="shared" ca="1" si="11"/>
        <v>7</v>
      </c>
      <c r="X45" s="4">
        <v>0</v>
      </c>
      <c r="Y45" s="4">
        <v>0</v>
      </c>
      <c r="Z45" s="4">
        <f t="shared" ca="1" si="1"/>
        <v>10</v>
      </c>
      <c r="AA45" s="10">
        <f t="shared" ca="1" si="12"/>
        <v>7</v>
      </c>
    </row>
    <row r="46" spans="1:27" ht="15.85" customHeight="1" x14ac:dyDescent="0.35">
      <c r="A46" s="8">
        <v>41</v>
      </c>
      <c r="B46" s="9" t="s">
        <v>537</v>
      </c>
      <c r="C46" s="21" t="s">
        <v>538</v>
      </c>
      <c r="D46" s="5">
        <f ca="1">IFERROR(__xludf.DUMMYFUNCTION("IMPORTRANGE(""https://docs.google.com/spreadsheets/d/1rOGZhKHVnDGFqGTO7UNOJSkSJyQwVuEb2-yhWQit7lw/edit?gid=1294109558#gid=1294109558"", address(row($D44),column($D44),,,""DM&amp;GT-P""))"),0)</f>
        <v>0</v>
      </c>
      <c r="E46" s="8" t="e">
        <f t="shared" ca="1" si="2"/>
        <v>#DIV/0!</v>
      </c>
      <c r="F46" s="5">
        <f ca="1">IFERROR(__xludf.DUMMYFUNCTION("IMPORTRANGE(""https://docs.google.com/spreadsheets/d/1rOGZhKHVnDGFqGTO7UNOJSkSJyQwVuEb2-yhWQit7lw/edit?gid=1839445998#gid=1839445998"", address(row($D44),column($D44),,,""UHV-P""))"),15)</f>
        <v>15</v>
      </c>
      <c r="G46" s="8">
        <f t="shared" ca="1" si="3"/>
        <v>68.181818181818173</v>
      </c>
      <c r="H46" s="5">
        <f ca="1">IFERROR(__xludf.DUMMYFUNCTION("IMPORTRANGE(""https://docs.google.com/spreadsheets/d/1rOGZhKHVnDGFqGTO7UNOJSkSJyQwVuEb2-yhWQit7lw/edit?gid=1415582716#gid=1415582716"", address(row($D44),column($D44),,,""DL&amp;CO-P""))"),13)</f>
        <v>13</v>
      </c>
      <c r="I46" s="8">
        <f t="shared" ca="1" si="4"/>
        <v>68.421052631578945</v>
      </c>
      <c r="J46" s="5">
        <f ca="1">IFERROR(__xludf.DUMMYFUNCTION("IMPORTRANGE(""https://docs.google.com/spreadsheets/d/1rOGZhKHVnDGFqGTO7UNOJSkSJyQwVuEb2-yhWQit7lw/edit?gid=412846422#gid=412846422"", address(row($D44),column($D44),,,""ADSA-P""))"),28)</f>
        <v>28</v>
      </c>
      <c r="K46" s="8">
        <f t="shared" ca="1" si="5"/>
        <v>63.636363636363633</v>
      </c>
      <c r="L46" s="5">
        <f ca="1">IFERROR(__xludf.DUMMYFUNCTION("IMPORTRANGE(""https://docs.google.com/spreadsheets/d/1rOGZhKHVnDGFqGTO7UNOJSkSJyQwVuEb2-yhWQit7lw/edit?gid=1092082017#gid=1092082017"", address(row($D44),column($D44),,,""JAVA-P""))"),14)</f>
        <v>14</v>
      </c>
      <c r="M46" s="8">
        <f t="shared" ca="1" si="6"/>
        <v>87.5</v>
      </c>
      <c r="N46" s="5">
        <f ca="1">IFERROR(__xludf.DUMMYFUNCTION("IMPORTRANGE(""https://docs.google.com/spreadsheets/d/1rOGZhKHVnDGFqGTO7UNOJSkSJyQwVuEb2-yhWQit7lw/edit?gid=1379505903#gid=1379505903"", address(row($D44),column($D44),,,""FOSS LAB-P""))"),9)</f>
        <v>9</v>
      </c>
      <c r="O46" s="8">
        <f t="shared" ca="1" si="7"/>
        <v>75</v>
      </c>
      <c r="P46" s="5">
        <f ca="1">IFERROR(__xludf.DUMMYFUNCTION("IMPORTRANGE(""https://docs.google.com/spreadsheets/d/1rOGZhKHVnDGFqGTO7UNOJSkSJyQwVuEb2-yhWQit7lw/edit?gid=434615646#gid=434615646"", address(row($D44),column($D44),,,""PP-P""))"),18)</f>
        <v>18</v>
      </c>
      <c r="Q46" s="8">
        <f t="shared" ca="1" si="8"/>
        <v>64.285714285714292</v>
      </c>
      <c r="R46" s="5">
        <f ca="1">IFERROR(__xludf.DUMMYFUNCTION("IMPORTRANGE(""https://docs.google.com/spreadsheets/d/1rOGZhKHVnDGFqGTO7UNOJSkSJyQwVuEb2-yhWQit7lw/edit?gid=1663742830#gid=1663742830"", address(row($D44),column($D44),,,""NPTEL-P""))"),6)</f>
        <v>6</v>
      </c>
      <c r="S46" s="5">
        <f t="shared" ca="1" si="9"/>
        <v>50</v>
      </c>
      <c r="T46" s="6">
        <f ca="1">IFERROR(__xludf.DUMMYFUNCTION("IMPORTRANGE(""https://docs.google.com/spreadsheets/d/1rOGZhKHVnDGFqGTO7UNOJSkSJyQwVuEb2-yhWQit7lw/edit?gid=227426469#gid=227426469"", address(row($D44),column($D44),,,""CRT-P""))"),0)</f>
        <v>0</v>
      </c>
      <c r="U46" s="8" t="e">
        <f t="shared" ca="1" si="10"/>
        <v>#DIV/0!</v>
      </c>
      <c r="V46" s="6">
        <f t="shared" ca="1" si="0"/>
        <v>103</v>
      </c>
      <c r="W46" s="4">
        <f t="shared" ca="1" si="11"/>
        <v>67</v>
      </c>
      <c r="X46" s="4">
        <v>0</v>
      </c>
      <c r="Y46" s="4">
        <v>0</v>
      </c>
      <c r="Z46" s="4">
        <f t="shared" ca="1" si="1"/>
        <v>103</v>
      </c>
      <c r="AA46" s="10">
        <f t="shared" ca="1" si="12"/>
        <v>67</v>
      </c>
    </row>
    <row r="47" spans="1:27" ht="15.85" customHeight="1" x14ac:dyDescent="0.35">
      <c r="A47" s="8">
        <v>42</v>
      </c>
      <c r="B47" s="9" t="s">
        <v>539</v>
      </c>
      <c r="C47" s="21" t="s">
        <v>540</v>
      </c>
      <c r="D47" s="5">
        <f ca="1">IFERROR(__xludf.DUMMYFUNCTION("IMPORTRANGE(""https://docs.google.com/spreadsheets/d/1rOGZhKHVnDGFqGTO7UNOJSkSJyQwVuEb2-yhWQit7lw/edit?gid=1294109558#gid=1294109558"", address(row($D45),column($D45),,,""DM&amp;GT-P""))"),0)</f>
        <v>0</v>
      </c>
      <c r="E47" s="8" t="e">
        <f t="shared" ca="1" si="2"/>
        <v>#DIV/0!</v>
      </c>
      <c r="F47" s="5">
        <f ca="1">IFERROR(__xludf.DUMMYFUNCTION("IMPORTRANGE(""https://docs.google.com/spreadsheets/d/1rOGZhKHVnDGFqGTO7UNOJSkSJyQwVuEb2-yhWQit7lw/edit?gid=1839445998#gid=1839445998"", address(row($D45),column($D45),,,""UHV-P""))"),18)</f>
        <v>18</v>
      </c>
      <c r="G47" s="8">
        <f t="shared" ca="1" si="3"/>
        <v>81.818181818181827</v>
      </c>
      <c r="H47" s="5">
        <f ca="1">IFERROR(__xludf.DUMMYFUNCTION("IMPORTRANGE(""https://docs.google.com/spreadsheets/d/1rOGZhKHVnDGFqGTO7UNOJSkSJyQwVuEb2-yhWQit7lw/edit?gid=1415582716#gid=1415582716"", address(row($D45),column($D45),,,""DL&amp;CO-P""))"),16)</f>
        <v>16</v>
      </c>
      <c r="I47" s="8">
        <f t="shared" ca="1" si="4"/>
        <v>84.210526315789465</v>
      </c>
      <c r="J47" s="5">
        <f ca="1">IFERROR(__xludf.DUMMYFUNCTION("IMPORTRANGE(""https://docs.google.com/spreadsheets/d/1rOGZhKHVnDGFqGTO7UNOJSkSJyQwVuEb2-yhWQit7lw/edit?gid=412846422#gid=412846422"", address(row($D45),column($D45),,,""ADSA-P""))"),28)</f>
        <v>28</v>
      </c>
      <c r="K47" s="8">
        <f t="shared" ca="1" si="5"/>
        <v>63.636363636363633</v>
      </c>
      <c r="L47" s="5">
        <f ca="1">IFERROR(__xludf.DUMMYFUNCTION("IMPORTRANGE(""https://docs.google.com/spreadsheets/d/1rOGZhKHVnDGFqGTO7UNOJSkSJyQwVuEb2-yhWQit7lw/edit?gid=1092082017#gid=1092082017"", address(row($D45),column($D45),,,""JAVA-P""))"),16)</f>
        <v>16</v>
      </c>
      <c r="M47" s="8">
        <f t="shared" ca="1" si="6"/>
        <v>100</v>
      </c>
      <c r="N47" s="5">
        <f ca="1">IFERROR(__xludf.DUMMYFUNCTION("IMPORTRANGE(""https://docs.google.com/spreadsheets/d/1rOGZhKHVnDGFqGTO7UNOJSkSJyQwVuEb2-yhWQit7lw/edit?gid=1379505903#gid=1379505903"", address(row($D45),column($D45),,,""FOSS LAB-P""))"),9)</f>
        <v>9</v>
      </c>
      <c r="O47" s="8">
        <f t="shared" ca="1" si="7"/>
        <v>75</v>
      </c>
      <c r="P47" s="5">
        <f ca="1">IFERROR(__xludf.DUMMYFUNCTION("IMPORTRANGE(""https://docs.google.com/spreadsheets/d/1rOGZhKHVnDGFqGTO7UNOJSkSJyQwVuEb2-yhWQit7lw/edit?gid=434615646#gid=434615646"", address(row($D45),column($D45),,,""PP-P""))"),18)</f>
        <v>18</v>
      </c>
      <c r="Q47" s="8">
        <f t="shared" ca="1" si="8"/>
        <v>64.285714285714292</v>
      </c>
      <c r="R47" s="5">
        <f ca="1">IFERROR(__xludf.DUMMYFUNCTION("IMPORTRANGE(""https://docs.google.com/spreadsheets/d/1rOGZhKHVnDGFqGTO7UNOJSkSJyQwVuEb2-yhWQit7lw/edit?gid=1663742830#gid=1663742830"", address(row($D45),column($D45),,,""NPTEL-P""))"),10)</f>
        <v>10</v>
      </c>
      <c r="S47" s="5">
        <f t="shared" ca="1" si="9"/>
        <v>83.333333333333343</v>
      </c>
      <c r="T47" s="6">
        <f ca="1">IFERROR(__xludf.DUMMYFUNCTION("IMPORTRANGE(""https://docs.google.com/spreadsheets/d/1rOGZhKHVnDGFqGTO7UNOJSkSJyQwVuEb2-yhWQit7lw/edit?gid=227426469#gid=227426469"", address(row($D45),column($D45),,,""CRT-P""))"),0)</f>
        <v>0</v>
      </c>
      <c r="U47" s="8" t="e">
        <f t="shared" ca="1" si="10"/>
        <v>#DIV/0!</v>
      </c>
      <c r="V47" s="6">
        <f t="shared" ca="1" si="0"/>
        <v>115</v>
      </c>
      <c r="W47" s="4">
        <f t="shared" ca="1" si="11"/>
        <v>75</v>
      </c>
      <c r="X47" s="4">
        <v>0</v>
      </c>
      <c r="Y47" s="4">
        <v>0</v>
      </c>
      <c r="Z47" s="4">
        <f t="shared" ca="1" si="1"/>
        <v>115</v>
      </c>
      <c r="AA47" s="10">
        <f t="shared" ca="1" si="12"/>
        <v>75</v>
      </c>
    </row>
    <row r="48" spans="1:27" ht="15.85" customHeight="1" x14ac:dyDescent="0.35">
      <c r="A48" s="8">
        <v>43</v>
      </c>
      <c r="B48" s="9" t="s">
        <v>541</v>
      </c>
      <c r="C48" s="21" t="s">
        <v>542</v>
      </c>
      <c r="D48" s="5">
        <f ca="1">IFERROR(__xludf.DUMMYFUNCTION("IMPORTRANGE(""https://docs.google.com/spreadsheets/d/1rOGZhKHVnDGFqGTO7UNOJSkSJyQwVuEb2-yhWQit7lw/edit?gid=1294109558#gid=1294109558"", address(row($D46),column($D46),,,""DM&amp;GT-P""))"),0)</f>
        <v>0</v>
      </c>
      <c r="E48" s="8" t="e">
        <f t="shared" ca="1" si="2"/>
        <v>#DIV/0!</v>
      </c>
      <c r="F48" s="5">
        <f ca="1">IFERROR(__xludf.DUMMYFUNCTION("IMPORTRANGE(""https://docs.google.com/spreadsheets/d/1rOGZhKHVnDGFqGTO7UNOJSkSJyQwVuEb2-yhWQit7lw/edit?gid=1839445998#gid=1839445998"", address(row($D46),column($D46),,,""UHV-P""))"),17)</f>
        <v>17</v>
      </c>
      <c r="G48" s="8">
        <f t="shared" ca="1" si="3"/>
        <v>77.272727272727266</v>
      </c>
      <c r="H48" s="5">
        <f ca="1">IFERROR(__xludf.DUMMYFUNCTION("IMPORTRANGE(""https://docs.google.com/spreadsheets/d/1rOGZhKHVnDGFqGTO7UNOJSkSJyQwVuEb2-yhWQit7lw/edit?gid=1415582716#gid=1415582716"", address(row($D46),column($D46),,,""DL&amp;CO-P""))"),14)</f>
        <v>14</v>
      </c>
      <c r="I48" s="8">
        <f t="shared" ca="1" si="4"/>
        <v>73.68421052631578</v>
      </c>
      <c r="J48" s="5">
        <f ca="1">IFERROR(__xludf.DUMMYFUNCTION("IMPORTRANGE(""https://docs.google.com/spreadsheets/d/1rOGZhKHVnDGFqGTO7UNOJSkSJyQwVuEb2-yhWQit7lw/edit?gid=412846422#gid=412846422"", address(row($D46),column($D46),,,""ADSA-P""))"),26)</f>
        <v>26</v>
      </c>
      <c r="K48" s="8">
        <f t="shared" ca="1" si="5"/>
        <v>59.090909090909093</v>
      </c>
      <c r="L48" s="5">
        <f ca="1">IFERROR(__xludf.DUMMYFUNCTION("IMPORTRANGE(""https://docs.google.com/spreadsheets/d/1rOGZhKHVnDGFqGTO7UNOJSkSJyQwVuEb2-yhWQit7lw/edit?gid=1092082017#gid=1092082017"", address(row($D46),column($D46),,,""JAVA-P""))"),14)</f>
        <v>14</v>
      </c>
      <c r="M48" s="8">
        <f t="shared" ca="1" si="6"/>
        <v>87.5</v>
      </c>
      <c r="N48" s="5">
        <f ca="1">IFERROR(__xludf.DUMMYFUNCTION("IMPORTRANGE(""https://docs.google.com/spreadsheets/d/1rOGZhKHVnDGFqGTO7UNOJSkSJyQwVuEb2-yhWQit7lw/edit?gid=1379505903#gid=1379505903"", address(row($D46),column($D46),,,""FOSS LAB-P""))"),12)</f>
        <v>12</v>
      </c>
      <c r="O48" s="8">
        <f t="shared" ca="1" si="7"/>
        <v>100</v>
      </c>
      <c r="P48" s="5">
        <f ca="1">IFERROR(__xludf.DUMMYFUNCTION("IMPORTRANGE(""https://docs.google.com/spreadsheets/d/1rOGZhKHVnDGFqGTO7UNOJSkSJyQwVuEb2-yhWQit7lw/edit?gid=434615646#gid=434615646"", address(row($D46),column($D46),,,""PP-P""))"),20)</f>
        <v>20</v>
      </c>
      <c r="Q48" s="8">
        <f t="shared" ca="1" si="8"/>
        <v>71.428571428571431</v>
      </c>
      <c r="R48" s="5">
        <f ca="1">IFERROR(__xludf.DUMMYFUNCTION("IMPORTRANGE(""https://docs.google.com/spreadsheets/d/1rOGZhKHVnDGFqGTO7UNOJSkSJyQwVuEb2-yhWQit7lw/edit?gid=1663742830#gid=1663742830"", address(row($D46),column($D46),,,""NPTEL-P""))"),10)</f>
        <v>10</v>
      </c>
      <c r="S48" s="5">
        <f t="shared" ca="1" si="9"/>
        <v>83.333333333333343</v>
      </c>
      <c r="T48" s="6">
        <f ca="1">IFERROR(__xludf.DUMMYFUNCTION("IMPORTRANGE(""https://docs.google.com/spreadsheets/d/1rOGZhKHVnDGFqGTO7UNOJSkSJyQwVuEb2-yhWQit7lw/edit?gid=227426469#gid=227426469"", address(row($D46),column($D46),,,""CRT-P""))"),0)</f>
        <v>0</v>
      </c>
      <c r="U48" s="8" t="e">
        <f t="shared" ca="1" si="10"/>
        <v>#DIV/0!</v>
      </c>
      <c r="V48" s="6">
        <f t="shared" ca="1" si="0"/>
        <v>113</v>
      </c>
      <c r="W48" s="4">
        <f t="shared" ca="1" si="11"/>
        <v>74</v>
      </c>
      <c r="X48" s="4">
        <v>0</v>
      </c>
      <c r="Y48" s="4">
        <v>0</v>
      </c>
      <c r="Z48" s="4">
        <f t="shared" ca="1" si="1"/>
        <v>113</v>
      </c>
      <c r="AA48" s="10">
        <f t="shared" ca="1" si="12"/>
        <v>74</v>
      </c>
    </row>
    <row r="49" spans="1:27" ht="15.85" customHeight="1" x14ac:dyDescent="0.35">
      <c r="A49" s="8">
        <v>44</v>
      </c>
      <c r="B49" s="9" t="s">
        <v>543</v>
      </c>
      <c r="C49" s="21" t="s">
        <v>544</v>
      </c>
      <c r="D49" s="5">
        <f ca="1">IFERROR(__xludf.DUMMYFUNCTION("IMPORTRANGE(""https://docs.google.com/spreadsheets/d/1rOGZhKHVnDGFqGTO7UNOJSkSJyQwVuEb2-yhWQit7lw/edit?gid=1294109558#gid=1294109558"", address(row($D47),column($D47),,,""DM&amp;GT-P""))"),0)</f>
        <v>0</v>
      </c>
      <c r="E49" s="8" t="e">
        <f t="shared" ca="1" si="2"/>
        <v>#DIV/0!</v>
      </c>
      <c r="F49" s="5">
        <f ca="1">IFERROR(__xludf.DUMMYFUNCTION("IMPORTRANGE(""https://docs.google.com/spreadsheets/d/1rOGZhKHVnDGFqGTO7UNOJSkSJyQwVuEb2-yhWQit7lw/edit?gid=1839445998#gid=1839445998"", address(row($D47),column($D47),,,""UHV-P""))"),18)</f>
        <v>18</v>
      </c>
      <c r="G49" s="8">
        <f t="shared" ca="1" si="3"/>
        <v>81.818181818181827</v>
      </c>
      <c r="H49" s="5">
        <f ca="1">IFERROR(__xludf.DUMMYFUNCTION("IMPORTRANGE(""https://docs.google.com/spreadsheets/d/1rOGZhKHVnDGFqGTO7UNOJSkSJyQwVuEb2-yhWQit7lw/edit?gid=1415582716#gid=1415582716"", address(row($D47),column($D47),,,""DL&amp;CO-P""))"),14)</f>
        <v>14</v>
      </c>
      <c r="I49" s="8">
        <f t="shared" ca="1" si="4"/>
        <v>73.68421052631578</v>
      </c>
      <c r="J49" s="5">
        <f ca="1">IFERROR(__xludf.DUMMYFUNCTION("IMPORTRANGE(""https://docs.google.com/spreadsheets/d/1rOGZhKHVnDGFqGTO7UNOJSkSJyQwVuEb2-yhWQit7lw/edit?gid=412846422#gid=412846422"", address(row($D47),column($D47),,,""ADSA-P""))"),24)</f>
        <v>24</v>
      </c>
      <c r="K49" s="8">
        <f t="shared" ca="1" si="5"/>
        <v>54.54545454545454</v>
      </c>
      <c r="L49" s="5">
        <f ca="1">IFERROR(__xludf.DUMMYFUNCTION("IMPORTRANGE(""https://docs.google.com/spreadsheets/d/1rOGZhKHVnDGFqGTO7UNOJSkSJyQwVuEb2-yhWQit7lw/edit?gid=1092082017#gid=1092082017"", address(row($D47),column($D47),,,""JAVA-P""))"),14)</f>
        <v>14</v>
      </c>
      <c r="M49" s="8">
        <f t="shared" ca="1" si="6"/>
        <v>87.5</v>
      </c>
      <c r="N49" s="5">
        <f ca="1">IFERROR(__xludf.DUMMYFUNCTION("IMPORTRANGE(""https://docs.google.com/spreadsheets/d/1rOGZhKHVnDGFqGTO7UNOJSkSJyQwVuEb2-yhWQit7lw/edit?gid=1379505903#gid=1379505903"", address(row($D47),column($D47),,,""FOSS LAB-P""))"),12)</f>
        <v>12</v>
      </c>
      <c r="O49" s="8">
        <f t="shared" ca="1" si="7"/>
        <v>100</v>
      </c>
      <c r="P49" s="5">
        <f ca="1">IFERROR(__xludf.DUMMYFUNCTION("IMPORTRANGE(""https://docs.google.com/spreadsheets/d/1rOGZhKHVnDGFqGTO7UNOJSkSJyQwVuEb2-yhWQit7lw/edit?gid=434615646#gid=434615646"", address(row($D47),column($D47),,,""PP-P""))"),24)</f>
        <v>24</v>
      </c>
      <c r="Q49" s="8">
        <f t="shared" ca="1" si="8"/>
        <v>85.714285714285708</v>
      </c>
      <c r="R49" s="5">
        <f ca="1">IFERROR(__xludf.DUMMYFUNCTION("IMPORTRANGE(""https://docs.google.com/spreadsheets/d/1rOGZhKHVnDGFqGTO7UNOJSkSJyQwVuEb2-yhWQit7lw/edit?gid=1663742830#gid=1663742830"", address(row($D47),column($D47),,,""NPTEL-P""))"),8)</f>
        <v>8</v>
      </c>
      <c r="S49" s="5">
        <f t="shared" ca="1" si="9"/>
        <v>66.666666666666657</v>
      </c>
      <c r="T49" s="6">
        <f ca="1">IFERROR(__xludf.DUMMYFUNCTION("IMPORTRANGE(""https://docs.google.com/spreadsheets/d/1rOGZhKHVnDGFqGTO7UNOJSkSJyQwVuEb2-yhWQit7lw/edit?gid=227426469#gid=227426469"", address(row($D47),column($D47),,,""CRT-P""))"),0)</f>
        <v>0</v>
      </c>
      <c r="U49" s="8" t="e">
        <f t="shared" ca="1" si="10"/>
        <v>#DIV/0!</v>
      </c>
      <c r="V49" s="6">
        <f t="shared" ca="1" si="0"/>
        <v>114</v>
      </c>
      <c r="W49" s="4">
        <f t="shared" ca="1" si="11"/>
        <v>75</v>
      </c>
      <c r="X49" s="4">
        <v>0</v>
      </c>
      <c r="Y49" s="4">
        <v>0</v>
      </c>
      <c r="Z49" s="4">
        <f t="shared" ca="1" si="1"/>
        <v>114</v>
      </c>
      <c r="AA49" s="10">
        <f t="shared" ca="1" si="12"/>
        <v>75</v>
      </c>
    </row>
    <row r="50" spans="1:27" ht="15.85" customHeight="1" x14ac:dyDescent="0.35">
      <c r="A50" s="8">
        <v>45</v>
      </c>
      <c r="B50" s="9" t="s">
        <v>545</v>
      </c>
      <c r="C50" s="21" t="s">
        <v>546</v>
      </c>
      <c r="D50" s="5">
        <f ca="1">IFERROR(__xludf.DUMMYFUNCTION("IMPORTRANGE(""https://docs.google.com/spreadsheets/d/1rOGZhKHVnDGFqGTO7UNOJSkSJyQwVuEb2-yhWQit7lw/edit?gid=1294109558#gid=1294109558"", address(row($D48),column($D48),,,""DM&amp;GT-P""))"),0)</f>
        <v>0</v>
      </c>
      <c r="E50" s="8" t="e">
        <f t="shared" ca="1" si="2"/>
        <v>#DIV/0!</v>
      </c>
      <c r="F50" s="5">
        <f ca="1">IFERROR(__xludf.DUMMYFUNCTION("IMPORTRANGE(""https://docs.google.com/spreadsheets/d/1rOGZhKHVnDGFqGTO7UNOJSkSJyQwVuEb2-yhWQit7lw/edit?gid=1839445998#gid=1839445998"", address(row($D48),column($D48),,,""UHV-P""))"),19)</f>
        <v>19</v>
      </c>
      <c r="G50" s="8">
        <f t="shared" ca="1" si="3"/>
        <v>86.36363636363636</v>
      </c>
      <c r="H50" s="5">
        <f ca="1">IFERROR(__xludf.DUMMYFUNCTION("IMPORTRANGE(""https://docs.google.com/spreadsheets/d/1rOGZhKHVnDGFqGTO7UNOJSkSJyQwVuEb2-yhWQit7lw/edit?gid=1415582716#gid=1415582716"", address(row($D48),column($D48),,,""DL&amp;CO-P""))"),13)</f>
        <v>13</v>
      </c>
      <c r="I50" s="8">
        <f t="shared" ca="1" si="4"/>
        <v>68.421052631578945</v>
      </c>
      <c r="J50" s="5">
        <f ca="1">IFERROR(__xludf.DUMMYFUNCTION("IMPORTRANGE(""https://docs.google.com/spreadsheets/d/1rOGZhKHVnDGFqGTO7UNOJSkSJyQwVuEb2-yhWQit7lw/edit?gid=412846422#gid=412846422"", address(row($D48),column($D48),,,""ADSA-P""))"),28)</f>
        <v>28</v>
      </c>
      <c r="K50" s="8">
        <f t="shared" ca="1" si="5"/>
        <v>63.636363636363633</v>
      </c>
      <c r="L50" s="5">
        <f ca="1">IFERROR(__xludf.DUMMYFUNCTION("IMPORTRANGE(""https://docs.google.com/spreadsheets/d/1rOGZhKHVnDGFqGTO7UNOJSkSJyQwVuEb2-yhWQit7lw/edit?gid=1092082017#gid=1092082017"", address(row($D48),column($D48),,,""JAVA-P""))"),16)</f>
        <v>16</v>
      </c>
      <c r="M50" s="8">
        <f t="shared" ca="1" si="6"/>
        <v>100</v>
      </c>
      <c r="N50" s="5">
        <f ca="1">IFERROR(__xludf.DUMMYFUNCTION("IMPORTRANGE(""https://docs.google.com/spreadsheets/d/1rOGZhKHVnDGFqGTO7UNOJSkSJyQwVuEb2-yhWQit7lw/edit?gid=1379505903#gid=1379505903"", address(row($D48),column($D48),,,""FOSS LAB-P""))"),3)</f>
        <v>3</v>
      </c>
      <c r="O50" s="8">
        <f t="shared" ca="1" si="7"/>
        <v>25</v>
      </c>
      <c r="P50" s="5">
        <f ca="1">IFERROR(__xludf.DUMMYFUNCTION("IMPORTRANGE(""https://docs.google.com/spreadsheets/d/1rOGZhKHVnDGFqGTO7UNOJSkSJyQwVuEb2-yhWQit7lw/edit?gid=434615646#gid=434615646"", address(row($D48),column($D48),,,""PP-P""))"),16)</f>
        <v>16</v>
      </c>
      <c r="Q50" s="8">
        <f t="shared" ca="1" si="8"/>
        <v>57.142857142857139</v>
      </c>
      <c r="R50" s="5">
        <f ca="1">IFERROR(__xludf.DUMMYFUNCTION("IMPORTRANGE(""https://docs.google.com/spreadsheets/d/1rOGZhKHVnDGFqGTO7UNOJSkSJyQwVuEb2-yhWQit7lw/edit?gid=1663742830#gid=1663742830"", address(row($D48),column($D48),,,""NPTEL-P""))"),10)</f>
        <v>10</v>
      </c>
      <c r="S50" s="5">
        <f t="shared" ca="1" si="9"/>
        <v>83.333333333333343</v>
      </c>
      <c r="T50" s="6">
        <f ca="1">IFERROR(__xludf.DUMMYFUNCTION("IMPORTRANGE(""https://docs.google.com/spreadsheets/d/1rOGZhKHVnDGFqGTO7UNOJSkSJyQwVuEb2-yhWQit7lw/edit?gid=227426469#gid=227426469"", address(row($D48),column($D48),,,""CRT-P""))"),0)</f>
        <v>0</v>
      </c>
      <c r="U50" s="8" t="e">
        <f t="shared" ca="1" si="10"/>
        <v>#DIV/0!</v>
      </c>
      <c r="V50" s="6">
        <f t="shared" ca="1" si="0"/>
        <v>105</v>
      </c>
      <c r="W50" s="4">
        <f t="shared" ca="1" si="11"/>
        <v>69</v>
      </c>
      <c r="X50" s="4">
        <v>0</v>
      </c>
      <c r="Y50" s="4">
        <v>0</v>
      </c>
      <c r="Z50" s="4">
        <f t="shared" ca="1" si="1"/>
        <v>105</v>
      </c>
      <c r="AA50" s="10">
        <f t="shared" ca="1" si="12"/>
        <v>69</v>
      </c>
    </row>
    <row r="51" spans="1:27" ht="15.85" customHeight="1" x14ac:dyDescent="0.35">
      <c r="A51" s="8">
        <v>46</v>
      </c>
      <c r="B51" s="9" t="s">
        <v>547</v>
      </c>
      <c r="C51" s="21" t="s">
        <v>548</v>
      </c>
      <c r="D51" s="5">
        <f ca="1">IFERROR(__xludf.DUMMYFUNCTION("IMPORTRANGE(""https://docs.google.com/spreadsheets/d/1rOGZhKHVnDGFqGTO7UNOJSkSJyQwVuEb2-yhWQit7lw/edit?gid=1294109558#gid=1294109558"", address(row($D49),column($D49),,,""DM&amp;GT-P""))"),0)</f>
        <v>0</v>
      </c>
      <c r="E51" s="8" t="e">
        <f t="shared" ca="1" si="2"/>
        <v>#DIV/0!</v>
      </c>
      <c r="F51" s="5">
        <f ca="1">IFERROR(__xludf.DUMMYFUNCTION("IMPORTRANGE(""https://docs.google.com/spreadsheets/d/1rOGZhKHVnDGFqGTO7UNOJSkSJyQwVuEb2-yhWQit7lw/edit?gid=1839445998#gid=1839445998"", address(row($D49),column($D49),,,""UHV-P""))"),18)</f>
        <v>18</v>
      </c>
      <c r="G51" s="8">
        <f t="shared" ca="1" si="3"/>
        <v>81.818181818181827</v>
      </c>
      <c r="H51" s="5">
        <f ca="1">IFERROR(__xludf.DUMMYFUNCTION("IMPORTRANGE(""https://docs.google.com/spreadsheets/d/1rOGZhKHVnDGFqGTO7UNOJSkSJyQwVuEb2-yhWQit7lw/edit?gid=1415582716#gid=1415582716"", address(row($D49),column($D49),,,""DL&amp;CO-P""))"),14)</f>
        <v>14</v>
      </c>
      <c r="I51" s="8">
        <f t="shared" ca="1" si="4"/>
        <v>73.68421052631578</v>
      </c>
      <c r="J51" s="5">
        <f ca="1">IFERROR(__xludf.DUMMYFUNCTION("IMPORTRANGE(""https://docs.google.com/spreadsheets/d/1rOGZhKHVnDGFqGTO7UNOJSkSJyQwVuEb2-yhWQit7lw/edit?gid=412846422#gid=412846422"", address(row($D49),column($D49),,,""ADSA-P""))"),30)</f>
        <v>30</v>
      </c>
      <c r="K51" s="8">
        <f t="shared" ca="1" si="5"/>
        <v>68.181818181818173</v>
      </c>
      <c r="L51" s="5">
        <f ca="1">IFERROR(__xludf.DUMMYFUNCTION("IMPORTRANGE(""https://docs.google.com/spreadsheets/d/1rOGZhKHVnDGFqGTO7UNOJSkSJyQwVuEb2-yhWQit7lw/edit?gid=1092082017#gid=1092082017"", address(row($D49),column($D49),,,""JAVA-P""))"),10)</f>
        <v>10</v>
      </c>
      <c r="M51" s="8">
        <f t="shared" ca="1" si="6"/>
        <v>62.5</v>
      </c>
      <c r="N51" s="5">
        <f ca="1">IFERROR(__xludf.DUMMYFUNCTION("IMPORTRANGE(""https://docs.google.com/spreadsheets/d/1rOGZhKHVnDGFqGTO7UNOJSkSJyQwVuEb2-yhWQit7lw/edit?gid=1379505903#gid=1379505903"", address(row($D49),column($D49),,,""FOSS LAB-P""))"),9)</f>
        <v>9</v>
      </c>
      <c r="O51" s="8">
        <f t="shared" ca="1" si="7"/>
        <v>75</v>
      </c>
      <c r="P51" s="5">
        <f ca="1">IFERROR(__xludf.DUMMYFUNCTION("IMPORTRANGE(""https://docs.google.com/spreadsheets/d/1rOGZhKHVnDGFqGTO7UNOJSkSJyQwVuEb2-yhWQit7lw/edit?gid=434615646#gid=434615646"", address(row($D49),column($D49),,,""PP-P""))"),20)</f>
        <v>20</v>
      </c>
      <c r="Q51" s="8">
        <f t="shared" ca="1" si="8"/>
        <v>71.428571428571431</v>
      </c>
      <c r="R51" s="5">
        <f ca="1">IFERROR(__xludf.DUMMYFUNCTION("IMPORTRANGE(""https://docs.google.com/spreadsheets/d/1rOGZhKHVnDGFqGTO7UNOJSkSJyQwVuEb2-yhWQit7lw/edit?gid=1663742830#gid=1663742830"", address(row($D49),column($D49),,,""NPTEL-P""))"),8)</f>
        <v>8</v>
      </c>
      <c r="S51" s="5">
        <f t="shared" ca="1" si="9"/>
        <v>66.666666666666657</v>
      </c>
      <c r="T51" s="6">
        <f ca="1">IFERROR(__xludf.DUMMYFUNCTION("IMPORTRANGE(""https://docs.google.com/spreadsheets/d/1rOGZhKHVnDGFqGTO7UNOJSkSJyQwVuEb2-yhWQit7lw/edit?gid=227426469#gid=227426469"", address(row($D49),column($D49),,,""CRT-P""))"),0)</f>
        <v>0</v>
      </c>
      <c r="U51" s="8" t="e">
        <f t="shared" ca="1" si="10"/>
        <v>#DIV/0!</v>
      </c>
      <c r="V51" s="6">
        <f t="shared" ca="1" si="0"/>
        <v>109</v>
      </c>
      <c r="W51" s="4">
        <f t="shared" ca="1" si="11"/>
        <v>71</v>
      </c>
      <c r="X51" s="4">
        <v>0</v>
      </c>
      <c r="Y51" s="4">
        <v>0</v>
      </c>
      <c r="Z51" s="4">
        <f t="shared" ca="1" si="1"/>
        <v>109</v>
      </c>
      <c r="AA51" s="10">
        <f t="shared" ca="1" si="12"/>
        <v>71</v>
      </c>
    </row>
    <row r="52" spans="1:27" ht="15.85" customHeight="1" x14ac:dyDescent="0.35">
      <c r="A52" s="8">
        <v>47</v>
      </c>
      <c r="B52" s="9" t="s">
        <v>549</v>
      </c>
      <c r="C52" s="21" t="s">
        <v>550</v>
      </c>
      <c r="D52" s="5">
        <f ca="1">IFERROR(__xludf.DUMMYFUNCTION("IMPORTRANGE(""https://docs.google.com/spreadsheets/d/1rOGZhKHVnDGFqGTO7UNOJSkSJyQwVuEb2-yhWQit7lw/edit?gid=1294109558#gid=1294109558"", address(row($D50),column($D50),,,""DM&amp;GT-P""))"),0)</f>
        <v>0</v>
      </c>
      <c r="E52" s="8" t="e">
        <f t="shared" ca="1" si="2"/>
        <v>#DIV/0!</v>
      </c>
      <c r="F52" s="5">
        <f ca="1">IFERROR(__xludf.DUMMYFUNCTION("IMPORTRANGE(""https://docs.google.com/spreadsheets/d/1rOGZhKHVnDGFqGTO7UNOJSkSJyQwVuEb2-yhWQit7lw/edit?gid=1839445998#gid=1839445998"", address(row($D50),column($D50),,,""UHV-P""))"),17)</f>
        <v>17</v>
      </c>
      <c r="G52" s="8">
        <f t="shared" ca="1" si="3"/>
        <v>77.272727272727266</v>
      </c>
      <c r="H52" s="5">
        <f ca="1">IFERROR(__xludf.DUMMYFUNCTION("IMPORTRANGE(""https://docs.google.com/spreadsheets/d/1rOGZhKHVnDGFqGTO7UNOJSkSJyQwVuEb2-yhWQit7lw/edit?gid=1415582716#gid=1415582716"", address(row($D50),column($D50),,,""DL&amp;CO-P""))"),15)</f>
        <v>15</v>
      </c>
      <c r="I52" s="8">
        <f t="shared" ca="1" si="4"/>
        <v>78.94736842105263</v>
      </c>
      <c r="J52" s="5">
        <f ca="1">IFERROR(__xludf.DUMMYFUNCTION("IMPORTRANGE(""https://docs.google.com/spreadsheets/d/1rOGZhKHVnDGFqGTO7UNOJSkSJyQwVuEb2-yhWQit7lw/edit?gid=412846422#gid=412846422"", address(row($D50),column($D50),,,""ADSA-P""))"),22)</f>
        <v>22</v>
      </c>
      <c r="K52" s="8">
        <f t="shared" ca="1" si="5"/>
        <v>50</v>
      </c>
      <c r="L52" s="5">
        <f ca="1">IFERROR(__xludf.DUMMYFUNCTION("IMPORTRANGE(""https://docs.google.com/spreadsheets/d/1rOGZhKHVnDGFqGTO7UNOJSkSJyQwVuEb2-yhWQit7lw/edit?gid=1092082017#gid=1092082017"", address(row($D50),column($D50),,,""JAVA-P""))"),14)</f>
        <v>14</v>
      </c>
      <c r="M52" s="8">
        <f t="shared" ca="1" si="6"/>
        <v>87.5</v>
      </c>
      <c r="N52" s="5">
        <f ca="1">IFERROR(__xludf.DUMMYFUNCTION("IMPORTRANGE(""https://docs.google.com/spreadsheets/d/1rOGZhKHVnDGFqGTO7UNOJSkSJyQwVuEb2-yhWQit7lw/edit?gid=1379505903#gid=1379505903"", address(row($D50),column($D50),,,""FOSS LAB-P""))"),12)</f>
        <v>12</v>
      </c>
      <c r="O52" s="8">
        <f t="shared" ca="1" si="7"/>
        <v>100</v>
      </c>
      <c r="P52" s="5">
        <f ca="1">IFERROR(__xludf.DUMMYFUNCTION("IMPORTRANGE(""https://docs.google.com/spreadsheets/d/1rOGZhKHVnDGFqGTO7UNOJSkSJyQwVuEb2-yhWQit7lw/edit?gid=434615646#gid=434615646"", address(row($D50),column($D50),,,""PP-P""))"),20)</f>
        <v>20</v>
      </c>
      <c r="Q52" s="8">
        <f t="shared" ca="1" si="8"/>
        <v>71.428571428571431</v>
      </c>
      <c r="R52" s="5">
        <f ca="1">IFERROR(__xludf.DUMMYFUNCTION("IMPORTRANGE(""https://docs.google.com/spreadsheets/d/1rOGZhKHVnDGFqGTO7UNOJSkSJyQwVuEb2-yhWQit7lw/edit?gid=1663742830#gid=1663742830"", address(row($D50),column($D50),,,""NPTEL-P""))"),8)</f>
        <v>8</v>
      </c>
      <c r="S52" s="5">
        <f t="shared" ca="1" si="9"/>
        <v>66.666666666666657</v>
      </c>
      <c r="T52" s="6">
        <f ca="1">IFERROR(__xludf.DUMMYFUNCTION("IMPORTRANGE(""https://docs.google.com/spreadsheets/d/1rOGZhKHVnDGFqGTO7UNOJSkSJyQwVuEb2-yhWQit7lw/edit?gid=227426469#gid=227426469"", address(row($D50),column($D50),,,""CRT-P""))"),0)</f>
        <v>0</v>
      </c>
      <c r="U52" s="8" t="e">
        <f t="shared" ca="1" si="10"/>
        <v>#DIV/0!</v>
      </c>
      <c r="V52" s="6">
        <f t="shared" ca="1" si="0"/>
        <v>108</v>
      </c>
      <c r="W52" s="4">
        <f t="shared" ca="1" si="11"/>
        <v>71</v>
      </c>
      <c r="X52" s="4">
        <v>0</v>
      </c>
      <c r="Y52" s="4">
        <v>0</v>
      </c>
      <c r="Z52" s="4">
        <f t="shared" ca="1" si="1"/>
        <v>108</v>
      </c>
      <c r="AA52" s="10">
        <f t="shared" ca="1" si="12"/>
        <v>71</v>
      </c>
    </row>
    <row r="53" spans="1:27" ht="15.85" customHeight="1" x14ac:dyDescent="0.35">
      <c r="A53" s="8">
        <v>48</v>
      </c>
      <c r="B53" s="9" t="s">
        <v>551</v>
      </c>
      <c r="C53" s="21" t="s">
        <v>552</v>
      </c>
      <c r="D53" s="5">
        <f ca="1">IFERROR(__xludf.DUMMYFUNCTION("IMPORTRANGE(""https://docs.google.com/spreadsheets/d/1rOGZhKHVnDGFqGTO7UNOJSkSJyQwVuEb2-yhWQit7lw/edit?gid=1294109558#gid=1294109558"", address(row($D51),column($D51),,,""DM&amp;GT-P""))"),0)</f>
        <v>0</v>
      </c>
      <c r="E53" s="8" t="e">
        <f t="shared" ca="1" si="2"/>
        <v>#DIV/0!</v>
      </c>
      <c r="F53" s="5">
        <f ca="1">IFERROR(__xludf.DUMMYFUNCTION("IMPORTRANGE(""https://docs.google.com/spreadsheets/d/1rOGZhKHVnDGFqGTO7UNOJSkSJyQwVuEb2-yhWQit7lw/edit?gid=1839445998#gid=1839445998"", address(row($D51),column($D51),,,""UHV-P""))"),19)</f>
        <v>19</v>
      </c>
      <c r="G53" s="8">
        <f t="shared" ca="1" si="3"/>
        <v>86.36363636363636</v>
      </c>
      <c r="H53" s="5">
        <f ca="1">IFERROR(__xludf.DUMMYFUNCTION("IMPORTRANGE(""https://docs.google.com/spreadsheets/d/1rOGZhKHVnDGFqGTO7UNOJSkSJyQwVuEb2-yhWQit7lw/edit?gid=1415582716#gid=1415582716"", address(row($D51),column($D51),,,""DL&amp;CO-P""))"),15)</f>
        <v>15</v>
      </c>
      <c r="I53" s="8">
        <f t="shared" ca="1" si="4"/>
        <v>78.94736842105263</v>
      </c>
      <c r="J53" s="5">
        <f ca="1">IFERROR(__xludf.DUMMYFUNCTION("IMPORTRANGE(""https://docs.google.com/spreadsheets/d/1rOGZhKHVnDGFqGTO7UNOJSkSJyQwVuEb2-yhWQit7lw/edit?gid=412846422#gid=412846422"", address(row($D51),column($D51),,,""ADSA-P""))"),34)</f>
        <v>34</v>
      </c>
      <c r="K53" s="8">
        <f t="shared" ca="1" si="5"/>
        <v>77.272727272727266</v>
      </c>
      <c r="L53" s="5">
        <f ca="1">IFERROR(__xludf.DUMMYFUNCTION("IMPORTRANGE(""https://docs.google.com/spreadsheets/d/1rOGZhKHVnDGFqGTO7UNOJSkSJyQwVuEb2-yhWQit7lw/edit?gid=1092082017#gid=1092082017"", address(row($D51),column($D51),,,""JAVA-P""))"),10)</f>
        <v>10</v>
      </c>
      <c r="M53" s="8">
        <f t="shared" ca="1" si="6"/>
        <v>62.5</v>
      </c>
      <c r="N53" s="5">
        <f ca="1">IFERROR(__xludf.DUMMYFUNCTION("IMPORTRANGE(""https://docs.google.com/spreadsheets/d/1rOGZhKHVnDGFqGTO7UNOJSkSJyQwVuEb2-yhWQit7lw/edit?gid=1379505903#gid=1379505903"", address(row($D51),column($D51),,,""FOSS LAB-P""))"),9)</f>
        <v>9</v>
      </c>
      <c r="O53" s="8">
        <f t="shared" ca="1" si="7"/>
        <v>75</v>
      </c>
      <c r="P53" s="5">
        <f ca="1">IFERROR(__xludf.DUMMYFUNCTION("IMPORTRANGE(""https://docs.google.com/spreadsheets/d/1rOGZhKHVnDGFqGTO7UNOJSkSJyQwVuEb2-yhWQit7lw/edit?gid=434615646#gid=434615646"", address(row($D51),column($D51),,,""PP-P""))"),18)</f>
        <v>18</v>
      </c>
      <c r="Q53" s="8">
        <f t="shared" ca="1" si="8"/>
        <v>64.285714285714292</v>
      </c>
      <c r="R53" s="5">
        <f ca="1">IFERROR(__xludf.DUMMYFUNCTION("IMPORTRANGE(""https://docs.google.com/spreadsheets/d/1rOGZhKHVnDGFqGTO7UNOJSkSJyQwVuEb2-yhWQit7lw/edit?gid=1663742830#gid=1663742830"", address(row($D51),column($D51),,,""NPTEL-P""))"),8)</f>
        <v>8</v>
      </c>
      <c r="S53" s="5">
        <f t="shared" ca="1" si="9"/>
        <v>66.666666666666657</v>
      </c>
      <c r="T53" s="6">
        <f ca="1">IFERROR(__xludf.DUMMYFUNCTION("IMPORTRANGE(""https://docs.google.com/spreadsheets/d/1rOGZhKHVnDGFqGTO7UNOJSkSJyQwVuEb2-yhWQit7lw/edit?gid=227426469#gid=227426469"", address(row($D51),column($D51),,,""CRT-P""))"),0)</f>
        <v>0</v>
      </c>
      <c r="U53" s="8" t="e">
        <f t="shared" ca="1" si="10"/>
        <v>#DIV/0!</v>
      </c>
      <c r="V53" s="6">
        <f t="shared" ca="1" si="0"/>
        <v>113</v>
      </c>
      <c r="W53" s="4">
        <f t="shared" ca="1" si="11"/>
        <v>74</v>
      </c>
      <c r="X53" s="4">
        <v>0</v>
      </c>
      <c r="Y53" s="4">
        <v>0</v>
      </c>
      <c r="Z53" s="4">
        <f t="shared" ca="1" si="1"/>
        <v>113</v>
      </c>
      <c r="AA53" s="10">
        <f t="shared" ca="1" si="12"/>
        <v>74</v>
      </c>
    </row>
    <row r="54" spans="1:27" ht="15.85" customHeight="1" x14ac:dyDescent="0.35">
      <c r="A54" s="8">
        <v>49</v>
      </c>
      <c r="B54" s="9" t="s">
        <v>553</v>
      </c>
      <c r="C54" s="21" t="s">
        <v>554</v>
      </c>
      <c r="D54" s="5">
        <f ca="1">IFERROR(__xludf.DUMMYFUNCTION("IMPORTRANGE(""https://docs.google.com/spreadsheets/d/1rOGZhKHVnDGFqGTO7UNOJSkSJyQwVuEb2-yhWQit7lw/edit?gid=1294109558#gid=1294109558"", address(row($D52),column($D52),,,""DM&amp;GT-P""))"),0)</f>
        <v>0</v>
      </c>
      <c r="E54" s="8" t="e">
        <f t="shared" ca="1" si="2"/>
        <v>#DIV/0!</v>
      </c>
      <c r="F54" s="5">
        <f ca="1">IFERROR(__xludf.DUMMYFUNCTION("IMPORTRANGE(""https://docs.google.com/spreadsheets/d/1rOGZhKHVnDGFqGTO7UNOJSkSJyQwVuEb2-yhWQit7lw/edit?gid=1839445998#gid=1839445998"", address(row($D52),column($D52),,,""UHV-P""))"),18)</f>
        <v>18</v>
      </c>
      <c r="G54" s="8">
        <f t="shared" ca="1" si="3"/>
        <v>81.818181818181827</v>
      </c>
      <c r="H54" s="5">
        <f ca="1">IFERROR(__xludf.DUMMYFUNCTION("IMPORTRANGE(""https://docs.google.com/spreadsheets/d/1rOGZhKHVnDGFqGTO7UNOJSkSJyQwVuEb2-yhWQit7lw/edit?gid=1415582716#gid=1415582716"", address(row($D52),column($D52),,,""DL&amp;CO-P""))"),15)</f>
        <v>15</v>
      </c>
      <c r="I54" s="8">
        <f t="shared" ca="1" si="4"/>
        <v>78.94736842105263</v>
      </c>
      <c r="J54" s="5">
        <f ca="1">IFERROR(__xludf.DUMMYFUNCTION("IMPORTRANGE(""https://docs.google.com/spreadsheets/d/1rOGZhKHVnDGFqGTO7UNOJSkSJyQwVuEb2-yhWQit7lw/edit?gid=412846422#gid=412846422"", address(row($D52),column($D52),,,""ADSA-P""))"),38)</f>
        <v>38</v>
      </c>
      <c r="K54" s="8">
        <f t="shared" ca="1" si="5"/>
        <v>86.36363636363636</v>
      </c>
      <c r="L54" s="5">
        <f ca="1">IFERROR(__xludf.DUMMYFUNCTION("IMPORTRANGE(""https://docs.google.com/spreadsheets/d/1rOGZhKHVnDGFqGTO7UNOJSkSJyQwVuEb2-yhWQit7lw/edit?gid=1092082017#gid=1092082017"", address(row($D52),column($D52),,,""JAVA-P""))"),14)</f>
        <v>14</v>
      </c>
      <c r="M54" s="8">
        <f t="shared" ca="1" si="6"/>
        <v>87.5</v>
      </c>
      <c r="N54" s="5">
        <f ca="1">IFERROR(__xludf.DUMMYFUNCTION("IMPORTRANGE(""https://docs.google.com/spreadsheets/d/1rOGZhKHVnDGFqGTO7UNOJSkSJyQwVuEb2-yhWQit7lw/edit?gid=1379505903#gid=1379505903"", address(row($D52),column($D52),,,""FOSS LAB-P""))"),12)</f>
        <v>12</v>
      </c>
      <c r="O54" s="8">
        <f t="shared" ca="1" si="7"/>
        <v>100</v>
      </c>
      <c r="P54" s="5">
        <f ca="1">IFERROR(__xludf.DUMMYFUNCTION("IMPORTRANGE(""https://docs.google.com/spreadsheets/d/1rOGZhKHVnDGFqGTO7UNOJSkSJyQwVuEb2-yhWQit7lw/edit?gid=434615646#gid=434615646"", address(row($D52),column($D52),,,""PP-P""))"),16)</f>
        <v>16</v>
      </c>
      <c r="Q54" s="8">
        <f t="shared" ca="1" si="8"/>
        <v>57.142857142857139</v>
      </c>
      <c r="R54" s="5">
        <f ca="1">IFERROR(__xludf.DUMMYFUNCTION("IMPORTRANGE(""https://docs.google.com/spreadsheets/d/1rOGZhKHVnDGFqGTO7UNOJSkSJyQwVuEb2-yhWQit7lw/edit?gid=1663742830#gid=1663742830"", address(row($D52),column($D52),,,""NPTEL-P""))"),12)</f>
        <v>12</v>
      </c>
      <c r="S54" s="5">
        <f t="shared" ca="1" si="9"/>
        <v>100</v>
      </c>
      <c r="T54" s="6">
        <f ca="1">IFERROR(__xludf.DUMMYFUNCTION("IMPORTRANGE(""https://docs.google.com/spreadsheets/d/1rOGZhKHVnDGFqGTO7UNOJSkSJyQwVuEb2-yhWQit7lw/edit?gid=227426469#gid=227426469"", address(row($D52),column($D52),,,""CRT-P""))"),0)</f>
        <v>0</v>
      </c>
      <c r="U54" s="8" t="e">
        <f t="shared" ca="1" si="10"/>
        <v>#DIV/0!</v>
      </c>
      <c r="V54" s="6">
        <f t="shared" ca="1" si="0"/>
        <v>125</v>
      </c>
      <c r="W54" s="4">
        <f t="shared" ca="1" si="11"/>
        <v>82</v>
      </c>
      <c r="X54" s="4">
        <v>0</v>
      </c>
      <c r="Y54" s="4">
        <v>0</v>
      </c>
      <c r="Z54" s="4">
        <f t="shared" ca="1" si="1"/>
        <v>125</v>
      </c>
      <c r="AA54" s="10">
        <f t="shared" ca="1" si="12"/>
        <v>82</v>
      </c>
    </row>
    <row r="55" spans="1:27" ht="15.85" customHeight="1" x14ac:dyDescent="0.35">
      <c r="A55" s="8">
        <v>50</v>
      </c>
      <c r="B55" s="9" t="s">
        <v>555</v>
      </c>
      <c r="C55" s="21" t="s">
        <v>556</v>
      </c>
      <c r="D55" s="5">
        <f ca="1">IFERROR(__xludf.DUMMYFUNCTION("IMPORTRANGE(""https://docs.google.com/spreadsheets/d/1rOGZhKHVnDGFqGTO7UNOJSkSJyQwVuEb2-yhWQit7lw/edit?gid=1294109558#gid=1294109558"", address(row($D53),column($D53),,,""DM&amp;GT-P""))"),0)</f>
        <v>0</v>
      </c>
      <c r="E55" s="8" t="e">
        <f t="shared" ca="1" si="2"/>
        <v>#DIV/0!</v>
      </c>
      <c r="F55" s="5">
        <f ca="1">IFERROR(__xludf.DUMMYFUNCTION("IMPORTRANGE(""https://docs.google.com/spreadsheets/d/1rOGZhKHVnDGFqGTO7UNOJSkSJyQwVuEb2-yhWQit7lw/edit?gid=1839445998#gid=1839445998"", address(row($D53),column($D53),,,""UHV-P""))"),28)</f>
        <v>28</v>
      </c>
      <c r="G55" s="8">
        <f t="shared" ca="1" si="3"/>
        <v>127.27272727272727</v>
      </c>
      <c r="H55" s="5">
        <f ca="1">IFERROR(__xludf.DUMMYFUNCTION("IMPORTRANGE(""https://docs.google.com/spreadsheets/d/1rOGZhKHVnDGFqGTO7UNOJSkSJyQwVuEb2-yhWQit7lw/edit?gid=1415582716#gid=1415582716"", address(row($D53),column($D53),,,""DL&amp;CO-P""))"),17)</f>
        <v>17</v>
      </c>
      <c r="I55" s="8">
        <f t="shared" ca="1" si="4"/>
        <v>89.473684210526315</v>
      </c>
      <c r="J55" s="5">
        <f ca="1">IFERROR(__xludf.DUMMYFUNCTION("IMPORTRANGE(""https://docs.google.com/spreadsheets/d/1rOGZhKHVnDGFqGTO7UNOJSkSJyQwVuEb2-yhWQit7lw/edit?gid=412846422#gid=412846422"", address(row($D53),column($D53),,,""ADSA-P""))"),32)</f>
        <v>32</v>
      </c>
      <c r="K55" s="8">
        <f t="shared" ca="1" si="5"/>
        <v>72.727272727272734</v>
      </c>
      <c r="L55" s="5">
        <f ca="1">IFERROR(__xludf.DUMMYFUNCTION("IMPORTRANGE(""https://docs.google.com/spreadsheets/d/1rOGZhKHVnDGFqGTO7UNOJSkSJyQwVuEb2-yhWQit7lw/edit?gid=1092082017#gid=1092082017"", address(row($D53),column($D53),,,""JAVA-P""))"),14)</f>
        <v>14</v>
      </c>
      <c r="M55" s="8">
        <f t="shared" ca="1" si="6"/>
        <v>87.5</v>
      </c>
      <c r="N55" s="5">
        <f ca="1">IFERROR(__xludf.DUMMYFUNCTION("IMPORTRANGE(""https://docs.google.com/spreadsheets/d/1rOGZhKHVnDGFqGTO7UNOJSkSJyQwVuEb2-yhWQit7lw/edit?gid=1379505903#gid=1379505903"", address(row($D53),column($D53),,,""FOSS LAB-P""))"),12)</f>
        <v>12</v>
      </c>
      <c r="O55" s="8">
        <f t="shared" ca="1" si="7"/>
        <v>100</v>
      </c>
      <c r="P55" s="5">
        <f ca="1">IFERROR(__xludf.DUMMYFUNCTION("IMPORTRANGE(""https://docs.google.com/spreadsheets/d/1rOGZhKHVnDGFqGTO7UNOJSkSJyQwVuEb2-yhWQit7lw/edit?gid=434615646#gid=434615646"", address(row($D53),column($D53),,,""PP-P""))"),22)</f>
        <v>22</v>
      </c>
      <c r="Q55" s="8">
        <f t="shared" ca="1" si="8"/>
        <v>78.571428571428569</v>
      </c>
      <c r="R55" s="5">
        <f ca="1">IFERROR(__xludf.DUMMYFUNCTION("IMPORTRANGE(""https://docs.google.com/spreadsheets/d/1rOGZhKHVnDGFqGTO7UNOJSkSJyQwVuEb2-yhWQit7lw/edit?gid=1663742830#gid=1663742830"", address(row($D53),column($D53),,,""NPTEL-P""))"),10)</f>
        <v>10</v>
      </c>
      <c r="S55" s="5">
        <f t="shared" ca="1" si="9"/>
        <v>83.333333333333343</v>
      </c>
      <c r="T55" s="6">
        <f ca="1">IFERROR(__xludf.DUMMYFUNCTION("IMPORTRANGE(""https://docs.google.com/spreadsheets/d/1rOGZhKHVnDGFqGTO7UNOJSkSJyQwVuEb2-yhWQit7lw/edit?gid=227426469#gid=227426469"", address(row($D53),column($D53),,,""CRT-P""))"),0)</f>
        <v>0</v>
      </c>
      <c r="U55" s="8" t="e">
        <f t="shared" ca="1" si="10"/>
        <v>#DIV/0!</v>
      </c>
      <c r="V55" s="6">
        <f t="shared" ca="1" si="0"/>
        <v>135</v>
      </c>
      <c r="W55" s="4">
        <f t="shared" ca="1" si="11"/>
        <v>88</v>
      </c>
      <c r="X55" s="4">
        <v>0</v>
      </c>
      <c r="Y55" s="4">
        <v>0</v>
      </c>
      <c r="Z55" s="4">
        <f t="shared" ca="1" si="1"/>
        <v>135</v>
      </c>
      <c r="AA55" s="10">
        <f t="shared" ca="1" si="12"/>
        <v>88</v>
      </c>
    </row>
    <row r="56" spans="1:27" ht="15.85" customHeight="1" x14ac:dyDescent="0.35">
      <c r="A56" s="8">
        <v>51</v>
      </c>
      <c r="B56" s="9" t="s">
        <v>557</v>
      </c>
      <c r="C56" s="21" t="s">
        <v>558</v>
      </c>
      <c r="D56" s="5">
        <f ca="1">IFERROR(__xludf.DUMMYFUNCTION("IMPORTRANGE(""https://docs.google.com/spreadsheets/d/1rOGZhKHVnDGFqGTO7UNOJSkSJyQwVuEb2-yhWQit7lw/edit?gid=1294109558#gid=1294109558"", address(row($D54),column($D54),,,""DM&amp;GT-P""))"),0)</f>
        <v>0</v>
      </c>
      <c r="E56" s="8" t="e">
        <f t="shared" ca="1" si="2"/>
        <v>#DIV/0!</v>
      </c>
      <c r="F56" s="5">
        <f ca="1">IFERROR(__xludf.DUMMYFUNCTION("IMPORTRANGE(""https://docs.google.com/spreadsheets/d/1rOGZhKHVnDGFqGTO7UNOJSkSJyQwVuEb2-yhWQit7lw/edit?gid=1839445998#gid=1839445998"", address(row($D54),column($D54),,,""UHV-P""))"),19)</f>
        <v>19</v>
      </c>
      <c r="G56" s="8">
        <f t="shared" ca="1" si="3"/>
        <v>86.36363636363636</v>
      </c>
      <c r="H56" s="5">
        <f ca="1">IFERROR(__xludf.DUMMYFUNCTION("IMPORTRANGE(""https://docs.google.com/spreadsheets/d/1rOGZhKHVnDGFqGTO7UNOJSkSJyQwVuEb2-yhWQit7lw/edit?gid=1415582716#gid=1415582716"", address(row($D54),column($D54),,,""DL&amp;CO-P""))"),18)</f>
        <v>18</v>
      </c>
      <c r="I56" s="8">
        <f t="shared" ca="1" si="4"/>
        <v>94.73684210526315</v>
      </c>
      <c r="J56" s="5">
        <f ca="1">IFERROR(__xludf.DUMMYFUNCTION("IMPORTRANGE(""https://docs.google.com/spreadsheets/d/1rOGZhKHVnDGFqGTO7UNOJSkSJyQwVuEb2-yhWQit7lw/edit?gid=412846422#gid=412846422"", address(row($D54),column($D54),,,""ADSA-P""))"),38)</f>
        <v>38</v>
      </c>
      <c r="K56" s="8">
        <f t="shared" ca="1" si="5"/>
        <v>86.36363636363636</v>
      </c>
      <c r="L56" s="5">
        <f ca="1">IFERROR(__xludf.DUMMYFUNCTION("IMPORTRANGE(""https://docs.google.com/spreadsheets/d/1rOGZhKHVnDGFqGTO7UNOJSkSJyQwVuEb2-yhWQit7lw/edit?gid=1092082017#gid=1092082017"", address(row($D54),column($D54),,,""JAVA-P""))"),16)</f>
        <v>16</v>
      </c>
      <c r="M56" s="8">
        <f t="shared" ca="1" si="6"/>
        <v>100</v>
      </c>
      <c r="N56" s="5">
        <f ca="1">IFERROR(__xludf.DUMMYFUNCTION("IMPORTRANGE(""https://docs.google.com/spreadsheets/d/1rOGZhKHVnDGFqGTO7UNOJSkSJyQwVuEb2-yhWQit7lw/edit?gid=1379505903#gid=1379505903"", address(row($D54),column($D54),,,""FOSS LAB-P""))"),6)</f>
        <v>6</v>
      </c>
      <c r="O56" s="8">
        <f t="shared" ca="1" si="7"/>
        <v>50</v>
      </c>
      <c r="P56" s="5">
        <f ca="1">IFERROR(__xludf.DUMMYFUNCTION("IMPORTRANGE(""https://docs.google.com/spreadsheets/d/1rOGZhKHVnDGFqGTO7UNOJSkSJyQwVuEb2-yhWQit7lw/edit?gid=434615646#gid=434615646"", address(row($D54),column($D54),,,""PP-P""))"),22)</f>
        <v>22</v>
      </c>
      <c r="Q56" s="8">
        <f t="shared" ca="1" si="8"/>
        <v>78.571428571428569</v>
      </c>
      <c r="R56" s="5">
        <f ca="1">IFERROR(__xludf.DUMMYFUNCTION("IMPORTRANGE(""https://docs.google.com/spreadsheets/d/1rOGZhKHVnDGFqGTO7UNOJSkSJyQwVuEb2-yhWQit7lw/edit?gid=1663742830#gid=1663742830"", address(row($D54),column($D54),,,""NPTEL-P""))"),12)</f>
        <v>12</v>
      </c>
      <c r="S56" s="5">
        <f t="shared" ca="1" si="9"/>
        <v>100</v>
      </c>
      <c r="T56" s="6">
        <f ca="1">IFERROR(__xludf.DUMMYFUNCTION("IMPORTRANGE(""https://docs.google.com/spreadsheets/d/1rOGZhKHVnDGFqGTO7UNOJSkSJyQwVuEb2-yhWQit7lw/edit?gid=227426469#gid=227426469"", address(row($D54),column($D54),,,""CRT-P""))"),0)</f>
        <v>0</v>
      </c>
      <c r="U56" s="8" t="e">
        <f t="shared" ca="1" si="10"/>
        <v>#DIV/0!</v>
      </c>
      <c r="V56" s="6">
        <f t="shared" ca="1" si="0"/>
        <v>131</v>
      </c>
      <c r="W56" s="4">
        <f t="shared" ca="1" si="11"/>
        <v>86</v>
      </c>
      <c r="X56" s="4">
        <v>0</v>
      </c>
      <c r="Y56" s="4">
        <v>0</v>
      </c>
      <c r="Z56" s="4">
        <f t="shared" ca="1" si="1"/>
        <v>131</v>
      </c>
      <c r="AA56" s="10">
        <f t="shared" ca="1" si="12"/>
        <v>86</v>
      </c>
    </row>
    <row r="57" spans="1:27" ht="15.85" customHeight="1" x14ac:dyDescent="0.35">
      <c r="A57" s="8">
        <v>52</v>
      </c>
      <c r="B57" s="9" t="s">
        <v>559</v>
      </c>
      <c r="C57" s="21" t="s">
        <v>560</v>
      </c>
      <c r="D57" s="5">
        <f ca="1">IFERROR(__xludf.DUMMYFUNCTION("IMPORTRANGE(""https://docs.google.com/spreadsheets/d/1rOGZhKHVnDGFqGTO7UNOJSkSJyQwVuEb2-yhWQit7lw/edit?gid=1294109558#gid=1294109558"", address(row($D55),column($D55),,,""DM&amp;GT-P""))"),0)</f>
        <v>0</v>
      </c>
      <c r="E57" s="8" t="e">
        <f t="shared" ca="1" si="2"/>
        <v>#DIV/0!</v>
      </c>
      <c r="F57" s="5">
        <f ca="1">IFERROR(__xludf.DUMMYFUNCTION("IMPORTRANGE(""https://docs.google.com/spreadsheets/d/1rOGZhKHVnDGFqGTO7UNOJSkSJyQwVuEb2-yhWQit7lw/edit?gid=1839445998#gid=1839445998"", address(row($D55),column($D55),,,""UHV-P""))"),17)</f>
        <v>17</v>
      </c>
      <c r="G57" s="8">
        <f t="shared" ca="1" si="3"/>
        <v>77.272727272727266</v>
      </c>
      <c r="H57" s="5">
        <f ca="1">IFERROR(__xludf.DUMMYFUNCTION("IMPORTRANGE(""https://docs.google.com/spreadsheets/d/1rOGZhKHVnDGFqGTO7UNOJSkSJyQwVuEb2-yhWQit7lw/edit?gid=1415582716#gid=1415582716"", address(row($D55),column($D55),,,""DL&amp;CO-P""))"),13)</f>
        <v>13</v>
      </c>
      <c r="I57" s="8">
        <f t="shared" ca="1" si="4"/>
        <v>68.421052631578945</v>
      </c>
      <c r="J57" s="5">
        <f ca="1">IFERROR(__xludf.DUMMYFUNCTION("IMPORTRANGE(""https://docs.google.com/spreadsheets/d/1rOGZhKHVnDGFqGTO7UNOJSkSJyQwVuEb2-yhWQit7lw/edit?gid=412846422#gid=412846422"", address(row($D55),column($D55),,,""ADSA-P""))"),28)</f>
        <v>28</v>
      </c>
      <c r="K57" s="8">
        <f t="shared" ca="1" si="5"/>
        <v>63.636363636363633</v>
      </c>
      <c r="L57" s="5">
        <f ca="1">IFERROR(__xludf.DUMMYFUNCTION("IMPORTRANGE(""https://docs.google.com/spreadsheets/d/1rOGZhKHVnDGFqGTO7UNOJSkSJyQwVuEb2-yhWQit7lw/edit?gid=1092082017#gid=1092082017"", address(row($D55),column($D55),,,""JAVA-P""))"),14)</f>
        <v>14</v>
      </c>
      <c r="M57" s="8">
        <f t="shared" ca="1" si="6"/>
        <v>87.5</v>
      </c>
      <c r="N57" s="5">
        <f ca="1">IFERROR(__xludf.DUMMYFUNCTION("IMPORTRANGE(""https://docs.google.com/spreadsheets/d/1rOGZhKHVnDGFqGTO7UNOJSkSJyQwVuEb2-yhWQit7lw/edit?gid=1379505903#gid=1379505903"", address(row($D55),column($D55),,,""FOSS LAB-P""))"),12)</f>
        <v>12</v>
      </c>
      <c r="O57" s="8">
        <f t="shared" ca="1" si="7"/>
        <v>100</v>
      </c>
      <c r="P57" s="5">
        <f ca="1">IFERROR(__xludf.DUMMYFUNCTION("IMPORTRANGE(""https://docs.google.com/spreadsheets/d/1rOGZhKHVnDGFqGTO7UNOJSkSJyQwVuEb2-yhWQit7lw/edit?gid=434615646#gid=434615646"", address(row($D55),column($D55),,,""PP-P""))"),18)</f>
        <v>18</v>
      </c>
      <c r="Q57" s="8">
        <f t="shared" ca="1" si="8"/>
        <v>64.285714285714292</v>
      </c>
      <c r="R57" s="5">
        <f ca="1">IFERROR(__xludf.DUMMYFUNCTION("IMPORTRANGE(""https://docs.google.com/spreadsheets/d/1rOGZhKHVnDGFqGTO7UNOJSkSJyQwVuEb2-yhWQit7lw/edit?gid=1663742830#gid=1663742830"", address(row($D55),column($D55),,,""NPTEL-P""))"),6)</f>
        <v>6</v>
      </c>
      <c r="S57" s="5">
        <f t="shared" ca="1" si="9"/>
        <v>50</v>
      </c>
      <c r="T57" s="6">
        <f ca="1">IFERROR(__xludf.DUMMYFUNCTION("IMPORTRANGE(""https://docs.google.com/spreadsheets/d/1rOGZhKHVnDGFqGTO7UNOJSkSJyQwVuEb2-yhWQit7lw/edit?gid=227426469#gid=227426469"", address(row($D55),column($D55),,,""CRT-P""))"),0)</f>
        <v>0</v>
      </c>
      <c r="U57" s="8" t="e">
        <f t="shared" ca="1" si="10"/>
        <v>#DIV/0!</v>
      </c>
      <c r="V57" s="6">
        <f t="shared" ca="1" si="0"/>
        <v>108</v>
      </c>
      <c r="W57" s="4">
        <f t="shared" ca="1" si="11"/>
        <v>71</v>
      </c>
      <c r="X57" s="4">
        <v>0</v>
      </c>
      <c r="Y57" s="4">
        <v>0</v>
      </c>
      <c r="Z57" s="4">
        <f t="shared" ca="1" si="1"/>
        <v>108</v>
      </c>
      <c r="AA57" s="10">
        <f t="shared" ca="1" si="12"/>
        <v>71</v>
      </c>
    </row>
    <row r="58" spans="1:27" ht="15.85" customHeight="1" x14ac:dyDescent="0.35">
      <c r="A58" s="8">
        <v>53</v>
      </c>
      <c r="B58" s="9" t="s">
        <v>561</v>
      </c>
      <c r="C58" s="21" t="s">
        <v>562</v>
      </c>
      <c r="D58" s="5">
        <f ca="1">IFERROR(__xludf.DUMMYFUNCTION("IMPORTRANGE(""https://docs.google.com/spreadsheets/d/1rOGZhKHVnDGFqGTO7UNOJSkSJyQwVuEb2-yhWQit7lw/edit?gid=1294109558#gid=1294109558"", address(row($D56),column($D56),,,""DM&amp;GT-P""))"),0)</f>
        <v>0</v>
      </c>
      <c r="E58" s="8" t="e">
        <f t="shared" ca="1" si="2"/>
        <v>#DIV/0!</v>
      </c>
      <c r="F58" s="5">
        <f ca="1">IFERROR(__xludf.DUMMYFUNCTION("IMPORTRANGE(""https://docs.google.com/spreadsheets/d/1rOGZhKHVnDGFqGTO7UNOJSkSJyQwVuEb2-yhWQit7lw/edit?gid=1839445998#gid=1839445998"", address(row($D56),column($D56),,,""UHV-P""))"),17)</f>
        <v>17</v>
      </c>
      <c r="G58" s="8">
        <f t="shared" ca="1" si="3"/>
        <v>77.272727272727266</v>
      </c>
      <c r="H58" s="5">
        <f ca="1">IFERROR(__xludf.DUMMYFUNCTION("IMPORTRANGE(""https://docs.google.com/spreadsheets/d/1rOGZhKHVnDGFqGTO7UNOJSkSJyQwVuEb2-yhWQit7lw/edit?gid=1415582716#gid=1415582716"", address(row($D56),column($D56),,,""DL&amp;CO-P""))"),15)</f>
        <v>15</v>
      </c>
      <c r="I58" s="8">
        <f t="shared" ca="1" si="4"/>
        <v>78.94736842105263</v>
      </c>
      <c r="J58" s="5">
        <f ca="1">IFERROR(__xludf.DUMMYFUNCTION("IMPORTRANGE(""https://docs.google.com/spreadsheets/d/1rOGZhKHVnDGFqGTO7UNOJSkSJyQwVuEb2-yhWQit7lw/edit?gid=412846422#gid=412846422"", address(row($D56),column($D56),,,""ADSA-P""))"),32)</f>
        <v>32</v>
      </c>
      <c r="K58" s="8">
        <f t="shared" ca="1" si="5"/>
        <v>72.727272727272734</v>
      </c>
      <c r="L58" s="5">
        <f ca="1">IFERROR(__xludf.DUMMYFUNCTION("IMPORTRANGE(""https://docs.google.com/spreadsheets/d/1rOGZhKHVnDGFqGTO7UNOJSkSJyQwVuEb2-yhWQit7lw/edit?gid=1092082017#gid=1092082017"", address(row($D56),column($D56),,,""JAVA-P""))"),10)</f>
        <v>10</v>
      </c>
      <c r="M58" s="8">
        <f t="shared" ca="1" si="6"/>
        <v>62.5</v>
      </c>
      <c r="N58" s="5">
        <f ca="1">IFERROR(__xludf.DUMMYFUNCTION("IMPORTRANGE(""https://docs.google.com/spreadsheets/d/1rOGZhKHVnDGFqGTO7UNOJSkSJyQwVuEb2-yhWQit7lw/edit?gid=1379505903#gid=1379505903"", address(row($D56),column($D56),,,""FOSS LAB-P""))"),9)</f>
        <v>9</v>
      </c>
      <c r="O58" s="8">
        <f t="shared" ca="1" si="7"/>
        <v>75</v>
      </c>
      <c r="P58" s="5">
        <f ca="1">IFERROR(__xludf.DUMMYFUNCTION("IMPORTRANGE(""https://docs.google.com/spreadsheets/d/1rOGZhKHVnDGFqGTO7UNOJSkSJyQwVuEb2-yhWQit7lw/edit?gid=434615646#gid=434615646"", address(row($D56),column($D56),,,""PP-P""))"),20)</f>
        <v>20</v>
      </c>
      <c r="Q58" s="8">
        <f t="shared" ca="1" si="8"/>
        <v>71.428571428571431</v>
      </c>
      <c r="R58" s="5">
        <f ca="1">IFERROR(__xludf.DUMMYFUNCTION("IMPORTRANGE(""https://docs.google.com/spreadsheets/d/1rOGZhKHVnDGFqGTO7UNOJSkSJyQwVuEb2-yhWQit7lw/edit?gid=1663742830#gid=1663742830"", address(row($D56),column($D56),,,""NPTEL-P""))"),6)</f>
        <v>6</v>
      </c>
      <c r="S58" s="5">
        <f t="shared" ca="1" si="9"/>
        <v>50</v>
      </c>
      <c r="T58" s="6">
        <f ca="1">IFERROR(__xludf.DUMMYFUNCTION("IMPORTRANGE(""https://docs.google.com/spreadsheets/d/1rOGZhKHVnDGFqGTO7UNOJSkSJyQwVuEb2-yhWQit7lw/edit?gid=227426469#gid=227426469"", address(row($D56),column($D56),,,""CRT-P""))"),0)</f>
        <v>0</v>
      </c>
      <c r="U58" s="8" t="e">
        <f t="shared" ca="1" si="10"/>
        <v>#DIV/0!</v>
      </c>
      <c r="V58" s="6">
        <f t="shared" ca="1" si="0"/>
        <v>109</v>
      </c>
      <c r="W58" s="4">
        <f t="shared" ca="1" si="11"/>
        <v>71</v>
      </c>
      <c r="X58" s="4">
        <v>0</v>
      </c>
      <c r="Y58" s="4">
        <v>0</v>
      </c>
      <c r="Z58" s="4">
        <f t="shared" ca="1" si="1"/>
        <v>109</v>
      </c>
      <c r="AA58" s="10">
        <f t="shared" ca="1" si="12"/>
        <v>71</v>
      </c>
    </row>
    <row r="59" spans="1:27" ht="15.85" customHeight="1" x14ac:dyDescent="0.35">
      <c r="A59" s="8">
        <v>54</v>
      </c>
      <c r="B59" s="9" t="s">
        <v>563</v>
      </c>
      <c r="C59" s="21" t="s">
        <v>564</v>
      </c>
      <c r="D59" s="5">
        <f ca="1">IFERROR(__xludf.DUMMYFUNCTION("IMPORTRANGE(""https://docs.google.com/spreadsheets/d/1rOGZhKHVnDGFqGTO7UNOJSkSJyQwVuEb2-yhWQit7lw/edit?gid=1294109558#gid=1294109558"", address(row($D57),column($D57),,,""DM&amp;GT-P""))"),0)</f>
        <v>0</v>
      </c>
      <c r="E59" s="8" t="e">
        <f t="shared" ca="1" si="2"/>
        <v>#DIV/0!</v>
      </c>
      <c r="F59" s="5">
        <f ca="1">IFERROR(__xludf.DUMMYFUNCTION("IMPORTRANGE(""https://docs.google.com/spreadsheets/d/1rOGZhKHVnDGFqGTO7UNOJSkSJyQwVuEb2-yhWQit7lw/edit?gid=1839445998#gid=1839445998"", address(row($D57),column($D57),,,""UHV-P""))"),16)</f>
        <v>16</v>
      </c>
      <c r="G59" s="8">
        <f t="shared" ca="1" si="3"/>
        <v>72.727272727272734</v>
      </c>
      <c r="H59" s="5">
        <f ca="1">IFERROR(__xludf.DUMMYFUNCTION("IMPORTRANGE(""https://docs.google.com/spreadsheets/d/1rOGZhKHVnDGFqGTO7UNOJSkSJyQwVuEb2-yhWQit7lw/edit?gid=1415582716#gid=1415582716"", address(row($D57),column($D57),,,""DL&amp;CO-P""))"),12)</f>
        <v>12</v>
      </c>
      <c r="I59" s="8">
        <f t="shared" ca="1" si="4"/>
        <v>63.157894736842103</v>
      </c>
      <c r="J59" s="5">
        <f ca="1">IFERROR(__xludf.DUMMYFUNCTION("IMPORTRANGE(""https://docs.google.com/spreadsheets/d/1rOGZhKHVnDGFqGTO7UNOJSkSJyQwVuEb2-yhWQit7lw/edit?gid=412846422#gid=412846422"", address(row($D57),column($D57),,,""ADSA-P""))"),22)</f>
        <v>22</v>
      </c>
      <c r="K59" s="8">
        <f t="shared" ca="1" si="5"/>
        <v>50</v>
      </c>
      <c r="L59" s="5">
        <f ca="1">IFERROR(__xludf.DUMMYFUNCTION("IMPORTRANGE(""https://docs.google.com/spreadsheets/d/1rOGZhKHVnDGFqGTO7UNOJSkSJyQwVuEb2-yhWQit7lw/edit?gid=1092082017#gid=1092082017"", address(row($D57),column($D57),,,""JAVA-P""))"),12)</f>
        <v>12</v>
      </c>
      <c r="M59" s="8">
        <f t="shared" ca="1" si="6"/>
        <v>75</v>
      </c>
      <c r="N59" s="5">
        <f ca="1">IFERROR(__xludf.DUMMYFUNCTION("IMPORTRANGE(""https://docs.google.com/spreadsheets/d/1rOGZhKHVnDGFqGTO7UNOJSkSJyQwVuEb2-yhWQit7lw/edit?gid=1379505903#gid=1379505903"", address(row($D57),column($D57),,,""FOSS LAB-P""))"),9)</f>
        <v>9</v>
      </c>
      <c r="O59" s="8">
        <f t="shared" ca="1" si="7"/>
        <v>75</v>
      </c>
      <c r="P59" s="5">
        <f ca="1">IFERROR(__xludf.DUMMYFUNCTION("IMPORTRANGE(""https://docs.google.com/spreadsheets/d/1rOGZhKHVnDGFqGTO7UNOJSkSJyQwVuEb2-yhWQit7lw/edit?gid=434615646#gid=434615646"", address(row($D57),column($D57),,,""PP-P""))"),18)</f>
        <v>18</v>
      </c>
      <c r="Q59" s="8">
        <f t="shared" ca="1" si="8"/>
        <v>64.285714285714292</v>
      </c>
      <c r="R59" s="5">
        <f ca="1">IFERROR(__xludf.DUMMYFUNCTION("IMPORTRANGE(""https://docs.google.com/spreadsheets/d/1rOGZhKHVnDGFqGTO7UNOJSkSJyQwVuEb2-yhWQit7lw/edit?gid=1663742830#gid=1663742830"", address(row($D57),column($D57),,,""NPTEL-P""))"),6)</f>
        <v>6</v>
      </c>
      <c r="S59" s="5">
        <f t="shared" ca="1" si="9"/>
        <v>50</v>
      </c>
      <c r="T59" s="6">
        <f ca="1">IFERROR(__xludf.DUMMYFUNCTION("IMPORTRANGE(""https://docs.google.com/spreadsheets/d/1rOGZhKHVnDGFqGTO7UNOJSkSJyQwVuEb2-yhWQit7lw/edit?gid=227426469#gid=227426469"", address(row($D57),column($D57),,,""CRT-P""))"),0)</f>
        <v>0</v>
      </c>
      <c r="U59" s="8" t="e">
        <f t="shared" ca="1" si="10"/>
        <v>#DIV/0!</v>
      </c>
      <c r="V59" s="6">
        <f t="shared" ca="1" si="0"/>
        <v>95</v>
      </c>
      <c r="W59" s="4">
        <f t="shared" ca="1" si="11"/>
        <v>62</v>
      </c>
      <c r="X59" s="4">
        <v>14</v>
      </c>
      <c r="Y59" s="4">
        <v>0</v>
      </c>
      <c r="Z59" s="4">
        <f t="shared" ca="1" si="1"/>
        <v>109</v>
      </c>
      <c r="AA59" s="10">
        <f t="shared" ca="1" si="12"/>
        <v>71</v>
      </c>
    </row>
    <row r="60" spans="1:27" ht="15.85" customHeight="1" x14ac:dyDescent="0.35">
      <c r="A60" s="8">
        <v>55</v>
      </c>
      <c r="B60" s="9" t="s">
        <v>565</v>
      </c>
      <c r="C60" s="21" t="s">
        <v>566</v>
      </c>
      <c r="D60" s="5">
        <f ca="1">IFERROR(__xludf.DUMMYFUNCTION("IMPORTRANGE(""https://docs.google.com/spreadsheets/d/1rOGZhKHVnDGFqGTO7UNOJSkSJyQwVuEb2-yhWQit7lw/edit?gid=1294109558#gid=1294109558"", address(row($D58),column($D58),,,""DM&amp;GT-P""))"),0)</f>
        <v>0</v>
      </c>
      <c r="E60" s="8" t="e">
        <f t="shared" ca="1" si="2"/>
        <v>#DIV/0!</v>
      </c>
      <c r="F60" s="5">
        <f ca="1">IFERROR(__xludf.DUMMYFUNCTION("IMPORTRANGE(""https://docs.google.com/spreadsheets/d/1rOGZhKHVnDGFqGTO7UNOJSkSJyQwVuEb2-yhWQit7lw/edit?gid=1839445998#gid=1839445998"", address(row($D58),column($D58),,,""UHV-P""))"),18)</f>
        <v>18</v>
      </c>
      <c r="G60" s="8">
        <f t="shared" ca="1" si="3"/>
        <v>81.818181818181827</v>
      </c>
      <c r="H60" s="5">
        <f ca="1">IFERROR(__xludf.DUMMYFUNCTION("IMPORTRANGE(""https://docs.google.com/spreadsheets/d/1rOGZhKHVnDGFqGTO7UNOJSkSJyQwVuEb2-yhWQit7lw/edit?gid=1415582716#gid=1415582716"", address(row($D58),column($D58),,,""DL&amp;CO-P""))"),17)</f>
        <v>17</v>
      </c>
      <c r="I60" s="8">
        <f t="shared" ca="1" si="4"/>
        <v>89.473684210526315</v>
      </c>
      <c r="J60" s="5">
        <f ca="1">IFERROR(__xludf.DUMMYFUNCTION("IMPORTRANGE(""https://docs.google.com/spreadsheets/d/1rOGZhKHVnDGFqGTO7UNOJSkSJyQwVuEb2-yhWQit7lw/edit?gid=412846422#gid=412846422"", address(row($D58),column($D58),,,""ADSA-P""))"),26)</f>
        <v>26</v>
      </c>
      <c r="K60" s="8">
        <f t="shared" ca="1" si="5"/>
        <v>59.090909090909093</v>
      </c>
      <c r="L60" s="5">
        <f ca="1">IFERROR(__xludf.DUMMYFUNCTION("IMPORTRANGE(""https://docs.google.com/spreadsheets/d/1rOGZhKHVnDGFqGTO7UNOJSkSJyQwVuEb2-yhWQit7lw/edit?gid=1092082017#gid=1092082017"", address(row($D58),column($D58),,,""JAVA-P""))"),16)</f>
        <v>16</v>
      </c>
      <c r="M60" s="8">
        <f t="shared" ca="1" si="6"/>
        <v>100</v>
      </c>
      <c r="N60" s="5">
        <f ca="1">IFERROR(__xludf.DUMMYFUNCTION("IMPORTRANGE(""https://docs.google.com/spreadsheets/d/1rOGZhKHVnDGFqGTO7UNOJSkSJyQwVuEb2-yhWQit7lw/edit?gid=1379505903#gid=1379505903"", address(row($D58),column($D58),,,""FOSS LAB-P""))"),6)</f>
        <v>6</v>
      </c>
      <c r="O60" s="8">
        <f t="shared" ca="1" si="7"/>
        <v>50</v>
      </c>
      <c r="P60" s="5">
        <f ca="1">IFERROR(__xludf.DUMMYFUNCTION("IMPORTRANGE(""https://docs.google.com/spreadsheets/d/1rOGZhKHVnDGFqGTO7UNOJSkSJyQwVuEb2-yhWQit7lw/edit?gid=434615646#gid=434615646"", address(row($D58),column($D58),,,""PP-P""))"),16)</f>
        <v>16</v>
      </c>
      <c r="Q60" s="8">
        <f t="shared" ca="1" si="8"/>
        <v>57.142857142857139</v>
      </c>
      <c r="R60" s="5">
        <f ca="1">IFERROR(__xludf.DUMMYFUNCTION("IMPORTRANGE(""https://docs.google.com/spreadsheets/d/1rOGZhKHVnDGFqGTO7UNOJSkSJyQwVuEb2-yhWQit7lw/edit?gid=1663742830#gid=1663742830"", address(row($D58),column($D58),,,""NPTEL-P""))"),12)</f>
        <v>12</v>
      </c>
      <c r="S60" s="5">
        <f t="shared" ca="1" si="9"/>
        <v>100</v>
      </c>
      <c r="T60" s="6">
        <f ca="1">IFERROR(__xludf.DUMMYFUNCTION("IMPORTRANGE(""https://docs.google.com/spreadsheets/d/1rOGZhKHVnDGFqGTO7UNOJSkSJyQwVuEb2-yhWQit7lw/edit?gid=227426469#gid=227426469"", address(row($D58),column($D58),,,""CRT-P""))"),0)</f>
        <v>0</v>
      </c>
      <c r="U60" s="8" t="e">
        <f t="shared" ca="1" si="10"/>
        <v>#DIV/0!</v>
      </c>
      <c r="V60" s="6">
        <f t="shared" ca="1" si="0"/>
        <v>111</v>
      </c>
      <c r="W60" s="4">
        <f t="shared" ca="1" si="11"/>
        <v>73</v>
      </c>
      <c r="X60" s="4">
        <v>0</v>
      </c>
      <c r="Y60" s="4">
        <v>0</v>
      </c>
      <c r="Z60" s="4">
        <f t="shared" ca="1" si="1"/>
        <v>111</v>
      </c>
      <c r="AA60" s="10">
        <f t="shared" ca="1" si="12"/>
        <v>73</v>
      </c>
    </row>
    <row r="61" spans="1:27" ht="15.85" customHeight="1" x14ac:dyDescent="0.35">
      <c r="A61" s="8">
        <v>56</v>
      </c>
      <c r="B61" s="9" t="s">
        <v>567</v>
      </c>
      <c r="C61" s="21" t="s">
        <v>568</v>
      </c>
      <c r="D61" s="5">
        <f ca="1">IFERROR(__xludf.DUMMYFUNCTION("IMPORTRANGE(""https://docs.google.com/spreadsheets/d/1rOGZhKHVnDGFqGTO7UNOJSkSJyQwVuEb2-yhWQit7lw/edit?gid=1294109558#gid=1294109558"", address(row($D59),column($D59),,,""DM&amp;GT-P""))"),0)</f>
        <v>0</v>
      </c>
      <c r="E61" s="8" t="e">
        <f t="shared" ca="1" si="2"/>
        <v>#DIV/0!</v>
      </c>
      <c r="F61" s="5">
        <f ca="1">IFERROR(__xludf.DUMMYFUNCTION("IMPORTRANGE(""https://docs.google.com/spreadsheets/d/1rOGZhKHVnDGFqGTO7UNOJSkSJyQwVuEb2-yhWQit7lw/edit?gid=1839445998#gid=1839445998"", address(row($D59),column($D59),,,""UHV-P""))"),14)</f>
        <v>14</v>
      </c>
      <c r="G61" s="8">
        <f t="shared" ca="1" si="3"/>
        <v>63.636363636363633</v>
      </c>
      <c r="H61" s="5">
        <f ca="1">IFERROR(__xludf.DUMMYFUNCTION("IMPORTRANGE(""https://docs.google.com/spreadsheets/d/1rOGZhKHVnDGFqGTO7UNOJSkSJyQwVuEb2-yhWQit7lw/edit?gid=1415582716#gid=1415582716"", address(row($D59),column($D59),,,""DL&amp;CO-P""))"),13)</f>
        <v>13</v>
      </c>
      <c r="I61" s="8">
        <f t="shared" ca="1" si="4"/>
        <v>68.421052631578945</v>
      </c>
      <c r="J61" s="5">
        <f ca="1">IFERROR(__xludf.DUMMYFUNCTION("IMPORTRANGE(""https://docs.google.com/spreadsheets/d/1rOGZhKHVnDGFqGTO7UNOJSkSJyQwVuEb2-yhWQit7lw/edit?gid=412846422#gid=412846422"", address(row($D59),column($D59),,,""ADSA-P""))"),10)</f>
        <v>10</v>
      </c>
      <c r="K61" s="8">
        <f t="shared" ca="1" si="5"/>
        <v>22.727272727272727</v>
      </c>
      <c r="L61" s="5">
        <f ca="1">IFERROR(__xludf.DUMMYFUNCTION("IMPORTRANGE(""https://docs.google.com/spreadsheets/d/1rOGZhKHVnDGFqGTO7UNOJSkSJyQwVuEb2-yhWQit7lw/edit?gid=1092082017#gid=1092082017"", address(row($D59),column($D59),,,""JAVA-P""))"),4)</f>
        <v>4</v>
      </c>
      <c r="M61" s="8">
        <f t="shared" ca="1" si="6"/>
        <v>25</v>
      </c>
      <c r="N61" s="5">
        <f ca="1">IFERROR(__xludf.DUMMYFUNCTION("IMPORTRANGE(""https://docs.google.com/spreadsheets/d/1rOGZhKHVnDGFqGTO7UNOJSkSJyQwVuEb2-yhWQit7lw/edit?gid=1379505903#gid=1379505903"", address(row($D59),column($D59),,,""FOSS LAB-P""))"),3)</f>
        <v>3</v>
      </c>
      <c r="O61" s="8">
        <f t="shared" ca="1" si="7"/>
        <v>25</v>
      </c>
      <c r="P61" s="5">
        <f ca="1">IFERROR(__xludf.DUMMYFUNCTION("IMPORTRANGE(""https://docs.google.com/spreadsheets/d/1rOGZhKHVnDGFqGTO7UNOJSkSJyQwVuEb2-yhWQit7lw/edit?gid=434615646#gid=434615646"", address(row($D59),column($D59),,,""PP-P""))"),14)</f>
        <v>14</v>
      </c>
      <c r="Q61" s="8">
        <f t="shared" ca="1" si="8"/>
        <v>50</v>
      </c>
      <c r="R61" s="5">
        <f ca="1">IFERROR(__xludf.DUMMYFUNCTION("IMPORTRANGE(""https://docs.google.com/spreadsheets/d/1rOGZhKHVnDGFqGTO7UNOJSkSJyQwVuEb2-yhWQit7lw/edit?gid=1663742830#gid=1663742830"", address(row($D59),column($D59),,,""NPTEL-P""))"),8)</f>
        <v>8</v>
      </c>
      <c r="S61" s="5">
        <f t="shared" ca="1" si="9"/>
        <v>66.666666666666657</v>
      </c>
      <c r="T61" s="6">
        <f ca="1">IFERROR(__xludf.DUMMYFUNCTION("IMPORTRANGE(""https://docs.google.com/spreadsheets/d/1rOGZhKHVnDGFqGTO7UNOJSkSJyQwVuEb2-yhWQit7lw/edit?gid=227426469#gid=227426469"", address(row($D59),column($D59),,,""CRT-P""))"),0)</f>
        <v>0</v>
      </c>
      <c r="U61" s="8" t="e">
        <f t="shared" ca="1" si="10"/>
        <v>#DIV/0!</v>
      </c>
      <c r="V61" s="6">
        <f t="shared" ca="1" si="0"/>
        <v>66</v>
      </c>
      <c r="W61" s="4">
        <f t="shared" ca="1" si="11"/>
        <v>43</v>
      </c>
      <c r="X61" s="4">
        <v>0</v>
      </c>
      <c r="Y61" s="4">
        <v>0</v>
      </c>
      <c r="Z61" s="4">
        <f t="shared" ca="1" si="1"/>
        <v>66</v>
      </c>
      <c r="AA61" s="10">
        <f t="shared" ca="1" si="12"/>
        <v>43</v>
      </c>
    </row>
    <row r="62" spans="1:27" ht="15.85" customHeight="1" x14ac:dyDescent="0.35">
      <c r="A62" s="8">
        <v>57</v>
      </c>
      <c r="B62" s="9" t="s">
        <v>569</v>
      </c>
      <c r="C62" s="21" t="s">
        <v>570</v>
      </c>
      <c r="D62" s="5">
        <f ca="1">IFERROR(__xludf.DUMMYFUNCTION("IMPORTRANGE(""https://docs.google.com/spreadsheets/d/1rOGZhKHVnDGFqGTO7UNOJSkSJyQwVuEb2-yhWQit7lw/edit?gid=1294109558#gid=1294109558"", address(row($D60),column($D60),,,""DM&amp;GT-P""))"),0)</f>
        <v>0</v>
      </c>
      <c r="E62" s="8" t="e">
        <f t="shared" ca="1" si="2"/>
        <v>#DIV/0!</v>
      </c>
      <c r="F62" s="5">
        <f ca="1">IFERROR(__xludf.DUMMYFUNCTION("IMPORTRANGE(""https://docs.google.com/spreadsheets/d/1rOGZhKHVnDGFqGTO7UNOJSkSJyQwVuEb2-yhWQit7lw/edit?gid=1839445998#gid=1839445998"", address(row($D60),column($D60),,,""UHV-P""))"),17)</f>
        <v>17</v>
      </c>
      <c r="G62" s="8">
        <f t="shared" ca="1" si="3"/>
        <v>77.272727272727266</v>
      </c>
      <c r="H62" s="5">
        <f ca="1">IFERROR(__xludf.DUMMYFUNCTION("IMPORTRANGE(""https://docs.google.com/spreadsheets/d/1rOGZhKHVnDGFqGTO7UNOJSkSJyQwVuEb2-yhWQit7lw/edit?gid=1415582716#gid=1415582716"", address(row($D60),column($D60),,,""DL&amp;CO-P""))"),14)</f>
        <v>14</v>
      </c>
      <c r="I62" s="8">
        <f t="shared" ca="1" si="4"/>
        <v>73.68421052631578</v>
      </c>
      <c r="J62" s="5">
        <f ca="1">IFERROR(__xludf.DUMMYFUNCTION("IMPORTRANGE(""https://docs.google.com/spreadsheets/d/1rOGZhKHVnDGFqGTO7UNOJSkSJyQwVuEb2-yhWQit7lw/edit?gid=412846422#gid=412846422"", address(row($D60),column($D60),,,""ADSA-P""))"),26)</f>
        <v>26</v>
      </c>
      <c r="K62" s="8">
        <f t="shared" ca="1" si="5"/>
        <v>59.090909090909093</v>
      </c>
      <c r="L62" s="5">
        <f ca="1">IFERROR(__xludf.DUMMYFUNCTION("IMPORTRANGE(""https://docs.google.com/spreadsheets/d/1rOGZhKHVnDGFqGTO7UNOJSkSJyQwVuEb2-yhWQit7lw/edit?gid=1092082017#gid=1092082017"", address(row($D60),column($D60),,,""JAVA-P""))"),8)</f>
        <v>8</v>
      </c>
      <c r="M62" s="8">
        <f t="shared" ca="1" si="6"/>
        <v>50</v>
      </c>
      <c r="N62" s="5">
        <f ca="1">IFERROR(__xludf.DUMMYFUNCTION("IMPORTRANGE(""https://docs.google.com/spreadsheets/d/1rOGZhKHVnDGFqGTO7UNOJSkSJyQwVuEb2-yhWQit7lw/edit?gid=1379505903#gid=1379505903"", address(row($D60),column($D60),,,""FOSS LAB-P""))"),12)</f>
        <v>12</v>
      </c>
      <c r="O62" s="8">
        <f t="shared" ca="1" si="7"/>
        <v>100</v>
      </c>
      <c r="P62" s="5">
        <f ca="1">IFERROR(__xludf.DUMMYFUNCTION("IMPORTRANGE(""https://docs.google.com/spreadsheets/d/1rOGZhKHVnDGFqGTO7UNOJSkSJyQwVuEb2-yhWQit7lw/edit?gid=434615646#gid=434615646"", address(row($D60),column($D60),,,""PP-P""))"),18)</f>
        <v>18</v>
      </c>
      <c r="Q62" s="8">
        <f t="shared" ca="1" si="8"/>
        <v>64.285714285714292</v>
      </c>
      <c r="R62" s="5">
        <f ca="1">IFERROR(__xludf.DUMMYFUNCTION("IMPORTRANGE(""https://docs.google.com/spreadsheets/d/1rOGZhKHVnDGFqGTO7UNOJSkSJyQwVuEb2-yhWQit7lw/edit?gid=1663742830#gid=1663742830"", address(row($D60),column($D60),,,""NPTEL-P""))"),10)</f>
        <v>10</v>
      </c>
      <c r="S62" s="5">
        <f t="shared" ca="1" si="9"/>
        <v>83.333333333333343</v>
      </c>
      <c r="T62" s="6">
        <f ca="1">IFERROR(__xludf.DUMMYFUNCTION("IMPORTRANGE(""https://docs.google.com/spreadsheets/d/1rOGZhKHVnDGFqGTO7UNOJSkSJyQwVuEb2-yhWQit7lw/edit?gid=227426469#gid=227426469"", address(row($D60),column($D60),,,""CRT-P""))"),0)</f>
        <v>0</v>
      </c>
      <c r="U62" s="8" t="e">
        <f t="shared" ca="1" si="10"/>
        <v>#DIV/0!</v>
      </c>
      <c r="V62" s="6">
        <f t="shared" ca="1" si="0"/>
        <v>105</v>
      </c>
      <c r="W62" s="4">
        <f t="shared" ca="1" si="11"/>
        <v>69</v>
      </c>
      <c r="X62" s="4">
        <v>0</v>
      </c>
      <c r="Y62" s="4">
        <v>0</v>
      </c>
      <c r="Z62" s="4">
        <f t="shared" ca="1" si="1"/>
        <v>105</v>
      </c>
      <c r="AA62" s="10">
        <f t="shared" ca="1" si="12"/>
        <v>69</v>
      </c>
    </row>
    <row r="63" spans="1:27" ht="15.85" customHeight="1" x14ac:dyDescent="0.35">
      <c r="A63" s="8">
        <v>58</v>
      </c>
      <c r="B63" s="9" t="s">
        <v>571</v>
      </c>
      <c r="C63" s="21" t="s">
        <v>572</v>
      </c>
      <c r="D63" s="5">
        <f ca="1">IFERROR(__xludf.DUMMYFUNCTION("IMPORTRANGE(""https://docs.google.com/spreadsheets/d/1rOGZhKHVnDGFqGTO7UNOJSkSJyQwVuEb2-yhWQit7lw/edit?gid=1294109558#gid=1294109558"", address(row($D61),column($D61),,,""DM&amp;GT-P""))"),0)</f>
        <v>0</v>
      </c>
      <c r="E63" s="8" t="e">
        <f t="shared" ca="1" si="2"/>
        <v>#DIV/0!</v>
      </c>
      <c r="F63" s="5">
        <f ca="1">IFERROR(__xludf.DUMMYFUNCTION("IMPORTRANGE(""https://docs.google.com/spreadsheets/d/1rOGZhKHVnDGFqGTO7UNOJSkSJyQwVuEb2-yhWQit7lw/edit?gid=1839445998#gid=1839445998"", address(row($D61),column($D61),,,""UHV-P""))"),0)</f>
        <v>0</v>
      </c>
      <c r="G63" s="8">
        <f t="shared" ca="1" si="3"/>
        <v>0</v>
      </c>
      <c r="H63" s="5">
        <f ca="1">IFERROR(__xludf.DUMMYFUNCTION("IMPORTRANGE(""https://docs.google.com/spreadsheets/d/1rOGZhKHVnDGFqGTO7UNOJSkSJyQwVuEb2-yhWQit7lw/edit?gid=1415582716#gid=1415582716"", address(row($D61),column($D61),,,""DL&amp;CO-P""))"),7)</f>
        <v>7</v>
      </c>
      <c r="I63" s="8">
        <f t="shared" ca="1" si="4"/>
        <v>36.84210526315789</v>
      </c>
      <c r="J63" s="5">
        <f ca="1">IFERROR(__xludf.DUMMYFUNCTION("IMPORTRANGE(""https://docs.google.com/spreadsheets/d/1rOGZhKHVnDGFqGTO7UNOJSkSJyQwVuEb2-yhWQit7lw/edit?gid=412846422#gid=412846422"", address(row($D61),column($D61),,,""ADSA-P""))"),10)</f>
        <v>10</v>
      </c>
      <c r="K63" s="8">
        <f t="shared" ca="1" si="5"/>
        <v>22.727272727272727</v>
      </c>
      <c r="L63" s="5">
        <f ca="1">IFERROR(__xludf.DUMMYFUNCTION("IMPORTRANGE(""https://docs.google.com/spreadsheets/d/1rOGZhKHVnDGFqGTO7UNOJSkSJyQwVuEb2-yhWQit7lw/edit?gid=1092082017#gid=1092082017"", address(row($D61),column($D61),,,""JAVA-P""))"),0)</f>
        <v>0</v>
      </c>
      <c r="M63" s="8">
        <f t="shared" ca="1" si="6"/>
        <v>0</v>
      </c>
      <c r="N63" s="5">
        <f ca="1">IFERROR(__xludf.DUMMYFUNCTION("IMPORTRANGE(""https://docs.google.com/spreadsheets/d/1rOGZhKHVnDGFqGTO7UNOJSkSJyQwVuEb2-yhWQit7lw/edit?gid=1379505903#gid=1379505903"", address(row($D61),column($D61),,,""FOSS LAB-P""))"),3)</f>
        <v>3</v>
      </c>
      <c r="O63" s="8">
        <f t="shared" ca="1" si="7"/>
        <v>25</v>
      </c>
      <c r="P63" s="5">
        <f ca="1">IFERROR(__xludf.DUMMYFUNCTION("IMPORTRANGE(""https://docs.google.com/spreadsheets/d/1rOGZhKHVnDGFqGTO7UNOJSkSJyQwVuEb2-yhWQit7lw/edit?gid=434615646#gid=434615646"", address(row($D61),column($D61),,,""PP-P""))"),4)</f>
        <v>4</v>
      </c>
      <c r="Q63" s="8">
        <f t="shared" ca="1" si="8"/>
        <v>14.285714285714285</v>
      </c>
      <c r="R63" s="5">
        <f ca="1">IFERROR(__xludf.DUMMYFUNCTION("IMPORTRANGE(""https://docs.google.com/spreadsheets/d/1rOGZhKHVnDGFqGTO7UNOJSkSJyQwVuEb2-yhWQit7lw/edit?gid=1663742830#gid=1663742830"", address(row($D61),column($D61),,,""NPTEL-P""))"),0)</f>
        <v>0</v>
      </c>
      <c r="S63" s="5">
        <f t="shared" ca="1" si="9"/>
        <v>0</v>
      </c>
      <c r="T63" s="6">
        <f ca="1">IFERROR(__xludf.DUMMYFUNCTION("IMPORTRANGE(""https://docs.google.com/spreadsheets/d/1rOGZhKHVnDGFqGTO7UNOJSkSJyQwVuEb2-yhWQit7lw/edit?gid=227426469#gid=227426469"", address(row($D61),column($D61),,,""CRT-P""))"),0)</f>
        <v>0</v>
      </c>
      <c r="U63" s="8" t="e">
        <f t="shared" ca="1" si="10"/>
        <v>#DIV/0!</v>
      </c>
      <c r="V63" s="6">
        <f t="shared" ca="1" si="0"/>
        <v>24</v>
      </c>
      <c r="W63" s="4">
        <f t="shared" ca="1" si="11"/>
        <v>16</v>
      </c>
      <c r="X63" s="4">
        <v>0</v>
      </c>
      <c r="Y63" s="4">
        <v>0</v>
      </c>
      <c r="Z63" s="4">
        <f t="shared" ca="1" si="1"/>
        <v>24</v>
      </c>
      <c r="AA63" s="10">
        <f t="shared" ca="1" si="12"/>
        <v>16</v>
      </c>
    </row>
    <row r="64" spans="1:27" ht="15.85" customHeight="1" x14ac:dyDescent="0.35">
      <c r="A64" s="8">
        <v>59</v>
      </c>
      <c r="B64" s="9" t="s">
        <v>573</v>
      </c>
      <c r="C64" s="21" t="s">
        <v>574</v>
      </c>
      <c r="D64" s="5">
        <f ca="1">IFERROR(__xludf.DUMMYFUNCTION("IMPORTRANGE(""https://docs.google.com/spreadsheets/d/1rOGZhKHVnDGFqGTO7UNOJSkSJyQwVuEb2-yhWQit7lw/edit?gid=1294109558#gid=1294109558"", address(row($D62),column($D62),,,""DM&amp;GT-P""))"),0)</f>
        <v>0</v>
      </c>
      <c r="E64" s="8" t="e">
        <f t="shared" ca="1" si="2"/>
        <v>#DIV/0!</v>
      </c>
      <c r="F64" s="5">
        <f ca="1">IFERROR(__xludf.DUMMYFUNCTION("IMPORTRANGE(""https://docs.google.com/spreadsheets/d/1rOGZhKHVnDGFqGTO7UNOJSkSJyQwVuEb2-yhWQit7lw/edit?gid=1839445998#gid=1839445998"", address(row($D62),column($D62),,,""UHV-P""))"),17)</f>
        <v>17</v>
      </c>
      <c r="G64" s="8">
        <f t="shared" ca="1" si="3"/>
        <v>77.272727272727266</v>
      </c>
      <c r="H64" s="5">
        <f ca="1">IFERROR(__xludf.DUMMYFUNCTION("IMPORTRANGE(""https://docs.google.com/spreadsheets/d/1rOGZhKHVnDGFqGTO7UNOJSkSJyQwVuEb2-yhWQit7lw/edit?gid=1415582716#gid=1415582716"", address(row($D62),column($D62),,,""DL&amp;CO-P""))"),14)</f>
        <v>14</v>
      </c>
      <c r="I64" s="8">
        <f t="shared" ca="1" si="4"/>
        <v>73.68421052631578</v>
      </c>
      <c r="J64" s="5">
        <f ca="1">IFERROR(__xludf.DUMMYFUNCTION("IMPORTRANGE(""https://docs.google.com/spreadsheets/d/1rOGZhKHVnDGFqGTO7UNOJSkSJyQwVuEb2-yhWQit7lw/edit?gid=412846422#gid=412846422"", address(row($D62),column($D62),,,""ADSA-P""))"),26)</f>
        <v>26</v>
      </c>
      <c r="K64" s="8">
        <f t="shared" ca="1" si="5"/>
        <v>59.090909090909093</v>
      </c>
      <c r="L64" s="5">
        <f ca="1">IFERROR(__xludf.DUMMYFUNCTION("IMPORTRANGE(""https://docs.google.com/spreadsheets/d/1rOGZhKHVnDGFqGTO7UNOJSkSJyQwVuEb2-yhWQit7lw/edit?gid=1092082017#gid=1092082017"", address(row($D62),column($D62),,,""JAVA-P""))"),12)</f>
        <v>12</v>
      </c>
      <c r="M64" s="8">
        <f t="shared" ca="1" si="6"/>
        <v>75</v>
      </c>
      <c r="N64" s="5">
        <f ca="1">IFERROR(__xludf.DUMMYFUNCTION("IMPORTRANGE(""https://docs.google.com/spreadsheets/d/1rOGZhKHVnDGFqGTO7UNOJSkSJyQwVuEb2-yhWQit7lw/edit?gid=1379505903#gid=1379505903"", address(row($D62),column($D62),,,""FOSS LAB-P""))"),9)</f>
        <v>9</v>
      </c>
      <c r="O64" s="8">
        <f t="shared" ca="1" si="7"/>
        <v>75</v>
      </c>
      <c r="P64" s="5">
        <f ca="1">IFERROR(__xludf.DUMMYFUNCTION("IMPORTRANGE(""https://docs.google.com/spreadsheets/d/1rOGZhKHVnDGFqGTO7UNOJSkSJyQwVuEb2-yhWQit7lw/edit?gid=434615646#gid=434615646"", address(row($D62),column($D62),,,""PP-P""))"),20)</f>
        <v>20</v>
      </c>
      <c r="Q64" s="8">
        <f t="shared" ca="1" si="8"/>
        <v>71.428571428571431</v>
      </c>
      <c r="R64" s="5">
        <f ca="1">IFERROR(__xludf.DUMMYFUNCTION("IMPORTRANGE(""https://docs.google.com/spreadsheets/d/1rOGZhKHVnDGFqGTO7UNOJSkSJyQwVuEb2-yhWQit7lw/edit?gid=1663742830#gid=1663742830"", address(row($D62),column($D62),,,""NPTEL-P""))"),8)</f>
        <v>8</v>
      </c>
      <c r="S64" s="5">
        <f t="shared" ca="1" si="9"/>
        <v>66.666666666666657</v>
      </c>
      <c r="T64" s="6">
        <f ca="1">IFERROR(__xludf.DUMMYFUNCTION("IMPORTRANGE(""https://docs.google.com/spreadsheets/d/1rOGZhKHVnDGFqGTO7UNOJSkSJyQwVuEb2-yhWQit7lw/edit?gid=227426469#gid=227426469"", address(row($D62),column($D62),,,""CRT-P""))"),0)</f>
        <v>0</v>
      </c>
      <c r="U64" s="8" t="e">
        <f t="shared" ca="1" si="10"/>
        <v>#DIV/0!</v>
      </c>
      <c r="V64" s="6">
        <f t="shared" ca="1" si="0"/>
        <v>106</v>
      </c>
      <c r="W64" s="4">
        <f t="shared" ca="1" si="11"/>
        <v>69</v>
      </c>
      <c r="X64" s="4">
        <v>0</v>
      </c>
      <c r="Y64" s="4">
        <v>0</v>
      </c>
      <c r="Z64" s="4">
        <f t="shared" ca="1" si="1"/>
        <v>106</v>
      </c>
      <c r="AA64" s="10">
        <f t="shared" ca="1" si="12"/>
        <v>69</v>
      </c>
    </row>
    <row r="65" spans="1:27" ht="15.85" customHeight="1" x14ac:dyDescent="0.35">
      <c r="A65" s="8">
        <v>60</v>
      </c>
      <c r="B65" s="9" t="s">
        <v>575</v>
      </c>
      <c r="C65" s="21" t="s">
        <v>576</v>
      </c>
      <c r="D65" s="5">
        <f ca="1">IFERROR(__xludf.DUMMYFUNCTION("IMPORTRANGE(""https://docs.google.com/spreadsheets/d/1rOGZhKHVnDGFqGTO7UNOJSkSJyQwVuEb2-yhWQit7lw/edit?gid=1294109558#gid=1294109558"", address(row($D63),column($D63),,,""DM&amp;GT-P""))"),0)</f>
        <v>0</v>
      </c>
      <c r="E65" s="8" t="e">
        <f t="shared" ca="1" si="2"/>
        <v>#DIV/0!</v>
      </c>
      <c r="F65" s="5">
        <f ca="1">IFERROR(__xludf.DUMMYFUNCTION("IMPORTRANGE(""https://docs.google.com/spreadsheets/d/1rOGZhKHVnDGFqGTO7UNOJSkSJyQwVuEb2-yhWQit7lw/edit?gid=1839445998#gid=1839445998"", address(row($D63),column($D63),,,""UHV-P""))"),18)</f>
        <v>18</v>
      </c>
      <c r="G65" s="8">
        <f t="shared" ca="1" si="3"/>
        <v>81.818181818181827</v>
      </c>
      <c r="H65" s="5">
        <f ca="1">IFERROR(__xludf.DUMMYFUNCTION("IMPORTRANGE(""https://docs.google.com/spreadsheets/d/1rOGZhKHVnDGFqGTO7UNOJSkSJyQwVuEb2-yhWQit7lw/edit?gid=1415582716#gid=1415582716"", address(row($D63),column($D63),,,""DL&amp;CO-P""))"),16)</f>
        <v>16</v>
      </c>
      <c r="I65" s="8">
        <f t="shared" ca="1" si="4"/>
        <v>84.210526315789465</v>
      </c>
      <c r="J65" s="5">
        <f ca="1">IFERROR(__xludf.DUMMYFUNCTION("IMPORTRANGE(""https://docs.google.com/spreadsheets/d/1rOGZhKHVnDGFqGTO7UNOJSkSJyQwVuEb2-yhWQit7lw/edit?gid=412846422#gid=412846422"", address(row($D63),column($D63),,,""ADSA-P""))"),32)</f>
        <v>32</v>
      </c>
      <c r="K65" s="8">
        <f t="shared" ca="1" si="5"/>
        <v>72.727272727272734</v>
      </c>
      <c r="L65" s="5">
        <f ca="1">IFERROR(__xludf.DUMMYFUNCTION("IMPORTRANGE(""https://docs.google.com/spreadsheets/d/1rOGZhKHVnDGFqGTO7UNOJSkSJyQwVuEb2-yhWQit7lw/edit?gid=1092082017#gid=1092082017"", address(row($D63),column($D63),,,""JAVA-P""))"),16)</f>
        <v>16</v>
      </c>
      <c r="M65" s="8">
        <f t="shared" ca="1" si="6"/>
        <v>100</v>
      </c>
      <c r="N65" s="5">
        <f ca="1">IFERROR(__xludf.DUMMYFUNCTION("IMPORTRANGE(""https://docs.google.com/spreadsheets/d/1rOGZhKHVnDGFqGTO7UNOJSkSJyQwVuEb2-yhWQit7lw/edit?gid=1379505903#gid=1379505903"", address(row($D63),column($D63),,,""FOSS LAB-P""))"),6)</f>
        <v>6</v>
      </c>
      <c r="O65" s="8">
        <f t="shared" ca="1" si="7"/>
        <v>50</v>
      </c>
      <c r="P65" s="5">
        <f ca="1">IFERROR(__xludf.DUMMYFUNCTION("IMPORTRANGE(""https://docs.google.com/spreadsheets/d/1rOGZhKHVnDGFqGTO7UNOJSkSJyQwVuEb2-yhWQit7lw/edit?gid=434615646#gid=434615646"", address(row($D63),column($D63),,,""PP-P""))"),22)</f>
        <v>22</v>
      </c>
      <c r="Q65" s="8">
        <f t="shared" ca="1" si="8"/>
        <v>78.571428571428569</v>
      </c>
      <c r="R65" s="5">
        <f ca="1">IFERROR(__xludf.DUMMYFUNCTION("IMPORTRANGE(""https://docs.google.com/spreadsheets/d/1rOGZhKHVnDGFqGTO7UNOJSkSJyQwVuEb2-yhWQit7lw/edit?gid=1663742830#gid=1663742830"", address(row($D63),column($D63),,,""NPTEL-P""))"),12)</f>
        <v>12</v>
      </c>
      <c r="S65" s="5">
        <f t="shared" ca="1" si="9"/>
        <v>100</v>
      </c>
      <c r="T65" s="6">
        <f ca="1">IFERROR(__xludf.DUMMYFUNCTION("IMPORTRANGE(""https://docs.google.com/spreadsheets/d/1rOGZhKHVnDGFqGTO7UNOJSkSJyQwVuEb2-yhWQit7lw/edit?gid=227426469#gid=227426469"", address(row($D63),column($D63),,,""CRT-P""))"),0)</f>
        <v>0</v>
      </c>
      <c r="U65" s="8" t="e">
        <f t="shared" ca="1" si="10"/>
        <v>#DIV/0!</v>
      </c>
      <c r="V65" s="6">
        <f t="shared" ca="1" si="0"/>
        <v>122</v>
      </c>
      <c r="W65" s="4">
        <f t="shared" ca="1" si="11"/>
        <v>80</v>
      </c>
      <c r="X65" s="4">
        <v>0</v>
      </c>
      <c r="Y65" s="4">
        <v>0</v>
      </c>
      <c r="Z65" s="4">
        <f t="shared" ca="1" si="1"/>
        <v>122</v>
      </c>
      <c r="AA65" s="10">
        <f t="shared" ca="1" si="12"/>
        <v>80</v>
      </c>
    </row>
    <row r="66" spans="1:27" ht="15.85" customHeight="1" x14ac:dyDescent="0.35">
      <c r="A66" s="8">
        <v>61</v>
      </c>
      <c r="B66" s="9" t="s">
        <v>577</v>
      </c>
      <c r="C66" s="21" t="s">
        <v>578</v>
      </c>
      <c r="D66" s="5">
        <f ca="1">IFERROR(__xludf.DUMMYFUNCTION("IMPORTRANGE(""https://docs.google.com/spreadsheets/d/1rOGZhKHVnDGFqGTO7UNOJSkSJyQwVuEb2-yhWQit7lw/edit?gid=1294109558#gid=1294109558"", address(row($D64),column($D64),,,""DM&amp;GT-P""))"),0)</f>
        <v>0</v>
      </c>
      <c r="E66" s="8" t="e">
        <f t="shared" ca="1" si="2"/>
        <v>#DIV/0!</v>
      </c>
      <c r="F66" s="5">
        <f ca="1">IFERROR(__xludf.DUMMYFUNCTION("IMPORTRANGE(""https://docs.google.com/spreadsheets/d/1rOGZhKHVnDGFqGTO7UNOJSkSJyQwVuEb2-yhWQit7lw/edit?gid=1839445998#gid=1839445998"", address(row($D64),column($D64),,,""UHV-P""))"),18)</f>
        <v>18</v>
      </c>
      <c r="G66" s="8">
        <f t="shared" ca="1" si="3"/>
        <v>81.818181818181827</v>
      </c>
      <c r="H66" s="5">
        <f ca="1">IFERROR(__xludf.DUMMYFUNCTION("IMPORTRANGE(""https://docs.google.com/spreadsheets/d/1rOGZhKHVnDGFqGTO7UNOJSkSJyQwVuEb2-yhWQit7lw/edit?gid=1415582716#gid=1415582716"", address(row($D64),column($D64),,,""DL&amp;CO-P""))"),14)</f>
        <v>14</v>
      </c>
      <c r="I66" s="8">
        <f t="shared" ca="1" si="4"/>
        <v>73.68421052631578</v>
      </c>
      <c r="J66" s="5">
        <f ca="1">IFERROR(__xludf.DUMMYFUNCTION("IMPORTRANGE(""https://docs.google.com/spreadsheets/d/1rOGZhKHVnDGFqGTO7UNOJSkSJyQwVuEb2-yhWQit7lw/edit?gid=412846422#gid=412846422"", address(row($D64),column($D64),,,""ADSA-P""))"),26)</f>
        <v>26</v>
      </c>
      <c r="K66" s="8">
        <f t="shared" ca="1" si="5"/>
        <v>59.090909090909093</v>
      </c>
      <c r="L66" s="5">
        <f ca="1">IFERROR(__xludf.DUMMYFUNCTION("IMPORTRANGE(""https://docs.google.com/spreadsheets/d/1rOGZhKHVnDGFqGTO7UNOJSkSJyQwVuEb2-yhWQit7lw/edit?gid=1092082017#gid=1092082017"", address(row($D64),column($D64),,,""JAVA-P""))"),16)</f>
        <v>16</v>
      </c>
      <c r="M66" s="8">
        <f t="shared" ca="1" si="6"/>
        <v>100</v>
      </c>
      <c r="N66" s="5">
        <f ca="1">IFERROR(__xludf.DUMMYFUNCTION("IMPORTRANGE(""https://docs.google.com/spreadsheets/d/1rOGZhKHVnDGFqGTO7UNOJSkSJyQwVuEb2-yhWQit7lw/edit?gid=1379505903#gid=1379505903"", address(row($D64),column($D64),,,""FOSS LAB-P""))"),9)</f>
        <v>9</v>
      </c>
      <c r="O66" s="8">
        <f t="shared" ca="1" si="7"/>
        <v>75</v>
      </c>
      <c r="P66" s="5">
        <f ca="1">IFERROR(__xludf.DUMMYFUNCTION("IMPORTRANGE(""https://docs.google.com/spreadsheets/d/1rOGZhKHVnDGFqGTO7UNOJSkSJyQwVuEb2-yhWQit7lw/edit?gid=434615646#gid=434615646"", address(row($D64),column($D64),,,""PP-P""))"),20)</f>
        <v>20</v>
      </c>
      <c r="Q66" s="8">
        <f t="shared" ca="1" si="8"/>
        <v>71.428571428571431</v>
      </c>
      <c r="R66" s="5">
        <f ca="1">IFERROR(__xludf.DUMMYFUNCTION("IMPORTRANGE(""https://docs.google.com/spreadsheets/d/1rOGZhKHVnDGFqGTO7UNOJSkSJyQwVuEb2-yhWQit7lw/edit?gid=1663742830#gid=1663742830"", address(row($D64),column($D64),,,""NPTEL-P""))"),10)</f>
        <v>10</v>
      </c>
      <c r="S66" s="5">
        <f t="shared" ca="1" si="9"/>
        <v>83.333333333333343</v>
      </c>
      <c r="T66" s="6">
        <f ca="1">IFERROR(__xludf.DUMMYFUNCTION("IMPORTRANGE(""https://docs.google.com/spreadsheets/d/1rOGZhKHVnDGFqGTO7UNOJSkSJyQwVuEb2-yhWQit7lw/edit?gid=227426469#gid=227426469"", address(row($D64),column($D64),,,""CRT-P""))"),0)</f>
        <v>0</v>
      </c>
      <c r="U66" s="8" t="e">
        <f t="shared" ca="1" si="10"/>
        <v>#DIV/0!</v>
      </c>
      <c r="V66" s="6">
        <f t="shared" ca="1" si="0"/>
        <v>113</v>
      </c>
      <c r="W66" s="4">
        <f t="shared" ca="1" si="11"/>
        <v>74</v>
      </c>
      <c r="X66" s="4">
        <v>0</v>
      </c>
      <c r="Y66" s="4">
        <v>0</v>
      </c>
      <c r="Z66" s="4">
        <f t="shared" ca="1" si="1"/>
        <v>113</v>
      </c>
      <c r="AA66" s="10">
        <f t="shared" ca="1" si="12"/>
        <v>74</v>
      </c>
    </row>
    <row r="67" spans="1:27" ht="15.85" customHeight="1" x14ac:dyDescent="0.35">
      <c r="A67" s="8">
        <v>62</v>
      </c>
      <c r="B67" s="9" t="s">
        <v>579</v>
      </c>
      <c r="C67" s="21" t="s">
        <v>580</v>
      </c>
      <c r="D67" s="5">
        <f ca="1">IFERROR(__xludf.DUMMYFUNCTION("IMPORTRANGE(""https://docs.google.com/spreadsheets/d/1rOGZhKHVnDGFqGTO7UNOJSkSJyQwVuEb2-yhWQit7lw/edit?gid=1294109558#gid=1294109558"", address(row($D65),column($D65),,,""DM&amp;GT-P""))"),0)</f>
        <v>0</v>
      </c>
      <c r="E67" s="8" t="e">
        <f t="shared" ca="1" si="2"/>
        <v>#DIV/0!</v>
      </c>
      <c r="F67" s="5">
        <f ca="1">IFERROR(__xludf.DUMMYFUNCTION("IMPORTRANGE(""https://docs.google.com/spreadsheets/d/1rOGZhKHVnDGFqGTO7UNOJSkSJyQwVuEb2-yhWQit7lw/edit?gid=1839445998#gid=1839445998"", address(row($D65),column($D65),,,""UHV-P""))"),16)</f>
        <v>16</v>
      </c>
      <c r="G67" s="8">
        <f t="shared" ca="1" si="3"/>
        <v>72.727272727272734</v>
      </c>
      <c r="H67" s="5">
        <f ca="1">IFERROR(__xludf.DUMMYFUNCTION("IMPORTRANGE(""https://docs.google.com/spreadsheets/d/1rOGZhKHVnDGFqGTO7UNOJSkSJyQwVuEb2-yhWQit7lw/edit?gid=1415582716#gid=1415582716"", address(row($D65),column($D65),,,""DL&amp;CO-P""))"),14)</f>
        <v>14</v>
      </c>
      <c r="I67" s="8">
        <f t="shared" ca="1" si="4"/>
        <v>73.68421052631578</v>
      </c>
      <c r="J67" s="5">
        <f ca="1">IFERROR(__xludf.DUMMYFUNCTION("IMPORTRANGE(""https://docs.google.com/spreadsheets/d/1rOGZhKHVnDGFqGTO7UNOJSkSJyQwVuEb2-yhWQit7lw/edit?gid=412846422#gid=412846422"", address(row($D65),column($D65),,,""ADSA-P""))"),26)</f>
        <v>26</v>
      </c>
      <c r="K67" s="8">
        <f t="shared" ca="1" si="5"/>
        <v>59.090909090909093</v>
      </c>
      <c r="L67" s="5">
        <f ca="1">IFERROR(__xludf.DUMMYFUNCTION("IMPORTRANGE(""https://docs.google.com/spreadsheets/d/1rOGZhKHVnDGFqGTO7UNOJSkSJyQwVuEb2-yhWQit7lw/edit?gid=1092082017#gid=1092082017"", address(row($D65),column($D65),,,""JAVA-P""))"),16)</f>
        <v>16</v>
      </c>
      <c r="M67" s="8">
        <f t="shared" ca="1" si="6"/>
        <v>100</v>
      </c>
      <c r="N67" s="5">
        <f ca="1">IFERROR(__xludf.DUMMYFUNCTION("IMPORTRANGE(""https://docs.google.com/spreadsheets/d/1rOGZhKHVnDGFqGTO7UNOJSkSJyQwVuEb2-yhWQit7lw/edit?gid=1379505903#gid=1379505903"", address(row($D65),column($D65),,,""FOSS LAB-P""))"),6)</f>
        <v>6</v>
      </c>
      <c r="O67" s="8">
        <f t="shared" ca="1" si="7"/>
        <v>50</v>
      </c>
      <c r="P67" s="5">
        <f ca="1">IFERROR(__xludf.DUMMYFUNCTION("IMPORTRANGE(""https://docs.google.com/spreadsheets/d/1rOGZhKHVnDGFqGTO7UNOJSkSJyQwVuEb2-yhWQit7lw/edit?gid=434615646#gid=434615646"", address(row($D65),column($D65),,,""PP-P""))"),14)</f>
        <v>14</v>
      </c>
      <c r="Q67" s="8">
        <f t="shared" ca="1" si="8"/>
        <v>50</v>
      </c>
      <c r="R67" s="5">
        <f ca="1">IFERROR(__xludf.DUMMYFUNCTION("IMPORTRANGE(""https://docs.google.com/spreadsheets/d/1rOGZhKHVnDGFqGTO7UNOJSkSJyQwVuEb2-yhWQit7lw/edit?gid=1663742830#gid=1663742830"", address(row($D65),column($D65),,,""NPTEL-P""))"),10)</f>
        <v>10</v>
      </c>
      <c r="S67" s="5">
        <f t="shared" ca="1" si="9"/>
        <v>83.333333333333343</v>
      </c>
      <c r="T67" s="6">
        <f ca="1">IFERROR(__xludf.DUMMYFUNCTION("IMPORTRANGE(""https://docs.google.com/spreadsheets/d/1rOGZhKHVnDGFqGTO7UNOJSkSJyQwVuEb2-yhWQit7lw/edit?gid=227426469#gid=227426469"", address(row($D65),column($D65),,,""CRT-P""))"),0)</f>
        <v>0</v>
      </c>
      <c r="U67" s="8" t="e">
        <f t="shared" ca="1" si="10"/>
        <v>#DIV/0!</v>
      </c>
      <c r="V67" s="6">
        <f t="shared" ca="1" si="0"/>
        <v>102</v>
      </c>
      <c r="W67" s="4">
        <f t="shared" ca="1" si="11"/>
        <v>67</v>
      </c>
      <c r="X67" s="4">
        <v>0</v>
      </c>
      <c r="Y67" s="4">
        <v>0</v>
      </c>
      <c r="Z67" s="4">
        <f t="shared" ca="1" si="1"/>
        <v>102</v>
      </c>
      <c r="AA67" s="10">
        <f t="shared" ca="1" si="12"/>
        <v>67</v>
      </c>
    </row>
    <row r="68" spans="1:27" ht="15.85" customHeight="1" x14ac:dyDescent="0.35">
      <c r="A68" s="8">
        <v>63</v>
      </c>
      <c r="B68" s="9" t="s">
        <v>581</v>
      </c>
      <c r="C68" s="21" t="s">
        <v>582</v>
      </c>
      <c r="D68" s="5">
        <f ca="1">IFERROR(__xludf.DUMMYFUNCTION("IMPORTRANGE(""https://docs.google.com/spreadsheets/d/1rOGZhKHVnDGFqGTO7UNOJSkSJyQwVuEb2-yhWQit7lw/edit?gid=1294109558#gid=1294109558"", address(row($D66),column($D66),,,""DM&amp;GT-P""))"),0)</f>
        <v>0</v>
      </c>
      <c r="E68" s="8" t="e">
        <f t="shared" ca="1" si="2"/>
        <v>#DIV/0!</v>
      </c>
      <c r="F68" s="5">
        <f ca="1">IFERROR(__xludf.DUMMYFUNCTION("IMPORTRANGE(""https://docs.google.com/spreadsheets/d/1rOGZhKHVnDGFqGTO7UNOJSkSJyQwVuEb2-yhWQit7lw/edit?gid=1839445998#gid=1839445998"", address(row($D66),column($D66),,,""UHV-P""))"),18)</f>
        <v>18</v>
      </c>
      <c r="G68" s="8">
        <f t="shared" ca="1" si="3"/>
        <v>81.818181818181827</v>
      </c>
      <c r="H68" s="5">
        <f ca="1">IFERROR(__xludf.DUMMYFUNCTION("IMPORTRANGE(""https://docs.google.com/spreadsheets/d/1rOGZhKHVnDGFqGTO7UNOJSkSJyQwVuEb2-yhWQit7lw/edit?gid=1415582716#gid=1415582716"", address(row($D66),column($D66),,,""DL&amp;CO-P""))"),15)</f>
        <v>15</v>
      </c>
      <c r="I68" s="8">
        <f t="shared" ca="1" si="4"/>
        <v>78.94736842105263</v>
      </c>
      <c r="J68" s="5">
        <f ca="1">IFERROR(__xludf.DUMMYFUNCTION("IMPORTRANGE(""https://docs.google.com/spreadsheets/d/1rOGZhKHVnDGFqGTO7UNOJSkSJyQwVuEb2-yhWQit7lw/edit?gid=412846422#gid=412846422"", address(row($D66),column($D66),,,""ADSA-P""))"),28)</f>
        <v>28</v>
      </c>
      <c r="K68" s="8">
        <f t="shared" ca="1" si="5"/>
        <v>63.636363636363633</v>
      </c>
      <c r="L68" s="5">
        <f ca="1">IFERROR(__xludf.DUMMYFUNCTION("IMPORTRANGE(""https://docs.google.com/spreadsheets/d/1rOGZhKHVnDGFqGTO7UNOJSkSJyQwVuEb2-yhWQit7lw/edit?gid=1092082017#gid=1092082017"", address(row($D66),column($D66),,,""JAVA-P""))"),8)</f>
        <v>8</v>
      </c>
      <c r="M68" s="8">
        <f t="shared" ca="1" si="6"/>
        <v>50</v>
      </c>
      <c r="N68" s="5">
        <f ca="1">IFERROR(__xludf.DUMMYFUNCTION("IMPORTRANGE(""https://docs.google.com/spreadsheets/d/1rOGZhKHVnDGFqGTO7UNOJSkSJyQwVuEb2-yhWQit7lw/edit?gid=1379505903#gid=1379505903"", address(row($D66),column($D66),,,""FOSS LAB-P""))"),6)</f>
        <v>6</v>
      </c>
      <c r="O68" s="8">
        <f t="shared" ca="1" si="7"/>
        <v>50</v>
      </c>
      <c r="P68" s="5">
        <f ca="1">IFERROR(__xludf.DUMMYFUNCTION("IMPORTRANGE(""https://docs.google.com/spreadsheets/d/1rOGZhKHVnDGFqGTO7UNOJSkSJyQwVuEb2-yhWQit7lw/edit?gid=434615646#gid=434615646"", address(row($D66),column($D66),,,""PP-P""))"),18)</f>
        <v>18</v>
      </c>
      <c r="Q68" s="8">
        <f t="shared" ca="1" si="8"/>
        <v>64.285714285714292</v>
      </c>
      <c r="R68" s="5">
        <f ca="1">IFERROR(__xludf.DUMMYFUNCTION("IMPORTRANGE(""https://docs.google.com/spreadsheets/d/1rOGZhKHVnDGFqGTO7UNOJSkSJyQwVuEb2-yhWQit7lw/edit?gid=1663742830#gid=1663742830"", address(row($D66),column($D66),,,""NPTEL-P""))"),8)</f>
        <v>8</v>
      </c>
      <c r="S68" s="5">
        <f t="shared" ca="1" si="9"/>
        <v>66.666666666666657</v>
      </c>
      <c r="T68" s="6">
        <f ca="1">IFERROR(__xludf.DUMMYFUNCTION("IMPORTRANGE(""https://docs.google.com/spreadsheets/d/1rOGZhKHVnDGFqGTO7UNOJSkSJyQwVuEb2-yhWQit7lw/edit?gid=227426469#gid=227426469"", address(row($D66),column($D66),,,""CRT-P""))"),0)</f>
        <v>0</v>
      </c>
      <c r="U68" s="8" t="e">
        <f t="shared" ca="1" si="10"/>
        <v>#DIV/0!</v>
      </c>
      <c r="V68" s="6">
        <f t="shared" ca="1" si="0"/>
        <v>101</v>
      </c>
      <c r="W68" s="4">
        <f t="shared" ca="1" si="11"/>
        <v>66</v>
      </c>
      <c r="X68" s="4">
        <v>0</v>
      </c>
      <c r="Y68" s="4">
        <v>0</v>
      </c>
      <c r="Z68" s="4">
        <f t="shared" ca="1" si="1"/>
        <v>101</v>
      </c>
      <c r="AA68" s="10">
        <f t="shared" ca="1" si="12"/>
        <v>66</v>
      </c>
    </row>
    <row r="69" spans="1:27" ht="15.85" customHeight="1" x14ac:dyDescent="0.35">
      <c r="A69" s="8">
        <v>64</v>
      </c>
      <c r="B69" s="9" t="s">
        <v>583</v>
      </c>
      <c r="C69" s="21" t="s">
        <v>584</v>
      </c>
      <c r="D69" s="5">
        <f ca="1">IFERROR(__xludf.DUMMYFUNCTION("IMPORTRANGE(""https://docs.google.com/spreadsheets/d/1rOGZhKHVnDGFqGTO7UNOJSkSJyQwVuEb2-yhWQit7lw/edit?gid=1294109558#gid=1294109558"", address(row($D67),column($D67),,,""DM&amp;GT-P""))"),0)</f>
        <v>0</v>
      </c>
      <c r="E69" s="8" t="e">
        <f t="shared" ca="1" si="2"/>
        <v>#DIV/0!</v>
      </c>
      <c r="F69" s="5">
        <f ca="1">IFERROR(__xludf.DUMMYFUNCTION("IMPORTRANGE(""https://docs.google.com/spreadsheets/d/1rOGZhKHVnDGFqGTO7UNOJSkSJyQwVuEb2-yhWQit7lw/edit?gid=1839445998#gid=1839445998"", address(row($D67),column($D67),,,""UHV-P""))"),18)</f>
        <v>18</v>
      </c>
      <c r="G69" s="8">
        <f t="shared" ca="1" si="3"/>
        <v>81.818181818181827</v>
      </c>
      <c r="H69" s="5">
        <f ca="1">IFERROR(__xludf.DUMMYFUNCTION("IMPORTRANGE(""https://docs.google.com/spreadsheets/d/1rOGZhKHVnDGFqGTO7UNOJSkSJyQwVuEb2-yhWQit7lw/edit?gid=1415582716#gid=1415582716"", address(row($D67),column($D67),,,""DL&amp;CO-P""))"),17)</f>
        <v>17</v>
      </c>
      <c r="I69" s="8">
        <f t="shared" ca="1" si="4"/>
        <v>89.473684210526315</v>
      </c>
      <c r="J69" s="5">
        <f ca="1">IFERROR(__xludf.DUMMYFUNCTION("IMPORTRANGE(""https://docs.google.com/spreadsheets/d/1rOGZhKHVnDGFqGTO7UNOJSkSJyQwVuEb2-yhWQit7lw/edit?gid=412846422#gid=412846422"", address(row($D67),column($D67),,,""ADSA-P""))"),32)</f>
        <v>32</v>
      </c>
      <c r="K69" s="8">
        <f t="shared" ca="1" si="5"/>
        <v>72.727272727272734</v>
      </c>
      <c r="L69" s="5">
        <f ca="1">IFERROR(__xludf.DUMMYFUNCTION("IMPORTRANGE(""https://docs.google.com/spreadsheets/d/1rOGZhKHVnDGFqGTO7UNOJSkSJyQwVuEb2-yhWQit7lw/edit?gid=1092082017#gid=1092082017"", address(row($D67),column($D67),,,""JAVA-P""))"),16)</f>
        <v>16</v>
      </c>
      <c r="M69" s="8">
        <f t="shared" ca="1" si="6"/>
        <v>100</v>
      </c>
      <c r="N69" s="5">
        <f ca="1">IFERROR(__xludf.DUMMYFUNCTION("IMPORTRANGE(""https://docs.google.com/spreadsheets/d/1rOGZhKHVnDGFqGTO7UNOJSkSJyQwVuEb2-yhWQit7lw/edit?gid=1379505903#gid=1379505903"", address(row($D67),column($D67),,,""FOSS LAB-P""))"),9)</f>
        <v>9</v>
      </c>
      <c r="O69" s="8">
        <f t="shared" ca="1" si="7"/>
        <v>75</v>
      </c>
      <c r="P69" s="5">
        <f ca="1">IFERROR(__xludf.DUMMYFUNCTION("IMPORTRANGE(""https://docs.google.com/spreadsheets/d/1rOGZhKHVnDGFqGTO7UNOJSkSJyQwVuEb2-yhWQit7lw/edit?gid=434615646#gid=434615646"", address(row($D67),column($D67),,,""PP-P""))"),22)</f>
        <v>22</v>
      </c>
      <c r="Q69" s="8">
        <f t="shared" ca="1" si="8"/>
        <v>78.571428571428569</v>
      </c>
      <c r="R69" s="5">
        <f ca="1">IFERROR(__xludf.DUMMYFUNCTION("IMPORTRANGE(""https://docs.google.com/spreadsheets/d/1rOGZhKHVnDGFqGTO7UNOJSkSJyQwVuEb2-yhWQit7lw/edit?gid=1663742830#gid=1663742830"", address(row($D67),column($D67),,,""NPTEL-P""))"),12)</f>
        <v>12</v>
      </c>
      <c r="S69" s="5">
        <f t="shared" ca="1" si="9"/>
        <v>100</v>
      </c>
      <c r="T69" s="6">
        <f ca="1">IFERROR(__xludf.DUMMYFUNCTION("IMPORTRANGE(""https://docs.google.com/spreadsheets/d/1rOGZhKHVnDGFqGTO7UNOJSkSJyQwVuEb2-yhWQit7lw/edit?gid=227426469#gid=227426469"", address(row($D67),column($D67),,,""CRT-P""))"),0)</f>
        <v>0</v>
      </c>
      <c r="U69" s="8" t="e">
        <f t="shared" ca="1" si="10"/>
        <v>#DIV/0!</v>
      </c>
      <c r="V69" s="6">
        <f t="shared" ca="1" si="0"/>
        <v>126</v>
      </c>
      <c r="W69" s="4">
        <f t="shared" ca="1" si="11"/>
        <v>82</v>
      </c>
      <c r="X69" s="4">
        <v>0</v>
      </c>
      <c r="Y69" s="4">
        <v>0</v>
      </c>
      <c r="Z69" s="4">
        <f t="shared" ca="1" si="1"/>
        <v>126</v>
      </c>
      <c r="AA69" s="10">
        <f t="shared" ca="1" si="12"/>
        <v>82</v>
      </c>
    </row>
    <row r="70" spans="1:27" ht="15.05" customHeight="1" x14ac:dyDescent="0.35">
      <c r="A70" s="8">
        <v>65</v>
      </c>
      <c r="B70" s="9" t="s">
        <v>585</v>
      </c>
      <c r="C70" s="21" t="s">
        <v>586</v>
      </c>
      <c r="D70" s="5">
        <f ca="1">IFERROR(__xludf.DUMMYFUNCTION("IMPORTRANGE(""https://docs.google.com/spreadsheets/d/1rOGZhKHVnDGFqGTO7UNOJSkSJyQwVuEb2-yhWQit7lw/edit?gid=1294109558#gid=1294109558"", address(row($D68),column($D68),,,""DM&amp;GT-P""))"),0)</f>
        <v>0</v>
      </c>
      <c r="E70" s="8" t="e">
        <f t="shared" ca="1" si="2"/>
        <v>#DIV/0!</v>
      </c>
      <c r="F70" s="5">
        <f ca="1">IFERROR(__xludf.DUMMYFUNCTION("IMPORTRANGE(""https://docs.google.com/spreadsheets/d/1rOGZhKHVnDGFqGTO7UNOJSkSJyQwVuEb2-yhWQit7lw/edit?gid=1839445998#gid=1839445998"", address(row($D68),column($D68),,,""UHV-P""))"),17)</f>
        <v>17</v>
      </c>
      <c r="G70" s="8">
        <f t="shared" ca="1" si="3"/>
        <v>77.272727272727266</v>
      </c>
      <c r="H70" s="5">
        <f ca="1">IFERROR(__xludf.DUMMYFUNCTION("IMPORTRANGE(""https://docs.google.com/spreadsheets/d/1rOGZhKHVnDGFqGTO7UNOJSkSJyQwVuEb2-yhWQit7lw/edit?gid=1415582716#gid=1415582716"", address(row($D68),column($D68),,,""DL&amp;CO-P""))"),15)</f>
        <v>15</v>
      </c>
      <c r="I70" s="8">
        <f t="shared" ca="1" si="4"/>
        <v>78.94736842105263</v>
      </c>
      <c r="J70" s="5">
        <f ca="1">IFERROR(__xludf.DUMMYFUNCTION("IMPORTRANGE(""https://docs.google.com/spreadsheets/d/1rOGZhKHVnDGFqGTO7UNOJSkSJyQwVuEb2-yhWQit7lw/edit?gid=412846422#gid=412846422"", address(row($D68),column($D68),,,""ADSA-P""))"),30)</f>
        <v>30</v>
      </c>
      <c r="K70" s="8">
        <f t="shared" ca="1" si="5"/>
        <v>68.181818181818173</v>
      </c>
      <c r="L70" s="5">
        <f ca="1">IFERROR(__xludf.DUMMYFUNCTION("IMPORTRANGE(""https://docs.google.com/spreadsheets/d/1rOGZhKHVnDGFqGTO7UNOJSkSJyQwVuEb2-yhWQit7lw/edit?gid=1092082017#gid=1092082017"", address(row($D68),column($D68),,,""JAVA-P""))"),14)</f>
        <v>14</v>
      </c>
      <c r="M70" s="8">
        <f t="shared" ca="1" si="6"/>
        <v>87.5</v>
      </c>
      <c r="N70" s="5">
        <f ca="1">IFERROR(__xludf.DUMMYFUNCTION("IMPORTRANGE(""https://docs.google.com/spreadsheets/d/1rOGZhKHVnDGFqGTO7UNOJSkSJyQwVuEb2-yhWQit7lw/edit?gid=1379505903#gid=1379505903"", address(row($D68),column($D68),,,""FOSS LAB-P""))"),12)</f>
        <v>12</v>
      </c>
      <c r="O70" s="8">
        <f t="shared" ca="1" si="7"/>
        <v>100</v>
      </c>
      <c r="P70" s="5">
        <f ca="1">IFERROR(__xludf.DUMMYFUNCTION("IMPORTRANGE(""https://docs.google.com/spreadsheets/d/1rOGZhKHVnDGFqGTO7UNOJSkSJyQwVuEb2-yhWQit7lw/edit?gid=434615646#gid=434615646"", address(row($D68),column($D68),,,""PP-P""))"),18)</f>
        <v>18</v>
      </c>
      <c r="Q70" s="8">
        <f t="shared" ca="1" si="8"/>
        <v>64.285714285714292</v>
      </c>
      <c r="R70" s="5">
        <f ca="1">IFERROR(__xludf.DUMMYFUNCTION("IMPORTRANGE(""https://docs.google.com/spreadsheets/d/1rOGZhKHVnDGFqGTO7UNOJSkSJyQwVuEb2-yhWQit7lw/edit?gid=1663742830#gid=1663742830"", address(row($D68),column($D68),,,""NPTEL-P""))"),10)</f>
        <v>10</v>
      </c>
      <c r="S70" s="5">
        <f t="shared" ca="1" si="9"/>
        <v>83.333333333333343</v>
      </c>
      <c r="T70" s="6">
        <f ca="1">IFERROR(__xludf.DUMMYFUNCTION("IMPORTRANGE(""https://docs.google.com/spreadsheets/d/1rOGZhKHVnDGFqGTO7UNOJSkSJyQwVuEb2-yhWQit7lw/edit?gid=227426469#gid=227426469"", address(row($D68),column($D68),,,""CRT-P""))"),0)</f>
        <v>0</v>
      </c>
      <c r="U70" s="8" t="e">
        <f t="shared" ca="1" si="10"/>
        <v>#DIV/0!</v>
      </c>
      <c r="V70" s="6">
        <f t="shared" ca="1" si="0"/>
        <v>116</v>
      </c>
      <c r="W70" s="4">
        <f t="shared" ca="1" si="11"/>
        <v>76</v>
      </c>
      <c r="X70" s="4">
        <v>14</v>
      </c>
      <c r="Y70" s="4">
        <v>0</v>
      </c>
      <c r="Z70" s="4">
        <f t="shared" ca="1" si="1"/>
        <v>130</v>
      </c>
      <c r="AA70" s="10">
        <f t="shared" ca="1" si="12"/>
        <v>85</v>
      </c>
    </row>
    <row r="71" spans="1:27" ht="15.05" customHeight="1" x14ac:dyDescent="0.35">
      <c r="A71" s="8">
        <v>66</v>
      </c>
      <c r="B71" s="9" t="s">
        <v>587</v>
      </c>
      <c r="C71" s="21" t="s">
        <v>588</v>
      </c>
      <c r="D71" s="5">
        <f ca="1">IFERROR(__xludf.DUMMYFUNCTION("IMPORTRANGE(""https://docs.google.com/spreadsheets/d/1rOGZhKHVnDGFqGTO7UNOJSkSJyQwVuEb2-yhWQit7lw/edit?gid=1294109558#gid=1294109558"", address(row($D69),column($D69),,,""DM&amp;GT-P""))"),0)</f>
        <v>0</v>
      </c>
      <c r="E71" s="8" t="e">
        <f t="shared" ca="1" si="2"/>
        <v>#DIV/0!</v>
      </c>
      <c r="F71" s="5">
        <f ca="1">IFERROR(__xludf.DUMMYFUNCTION("IMPORTRANGE(""https://docs.google.com/spreadsheets/d/1rOGZhKHVnDGFqGTO7UNOJSkSJyQwVuEb2-yhWQit7lw/edit?gid=1839445998#gid=1839445998"", address(row($D69),column($D69),,,""UHV-P""))"),16)</f>
        <v>16</v>
      </c>
      <c r="G71" s="8">
        <f t="shared" ca="1" si="3"/>
        <v>72.727272727272734</v>
      </c>
      <c r="H71" s="5">
        <f ca="1">IFERROR(__xludf.DUMMYFUNCTION("IMPORTRANGE(""https://docs.google.com/spreadsheets/d/1rOGZhKHVnDGFqGTO7UNOJSkSJyQwVuEb2-yhWQit7lw/edit?gid=1415582716#gid=1415582716"", address(row($D69),column($D69),,,""DL&amp;CO-P""))"),12)</f>
        <v>12</v>
      </c>
      <c r="I71" s="8">
        <f t="shared" ca="1" si="4"/>
        <v>63.157894736842103</v>
      </c>
      <c r="J71" s="5">
        <f ca="1">IFERROR(__xludf.DUMMYFUNCTION("IMPORTRANGE(""https://docs.google.com/spreadsheets/d/1rOGZhKHVnDGFqGTO7UNOJSkSJyQwVuEb2-yhWQit7lw/edit?gid=412846422#gid=412846422"", address(row($D69),column($D69),,,""ADSA-P""))"),18)</f>
        <v>18</v>
      </c>
      <c r="K71" s="8">
        <f t="shared" ca="1" si="5"/>
        <v>40.909090909090914</v>
      </c>
      <c r="L71" s="5">
        <f ca="1">IFERROR(__xludf.DUMMYFUNCTION("IMPORTRANGE(""https://docs.google.com/spreadsheets/d/1rOGZhKHVnDGFqGTO7UNOJSkSJyQwVuEb2-yhWQit7lw/edit?gid=1092082017#gid=1092082017"", address(row($D69),column($D69),,,""JAVA-P""))"),16)</f>
        <v>16</v>
      </c>
      <c r="M71" s="8">
        <f t="shared" ca="1" si="6"/>
        <v>100</v>
      </c>
      <c r="N71" s="5">
        <f ca="1">IFERROR(__xludf.DUMMYFUNCTION("IMPORTRANGE(""https://docs.google.com/spreadsheets/d/1rOGZhKHVnDGFqGTO7UNOJSkSJyQwVuEb2-yhWQit7lw/edit?gid=1379505903#gid=1379505903"", address(row($D69),column($D69),,,""FOSS LAB-P""))"),3)</f>
        <v>3</v>
      </c>
      <c r="O71" s="8">
        <f t="shared" ca="1" si="7"/>
        <v>25</v>
      </c>
      <c r="P71" s="5">
        <f ca="1">IFERROR(__xludf.DUMMYFUNCTION("IMPORTRANGE(""https://docs.google.com/spreadsheets/d/1rOGZhKHVnDGFqGTO7UNOJSkSJyQwVuEb2-yhWQit7lw/edit?gid=434615646#gid=434615646"", address(row($D69),column($D69),,,""PP-P""))"),14)</f>
        <v>14</v>
      </c>
      <c r="Q71" s="8">
        <f t="shared" ca="1" si="8"/>
        <v>50</v>
      </c>
      <c r="R71" s="5">
        <f ca="1">IFERROR(__xludf.DUMMYFUNCTION("IMPORTRANGE(""https://docs.google.com/spreadsheets/d/1rOGZhKHVnDGFqGTO7UNOJSkSJyQwVuEb2-yhWQit7lw/edit?gid=1663742830#gid=1663742830"", address(row($D69),column($D69),,,""NPTEL-P""))"),6)</f>
        <v>6</v>
      </c>
      <c r="S71" s="5">
        <f t="shared" ca="1" si="9"/>
        <v>50</v>
      </c>
      <c r="T71" s="6">
        <f ca="1">IFERROR(__xludf.DUMMYFUNCTION("IMPORTRANGE(""https://docs.google.com/spreadsheets/d/1rOGZhKHVnDGFqGTO7UNOJSkSJyQwVuEb2-yhWQit7lw/edit?gid=227426469#gid=227426469"", address(row($D69),column($D69),,,""CRT-P""))"),0)</f>
        <v>0</v>
      </c>
      <c r="U71" s="8" t="e">
        <f t="shared" ca="1" si="10"/>
        <v>#DIV/0!</v>
      </c>
      <c r="V71" s="6">
        <f t="shared" ca="1" si="0"/>
        <v>85</v>
      </c>
      <c r="W71" s="4">
        <f t="shared" ca="1" si="11"/>
        <v>56</v>
      </c>
      <c r="X71" s="4">
        <v>0</v>
      </c>
      <c r="Y71" s="4">
        <v>0</v>
      </c>
      <c r="Z71" s="4">
        <f t="shared" ca="1" si="1"/>
        <v>85</v>
      </c>
      <c r="AA71" s="10">
        <f t="shared" ca="1" si="12"/>
        <v>56</v>
      </c>
    </row>
    <row r="72" spans="1:27" ht="15.85" customHeight="1" x14ac:dyDescent="0.35">
      <c r="A72" s="8">
        <v>67</v>
      </c>
      <c r="B72" s="9" t="s">
        <v>589</v>
      </c>
      <c r="C72" s="21" t="s">
        <v>590</v>
      </c>
      <c r="D72" s="5">
        <f ca="1">IFERROR(__xludf.DUMMYFUNCTION("IMPORTRANGE(""https://docs.google.com/spreadsheets/d/1rOGZhKHVnDGFqGTO7UNOJSkSJyQwVuEb2-yhWQit7lw/edit?gid=1294109558#gid=1294109558"", address(row($D70),column($D70),,,""DM&amp;GT-P""))"),0)</f>
        <v>0</v>
      </c>
      <c r="E72" s="8" t="e">
        <f t="shared" ca="1" si="2"/>
        <v>#DIV/0!</v>
      </c>
      <c r="F72" s="5">
        <f ca="1">IFERROR(__xludf.DUMMYFUNCTION("IMPORTRANGE(""https://docs.google.com/spreadsheets/d/1rOGZhKHVnDGFqGTO7UNOJSkSJyQwVuEb2-yhWQit7lw/edit?gid=1839445998#gid=1839445998"", address(row($D70),column($D70),,,""UHV-P""))"),17)</f>
        <v>17</v>
      </c>
      <c r="G72" s="8">
        <f t="shared" ca="1" si="3"/>
        <v>77.272727272727266</v>
      </c>
      <c r="H72" s="5">
        <f ca="1">IFERROR(__xludf.DUMMYFUNCTION("IMPORTRANGE(""https://docs.google.com/spreadsheets/d/1rOGZhKHVnDGFqGTO7UNOJSkSJyQwVuEb2-yhWQit7lw/edit?gid=1415582716#gid=1415582716"", address(row($D70),column($D70),,,""DL&amp;CO-P""))"),14)</f>
        <v>14</v>
      </c>
      <c r="I72" s="8">
        <f t="shared" ca="1" si="4"/>
        <v>73.68421052631578</v>
      </c>
      <c r="J72" s="5">
        <f ca="1">IFERROR(__xludf.DUMMYFUNCTION("IMPORTRANGE(""https://docs.google.com/spreadsheets/d/1rOGZhKHVnDGFqGTO7UNOJSkSJyQwVuEb2-yhWQit7lw/edit?gid=412846422#gid=412846422"", address(row($D70),column($D70),,,""ADSA-P""))"),28)</f>
        <v>28</v>
      </c>
      <c r="K72" s="8">
        <f t="shared" ca="1" si="5"/>
        <v>63.636363636363633</v>
      </c>
      <c r="L72" s="5">
        <f ca="1">IFERROR(__xludf.DUMMYFUNCTION("IMPORTRANGE(""https://docs.google.com/spreadsheets/d/1rOGZhKHVnDGFqGTO7UNOJSkSJyQwVuEb2-yhWQit7lw/edit?gid=1092082017#gid=1092082017"", address(row($D70),column($D70),,,""JAVA-P""))"),16)</f>
        <v>16</v>
      </c>
      <c r="M72" s="8">
        <f t="shared" ca="1" si="6"/>
        <v>100</v>
      </c>
      <c r="N72" s="5">
        <f ca="1">IFERROR(__xludf.DUMMYFUNCTION("IMPORTRANGE(""https://docs.google.com/spreadsheets/d/1rOGZhKHVnDGFqGTO7UNOJSkSJyQwVuEb2-yhWQit7lw/edit?gid=1379505903#gid=1379505903"", address(row($D70),column($D70),,,""FOSS LAB-P""))"),9)</f>
        <v>9</v>
      </c>
      <c r="O72" s="8">
        <f t="shared" ca="1" si="7"/>
        <v>75</v>
      </c>
      <c r="P72" s="5">
        <f ca="1">IFERROR(__xludf.DUMMYFUNCTION("IMPORTRANGE(""https://docs.google.com/spreadsheets/d/1rOGZhKHVnDGFqGTO7UNOJSkSJyQwVuEb2-yhWQit7lw/edit?gid=434615646#gid=434615646"", address(row($D70),column($D70),,,""PP-P""))"),18)</f>
        <v>18</v>
      </c>
      <c r="Q72" s="8">
        <f t="shared" ca="1" si="8"/>
        <v>64.285714285714292</v>
      </c>
      <c r="R72" s="5">
        <f ca="1">IFERROR(__xludf.DUMMYFUNCTION("IMPORTRANGE(""https://docs.google.com/spreadsheets/d/1rOGZhKHVnDGFqGTO7UNOJSkSJyQwVuEb2-yhWQit7lw/edit?gid=1663742830#gid=1663742830"", address(row($D70),column($D70),,,""NPTEL-P""))"),12)</f>
        <v>12</v>
      </c>
      <c r="S72" s="5">
        <f t="shared" ca="1" si="9"/>
        <v>100</v>
      </c>
      <c r="T72" s="6">
        <f ca="1">IFERROR(__xludf.DUMMYFUNCTION("IMPORTRANGE(""https://docs.google.com/spreadsheets/d/1rOGZhKHVnDGFqGTO7UNOJSkSJyQwVuEb2-yhWQit7lw/edit?gid=227426469#gid=227426469"", address(row($D70),column($D70),,,""CRT-P""))"),0)</f>
        <v>0</v>
      </c>
      <c r="U72" s="8" t="e">
        <f t="shared" ca="1" si="10"/>
        <v>#DIV/0!</v>
      </c>
      <c r="V72" s="6">
        <f t="shared" ca="1" si="0"/>
        <v>114</v>
      </c>
      <c r="W72" s="4">
        <f t="shared" ca="1" si="11"/>
        <v>75</v>
      </c>
      <c r="X72" s="4">
        <v>0</v>
      </c>
      <c r="Y72" s="4">
        <v>0</v>
      </c>
      <c r="Z72" s="4">
        <f t="shared" ca="1" si="1"/>
        <v>114</v>
      </c>
      <c r="AA72" s="10">
        <f t="shared" ca="1" si="12"/>
        <v>75</v>
      </c>
    </row>
    <row r="73" spans="1:27" ht="15.85" customHeight="1" x14ac:dyDescent="0.35">
      <c r="A73" s="8">
        <v>68</v>
      </c>
      <c r="B73" s="9" t="s">
        <v>591</v>
      </c>
      <c r="C73" s="21" t="s">
        <v>592</v>
      </c>
      <c r="D73" s="5">
        <f ca="1">IFERROR(__xludf.DUMMYFUNCTION("IMPORTRANGE(""https://docs.google.com/spreadsheets/d/1rOGZhKHVnDGFqGTO7UNOJSkSJyQwVuEb2-yhWQit7lw/edit?gid=1294109558#gid=1294109558"", address(row($D71),column($D71),,,""DM&amp;GT-P""))"),0)</f>
        <v>0</v>
      </c>
      <c r="E73" s="8" t="e">
        <f t="shared" ca="1" si="2"/>
        <v>#DIV/0!</v>
      </c>
      <c r="F73" s="5">
        <f ca="1">IFERROR(__xludf.DUMMYFUNCTION("IMPORTRANGE(""https://docs.google.com/spreadsheets/d/1rOGZhKHVnDGFqGTO7UNOJSkSJyQwVuEb2-yhWQit7lw/edit?gid=1839445998#gid=1839445998"", address(row($D71),column($D71),,,""UHV-P""))"),20)</f>
        <v>20</v>
      </c>
      <c r="G73" s="8">
        <f t="shared" ca="1" si="3"/>
        <v>90.909090909090907</v>
      </c>
      <c r="H73" s="5">
        <f ca="1">IFERROR(__xludf.DUMMYFUNCTION("IMPORTRANGE(""https://docs.google.com/spreadsheets/d/1rOGZhKHVnDGFqGTO7UNOJSkSJyQwVuEb2-yhWQit7lw/edit?gid=1415582716#gid=1415582716"", address(row($D71),column($D71),,,""DL&amp;CO-P""))"),18)</f>
        <v>18</v>
      </c>
      <c r="I73" s="8">
        <f t="shared" ca="1" si="4"/>
        <v>94.73684210526315</v>
      </c>
      <c r="J73" s="5">
        <f ca="1">IFERROR(__xludf.DUMMYFUNCTION("IMPORTRANGE(""https://docs.google.com/spreadsheets/d/1rOGZhKHVnDGFqGTO7UNOJSkSJyQwVuEb2-yhWQit7lw/edit?gid=412846422#gid=412846422"", address(row($D71),column($D71),,,""ADSA-P""))"),36)</f>
        <v>36</v>
      </c>
      <c r="K73" s="8">
        <f t="shared" ca="1" si="5"/>
        <v>81.818181818181827</v>
      </c>
      <c r="L73" s="5">
        <f ca="1">IFERROR(__xludf.DUMMYFUNCTION("IMPORTRANGE(""https://docs.google.com/spreadsheets/d/1rOGZhKHVnDGFqGTO7UNOJSkSJyQwVuEb2-yhWQit7lw/edit?gid=1092082017#gid=1092082017"", address(row($D71),column($D71),,,""JAVA-P""))"),16)</f>
        <v>16</v>
      </c>
      <c r="M73" s="8">
        <f t="shared" ca="1" si="6"/>
        <v>100</v>
      </c>
      <c r="N73" s="5">
        <f ca="1">IFERROR(__xludf.DUMMYFUNCTION("IMPORTRANGE(""https://docs.google.com/spreadsheets/d/1rOGZhKHVnDGFqGTO7UNOJSkSJyQwVuEb2-yhWQit7lw/edit?gid=1379505903#gid=1379505903"", address(row($D71),column($D71),,,""FOSS LAB-P""))"),12)</f>
        <v>12</v>
      </c>
      <c r="O73" s="8">
        <f t="shared" ca="1" si="7"/>
        <v>100</v>
      </c>
      <c r="P73" s="5">
        <f ca="1">IFERROR(__xludf.DUMMYFUNCTION("IMPORTRANGE(""https://docs.google.com/spreadsheets/d/1rOGZhKHVnDGFqGTO7UNOJSkSJyQwVuEb2-yhWQit7lw/edit?gid=434615646#gid=434615646"", address(row($D71),column($D71),,,""PP-P""))"),22)</f>
        <v>22</v>
      </c>
      <c r="Q73" s="8">
        <f t="shared" ca="1" si="8"/>
        <v>78.571428571428569</v>
      </c>
      <c r="R73" s="5">
        <f ca="1">IFERROR(__xludf.DUMMYFUNCTION("IMPORTRANGE(""https://docs.google.com/spreadsheets/d/1rOGZhKHVnDGFqGTO7UNOJSkSJyQwVuEb2-yhWQit7lw/edit?gid=1663742830#gid=1663742830"", address(row($D71),column($D71),,,""NPTEL-P""))"),12)</f>
        <v>12</v>
      </c>
      <c r="S73" s="5">
        <f t="shared" ca="1" si="9"/>
        <v>100</v>
      </c>
      <c r="T73" s="6">
        <f ca="1">IFERROR(__xludf.DUMMYFUNCTION("IMPORTRANGE(""https://docs.google.com/spreadsheets/d/1rOGZhKHVnDGFqGTO7UNOJSkSJyQwVuEb2-yhWQit7lw/edit?gid=227426469#gid=227426469"", address(row($D71),column($D71),,,""CRT-P""))"),0)</f>
        <v>0</v>
      </c>
      <c r="U73" s="8" t="e">
        <f t="shared" ca="1" si="10"/>
        <v>#DIV/0!</v>
      </c>
      <c r="V73" s="6">
        <f t="shared" ca="1" si="0"/>
        <v>136</v>
      </c>
      <c r="W73" s="4">
        <f t="shared" ca="1" si="11"/>
        <v>89</v>
      </c>
      <c r="X73" s="4">
        <v>0</v>
      </c>
      <c r="Y73" s="4">
        <v>0</v>
      </c>
      <c r="Z73" s="4">
        <f t="shared" ca="1" si="1"/>
        <v>136</v>
      </c>
      <c r="AA73" s="10">
        <f t="shared" ca="1" si="12"/>
        <v>89</v>
      </c>
    </row>
    <row r="74" spans="1:27" ht="15.85" customHeight="1" x14ac:dyDescent="0.35">
      <c r="A74" s="8">
        <v>69</v>
      </c>
      <c r="B74" s="9" t="s">
        <v>593</v>
      </c>
      <c r="C74" s="21" t="s">
        <v>594</v>
      </c>
      <c r="D74" s="5">
        <f ca="1">IFERROR(__xludf.DUMMYFUNCTION("IMPORTRANGE(""https://docs.google.com/spreadsheets/d/1rOGZhKHVnDGFqGTO7UNOJSkSJyQwVuEb2-yhWQit7lw/edit?gid=1294109558#gid=1294109558"", address(row($D72),column($D72),,,""DM&amp;GT-P""))"),0)</f>
        <v>0</v>
      </c>
      <c r="E74" s="8" t="e">
        <f t="shared" ca="1" si="2"/>
        <v>#DIV/0!</v>
      </c>
      <c r="F74" s="5">
        <f ca="1">IFERROR(__xludf.DUMMYFUNCTION("IMPORTRANGE(""https://docs.google.com/spreadsheets/d/1rOGZhKHVnDGFqGTO7UNOJSkSJyQwVuEb2-yhWQit7lw/edit?gid=1839445998#gid=1839445998"", address(row($D72),column($D72),,,""UHV-P""))"),20)</f>
        <v>20</v>
      </c>
      <c r="G74" s="8">
        <f t="shared" ca="1" si="3"/>
        <v>90.909090909090907</v>
      </c>
      <c r="H74" s="5">
        <f ca="1">IFERROR(__xludf.DUMMYFUNCTION("IMPORTRANGE(""https://docs.google.com/spreadsheets/d/1rOGZhKHVnDGFqGTO7UNOJSkSJyQwVuEb2-yhWQit7lw/edit?gid=1415582716#gid=1415582716"", address(row($D72),column($D72),,,""DL&amp;CO-P""))"),17)</f>
        <v>17</v>
      </c>
      <c r="I74" s="8">
        <f t="shared" ca="1" si="4"/>
        <v>89.473684210526315</v>
      </c>
      <c r="J74" s="5">
        <f ca="1">IFERROR(__xludf.DUMMYFUNCTION("IMPORTRANGE(""https://docs.google.com/spreadsheets/d/1rOGZhKHVnDGFqGTO7UNOJSkSJyQwVuEb2-yhWQit7lw/edit?gid=412846422#gid=412846422"", address(row($D72),column($D72),,,""ADSA-P""))"),34)</f>
        <v>34</v>
      </c>
      <c r="K74" s="8">
        <f t="shared" ca="1" si="5"/>
        <v>77.272727272727266</v>
      </c>
      <c r="L74" s="5">
        <f ca="1">IFERROR(__xludf.DUMMYFUNCTION("IMPORTRANGE(""https://docs.google.com/spreadsheets/d/1rOGZhKHVnDGFqGTO7UNOJSkSJyQwVuEb2-yhWQit7lw/edit?gid=1092082017#gid=1092082017"", address(row($D72),column($D72),,,""JAVA-P""))"),16)</f>
        <v>16</v>
      </c>
      <c r="M74" s="8">
        <f t="shared" ca="1" si="6"/>
        <v>100</v>
      </c>
      <c r="N74" s="5">
        <f ca="1">IFERROR(__xludf.DUMMYFUNCTION("IMPORTRANGE(""https://docs.google.com/spreadsheets/d/1rOGZhKHVnDGFqGTO7UNOJSkSJyQwVuEb2-yhWQit7lw/edit?gid=1379505903#gid=1379505903"", address(row($D72),column($D72),,,""FOSS LAB-P""))"),9)</f>
        <v>9</v>
      </c>
      <c r="O74" s="8">
        <f t="shared" ca="1" si="7"/>
        <v>75</v>
      </c>
      <c r="P74" s="5">
        <f ca="1">IFERROR(__xludf.DUMMYFUNCTION("IMPORTRANGE(""https://docs.google.com/spreadsheets/d/1rOGZhKHVnDGFqGTO7UNOJSkSJyQwVuEb2-yhWQit7lw/edit?gid=434615646#gid=434615646"", address(row($D72),column($D72),,,""PP-P""))"),22)</f>
        <v>22</v>
      </c>
      <c r="Q74" s="8">
        <f t="shared" ca="1" si="8"/>
        <v>78.571428571428569</v>
      </c>
      <c r="R74" s="5">
        <f ca="1">IFERROR(__xludf.DUMMYFUNCTION("IMPORTRANGE(""https://docs.google.com/spreadsheets/d/1rOGZhKHVnDGFqGTO7UNOJSkSJyQwVuEb2-yhWQit7lw/edit?gid=1663742830#gid=1663742830"", address(row($D72),column($D72),,,""NPTEL-P""))"),12)</f>
        <v>12</v>
      </c>
      <c r="S74" s="5">
        <f t="shared" ca="1" si="9"/>
        <v>100</v>
      </c>
      <c r="T74" s="6">
        <f ca="1">IFERROR(__xludf.DUMMYFUNCTION("IMPORTRANGE(""https://docs.google.com/spreadsheets/d/1rOGZhKHVnDGFqGTO7UNOJSkSJyQwVuEb2-yhWQit7lw/edit?gid=227426469#gid=227426469"", address(row($D72),column($D72),,,""CRT-P""))"),0)</f>
        <v>0</v>
      </c>
      <c r="U74" s="8" t="e">
        <f t="shared" ca="1" si="10"/>
        <v>#DIV/0!</v>
      </c>
      <c r="V74" s="6">
        <f t="shared" ca="1" si="0"/>
        <v>130</v>
      </c>
      <c r="W74" s="4">
        <f t="shared" ca="1" si="11"/>
        <v>85</v>
      </c>
      <c r="X74" s="4">
        <v>0</v>
      </c>
      <c r="Y74" s="4">
        <v>0</v>
      </c>
      <c r="Z74" s="4">
        <f t="shared" ca="1" si="1"/>
        <v>130</v>
      </c>
      <c r="AA74" s="10">
        <f t="shared" ca="1" si="12"/>
        <v>85</v>
      </c>
    </row>
    <row r="75" spans="1:27" ht="15.85" customHeight="1" x14ac:dyDescent="0.35">
      <c r="A75" s="8">
        <v>70</v>
      </c>
      <c r="B75" s="9" t="s">
        <v>595</v>
      </c>
      <c r="C75" s="21" t="s">
        <v>596</v>
      </c>
      <c r="D75" s="5">
        <f ca="1">IFERROR(__xludf.DUMMYFUNCTION("IMPORTRANGE(""https://docs.google.com/spreadsheets/d/1rOGZhKHVnDGFqGTO7UNOJSkSJyQwVuEb2-yhWQit7lw/edit?gid=1294109558#gid=1294109558"", address(row($D73),column($D73),,,""DM&amp;GT-P""))"),0)</f>
        <v>0</v>
      </c>
      <c r="E75" s="8" t="e">
        <f t="shared" ca="1" si="2"/>
        <v>#DIV/0!</v>
      </c>
      <c r="F75" s="5">
        <f ca="1">IFERROR(__xludf.DUMMYFUNCTION("IMPORTRANGE(""https://docs.google.com/spreadsheets/d/1rOGZhKHVnDGFqGTO7UNOJSkSJyQwVuEb2-yhWQit7lw/edit?gid=1839445998#gid=1839445998"", address(row($D73),column($D73),,,""UHV-P""))"),20)</f>
        <v>20</v>
      </c>
      <c r="G75" s="8">
        <f t="shared" ca="1" si="3"/>
        <v>90.909090909090907</v>
      </c>
      <c r="H75" s="5">
        <f ca="1">IFERROR(__xludf.DUMMYFUNCTION("IMPORTRANGE(""https://docs.google.com/spreadsheets/d/1rOGZhKHVnDGFqGTO7UNOJSkSJyQwVuEb2-yhWQit7lw/edit?gid=1415582716#gid=1415582716"", address(row($D73),column($D73),,,""DL&amp;CO-P""))"),18)</f>
        <v>18</v>
      </c>
      <c r="I75" s="8">
        <f t="shared" ca="1" si="4"/>
        <v>94.73684210526315</v>
      </c>
      <c r="J75" s="5">
        <f ca="1">IFERROR(__xludf.DUMMYFUNCTION("IMPORTRANGE(""https://docs.google.com/spreadsheets/d/1rOGZhKHVnDGFqGTO7UNOJSkSJyQwVuEb2-yhWQit7lw/edit?gid=412846422#gid=412846422"", address(row($D73),column($D73),,,""ADSA-P""))"),32)</f>
        <v>32</v>
      </c>
      <c r="K75" s="8">
        <f t="shared" ca="1" si="5"/>
        <v>72.727272727272734</v>
      </c>
      <c r="L75" s="5">
        <f ca="1">IFERROR(__xludf.DUMMYFUNCTION("IMPORTRANGE(""https://docs.google.com/spreadsheets/d/1rOGZhKHVnDGFqGTO7UNOJSkSJyQwVuEb2-yhWQit7lw/edit?gid=1092082017#gid=1092082017"", address(row($D73),column($D73),,,""JAVA-P""))"),14)</f>
        <v>14</v>
      </c>
      <c r="M75" s="8">
        <f t="shared" ca="1" si="6"/>
        <v>87.5</v>
      </c>
      <c r="N75" s="5">
        <f ca="1">IFERROR(__xludf.DUMMYFUNCTION("IMPORTRANGE(""https://docs.google.com/spreadsheets/d/1rOGZhKHVnDGFqGTO7UNOJSkSJyQwVuEb2-yhWQit7lw/edit?gid=1379505903#gid=1379505903"", address(row($D73),column($D73),,,""FOSS LAB-P""))"),9)</f>
        <v>9</v>
      </c>
      <c r="O75" s="8">
        <f t="shared" ca="1" si="7"/>
        <v>75</v>
      </c>
      <c r="P75" s="5">
        <f ca="1">IFERROR(__xludf.DUMMYFUNCTION("IMPORTRANGE(""https://docs.google.com/spreadsheets/d/1rOGZhKHVnDGFqGTO7UNOJSkSJyQwVuEb2-yhWQit7lw/edit?gid=434615646#gid=434615646"", address(row($D73),column($D73),,,""PP-P""))"),22)</f>
        <v>22</v>
      </c>
      <c r="Q75" s="8">
        <f t="shared" ca="1" si="8"/>
        <v>78.571428571428569</v>
      </c>
      <c r="R75" s="5">
        <f ca="1">IFERROR(__xludf.DUMMYFUNCTION("IMPORTRANGE(""https://docs.google.com/spreadsheets/d/1rOGZhKHVnDGFqGTO7UNOJSkSJyQwVuEb2-yhWQit7lw/edit?gid=1663742830#gid=1663742830"", address(row($D73),column($D73),,,""NPTEL-P""))"),12)</f>
        <v>12</v>
      </c>
      <c r="S75" s="5">
        <f t="shared" ca="1" si="9"/>
        <v>100</v>
      </c>
      <c r="T75" s="6">
        <f ca="1">IFERROR(__xludf.DUMMYFUNCTION("IMPORTRANGE(""https://docs.google.com/spreadsheets/d/1rOGZhKHVnDGFqGTO7UNOJSkSJyQwVuEb2-yhWQit7lw/edit?gid=227426469#gid=227426469"", address(row($D73),column($D73),,,""CRT-P""))"),0)</f>
        <v>0</v>
      </c>
      <c r="U75" s="8" t="e">
        <f t="shared" ca="1" si="10"/>
        <v>#DIV/0!</v>
      </c>
      <c r="V75" s="6">
        <f t="shared" ca="1" si="0"/>
        <v>127</v>
      </c>
      <c r="W75" s="4">
        <f t="shared" ca="1" si="11"/>
        <v>83</v>
      </c>
      <c r="X75" s="4">
        <v>0</v>
      </c>
      <c r="Y75" s="4">
        <v>0</v>
      </c>
      <c r="Z75" s="4">
        <f t="shared" ca="1" si="1"/>
        <v>127</v>
      </c>
      <c r="AA75" s="10">
        <f t="shared" ca="1" si="12"/>
        <v>83</v>
      </c>
    </row>
    <row r="76" spans="1:27" ht="15.85" customHeight="1" x14ac:dyDescent="0.35">
      <c r="A76" s="8">
        <v>71</v>
      </c>
      <c r="B76" s="9" t="s">
        <v>597</v>
      </c>
      <c r="C76" s="21" t="s">
        <v>598</v>
      </c>
      <c r="D76" s="5">
        <f ca="1">IFERROR(__xludf.DUMMYFUNCTION("IMPORTRANGE(""https://docs.google.com/spreadsheets/d/1rOGZhKHVnDGFqGTO7UNOJSkSJyQwVuEb2-yhWQit7lw/edit?gid=1294109558#gid=1294109558"", address(row($D74),column($D74),,,""DM&amp;GT-P""))"),0)</f>
        <v>0</v>
      </c>
      <c r="E76" s="8" t="e">
        <f t="shared" ca="1" si="2"/>
        <v>#DIV/0!</v>
      </c>
      <c r="F76" s="5">
        <f ca="1">IFERROR(__xludf.DUMMYFUNCTION("IMPORTRANGE(""https://docs.google.com/spreadsheets/d/1rOGZhKHVnDGFqGTO7UNOJSkSJyQwVuEb2-yhWQit7lw/edit?gid=1839445998#gid=1839445998"", address(row($D74),column($D74),,,""UHV-P""))"),16)</f>
        <v>16</v>
      </c>
      <c r="G76" s="8">
        <f t="shared" ca="1" si="3"/>
        <v>72.727272727272734</v>
      </c>
      <c r="H76" s="5">
        <f ca="1">IFERROR(__xludf.DUMMYFUNCTION("IMPORTRANGE(""https://docs.google.com/spreadsheets/d/1rOGZhKHVnDGFqGTO7UNOJSkSJyQwVuEb2-yhWQit7lw/edit?gid=1415582716#gid=1415582716"", address(row($D74),column($D74),,,""DL&amp;CO-P""))"),14)</f>
        <v>14</v>
      </c>
      <c r="I76" s="8">
        <f t="shared" ca="1" si="4"/>
        <v>73.68421052631578</v>
      </c>
      <c r="J76" s="5">
        <f ca="1">IFERROR(__xludf.DUMMYFUNCTION("IMPORTRANGE(""https://docs.google.com/spreadsheets/d/1rOGZhKHVnDGFqGTO7UNOJSkSJyQwVuEb2-yhWQit7lw/edit?gid=412846422#gid=412846422"", address(row($D74),column($D74),,,""ADSA-P""))"),24)</f>
        <v>24</v>
      </c>
      <c r="K76" s="8">
        <f t="shared" ca="1" si="5"/>
        <v>54.54545454545454</v>
      </c>
      <c r="L76" s="5">
        <f ca="1">IFERROR(__xludf.DUMMYFUNCTION("IMPORTRANGE(""https://docs.google.com/spreadsheets/d/1rOGZhKHVnDGFqGTO7UNOJSkSJyQwVuEb2-yhWQit7lw/edit?gid=1092082017#gid=1092082017"", address(row($D74),column($D74),,,""JAVA-P""))"),8)</f>
        <v>8</v>
      </c>
      <c r="M76" s="8">
        <f t="shared" ca="1" si="6"/>
        <v>50</v>
      </c>
      <c r="N76" s="5">
        <f ca="1">IFERROR(__xludf.DUMMYFUNCTION("IMPORTRANGE(""https://docs.google.com/spreadsheets/d/1rOGZhKHVnDGFqGTO7UNOJSkSJyQwVuEb2-yhWQit7lw/edit?gid=1379505903#gid=1379505903"", address(row($D74),column($D74),,,""FOSS LAB-P""))"),9)</f>
        <v>9</v>
      </c>
      <c r="O76" s="8">
        <f t="shared" ca="1" si="7"/>
        <v>75</v>
      </c>
      <c r="P76" s="5">
        <f ca="1">IFERROR(__xludf.DUMMYFUNCTION("IMPORTRANGE(""https://docs.google.com/spreadsheets/d/1rOGZhKHVnDGFqGTO7UNOJSkSJyQwVuEb2-yhWQit7lw/edit?gid=434615646#gid=434615646"", address(row($D74),column($D74),,,""PP-P""))"),20)</f>
        <v>20</v>
      </c>
      <c r="Q76" s="8">
        <f t="shared" ca="1" si="8"/>
        <v>71.428571428571431</v>
      </c>
      <c r="R76" s="5">
        <f ca="1">IFERROR(__xludf.DUMMYFUNCTION("IMPORTRANGE(""https://docs.google.com/spreadsheets/d/1rOGZhKHVnDGFqGTO7UNOJSkSJyQwVuEb2-yhWQit7lw/edit?gid=1663742830#gid=1663742830"", address(row($D74),column($D74),,,""NPTEL-P""))"),8)</f>
        <v>8</v>
      </c>
      <c r="S76" s="5">
        <f t="shared" ca="1" si="9"/>
        <v>66.666666666666657</v>
      </c>
      <c r="T76" s="6">
        <f ca="1">IFERROR(__xludf.DUMMYFUNCTION("IMPORTRANGE(""https://docs.google.com/spreadsheets/d/1rOGZhKHVnDGFqGTO7UNOJSkSJyQwVuEb2-yhWQit7lw/edit?gid=227426469#gid=227426469"", address(row($D74),column($D74),,,""CRT-P""))"),0)</f>
        <v>0</v>
      </c>
      <c r="U76" s="8" t="e">
        <f t="shared" ca="1" si="10"/>
        <v>#DIV/0!</v>
      </c>
      <c r="V76" s="6">
        <f t="shared" ca="1" si="0"/>
        <v>99</v>
      </c>
      <c r="W76" s="4">
        <f t="shared" ca="1" si="11"/>
        <v>65</v>
      </c>
      <c r="X76" s="4">
        <v>0</v>
      </c>
      <c r="Y76" s="4">
        <v>0</v>
      </c>
      <c r="Z76" s="4">
        <f t="shared" ca="1" si="1"/>
        <v>99</v>
      </c>
      <c r="AA76" s="10">
        <f t="shared" ca="1" si="12"/>
        <v>65</v>
      </c>
    </row>
    <row r="77" spans="1:27" ht="15.85" customHeight="1" x14ac:dyDescent="0.35">
      <c r="A77" s="8">
        <v>72</v>
      </c>
      <c r="B77" s="9" t="s">
        <v>599</v>
      </c>
      <c r="C77" s="21" t="s">
        <v>600</v>
      </c>
      <c r="D77" s="5">
        <f ca="1">IFERROR(__xludf.DUMMYFUNCTION("IMPORTRANGE(""https://docs.google.com/spreadsheets/d/1rOGZhKHVnDGFqGTO7UNOJSkSJyQwVuEb2-yhWQit7lw/edit?gid=1294109558#gid=1294109558"", address(row($D75),column($D75),,,""DM&amp;GT-P""))"),0)</f>
        <v>0</v>
      </c>
      <c r="E77" s="8" t="e">
        <f t="shared" ca="1" si="2"/>
        <v>#DIV/0!</v>
      </c>
      <c r="F77" s="5">
        <f ca="1">IFERROR(__xludf.DUMMYFUNCTION("IMPORTRANGE(""https://docs.google.com/spreadsheets/d/1rOGZhKHVnDGFqGTO7UNOJSkSJyQwVuEb2-yhWQit7lw/edit?gid=1839445998#gid=1839445998"", address(row($D75),column($D75),,,""UHV-P""))"),19)</f>
        <v>19</v>
      </c>
      <c r="G77" s="8">
        <f t="shared" ca="1" si="3"/>
        <v>86.36363636363636</v>
      </c>
      <c r="H77" s="5">
        <f ca="1">IFERROR(__xludf.DUMMYFUNCTION("IMPORTRANGE(""https://docs.google.com/spreadsheets/d/1rOGZhKHVnDGFqGTO7UNOJSkSJyQwVuEb2-yhWQit7lw/edit?gid=1415582716#gid=1415582716"", address(row($D75),column($D75),,,""DL&amp;CO-P""))"),18)</f>
        <v>18</v>
      </c>
      <c r="I77" s="8">
        <f t="shared" ca="1" si="4"/>
        <v>94.73684210526315</v>
      </c>
      <c r="J77" s="5">
        <f ca="1">IFERROR(__xludf.DUMMYFUNCTION("IMPORTRANGE(""https://docs.google.com/spreadsheets/d/1rOGZhKHVnDGFqGTO7UNOJSkSJyQwVuEb2-yhWQit7lw/edit?gid=412846422#gid=412846422"", address(row($D75),column($D75),,,""ADSA-P""))"),36)</f>
        <v>36</v>
      </c>
      <c r="K77" s="8">
        <f t="shared" ca="1" si="5"/>
        <v>81.818181818181827</v>
      </c>
      <c r="L77" s="5">
        <f ca="1">IFERROR(__xludf.DUMMYFUNCTION("IMPORTRANGE(""https://docs.google.com/spreadsheets/d/1rOGZhKHVnDGFqGTO7UNOJSkSJyQwVuEb2-yhWQit7lw/edit?gid=1092082017#gid=1092082017"", address(row($D75),column($D75),,,""JAVA-P""))"),16)</f>
        <v>16</v>
      </c>
      <c r="M77" s="8">
        <f t="shared" ca="1" si="6"/>
        <v>100</v>
      </c>
      <c r="N77" s="5">
        <f ca="1">IFERROR(__xludf.DUMMYFUNCTION("IMPORTRANGE(""https://docs.google.com/spreadsheets/d/1rOGZhKHVnDGFqGTO7UNOJSkSJyQwVuEb2-yhWQit7lw/edit?gid=1379505903#gid=1379505903"", address(row($D75),column($D75),,,""FOSS LAB-P""))"),6)</f>
        <v>6</v>
      </c>
      <c r="O77" s="8">
        <f t="shared" ca="1" si="7"/>
        <v>50</v>
      </c>
      <c r="P77" s="5">
        <f ca="1">IFERROR(__xludf.DUMMYFUNCTION("IMPORTRANGE(""https://docs.google.com/spreadsheets/d/1rOGZhKHVnDGFqGTO7UNOJSkSJyQwVuEb2-yhWQit7lw/edit?gid=434615646#gid=434615646"", address(row($D75),column($D75),,,""PP-P""))"),22)</f>
        <v>22</v>
      </c>
      <c r="Q77" s="8">
        <f t="shared" ca="1" si="8"/>
        <v>78.571428571428569</v>
      </c>
      <c r="R77" s="5">
        <f ca="1">IFERROR(__xludf.DUMMYFUNCTION("IMPORTRANGE(""https://docs.google.com/spreadsheets/d/1rOGZhKHVnDGFqGTO7UNOJSkSJyQwVuEb2-yhWQit7lw/edit?gid=1663742830#gid=1663742830"", address(row($D75),column($D75),,,""NPTEL-P""))"),12)</f>
        <v>12</v>
      </c>
      <c r="S77" s="5">
        <f t="shared" ca="1" si="9"/>
        <v>100</v>
      </c>
      <c r="T77" s="6">
        <f ca="1">IFERROR(__xludf.DUMMYFUNCTION("IMPORTRANGE(""https://docs.google.com/spreadsheets/d/1rOGZhKHVnDGFqGTO7UNOJSkSJyQwVuEb2-yhWQit7lw/edit?gid=227426469#gid=227426469"", address(row($D75),column($D75),,,""CRT-P""))"),0)</f>
        <v>0</v>
      </c>
      <c r="U77" s="8" t="e">
        <f t="shared" ca="1" si="10"/>
        <v>#DIV/0!</v>
      </c>
      <c r="V77" s="6">
        <f t="shared" ca="1" si="0"/>
        <v>129</v>
      </c>
      <c r="W77" s="4">
        <f t="shared" ca="1" si="11"/>
        <v>84</v>
      </c>
      <c r="X77" s="4">
        <v>0</v>
      </c>
      <c r="Y77" s="4">
        <v>0</v>
      </c>
      <c r="Z77" s="4">
        <f t="shared" ca="1" si="1"/>
        <v>129</v>
      </c>
      <c r="AA77" s="10">
        <f t="shared" ca="1" si="12"/>
        <v>84</v>
      </c>
    </row>
    <row r="78" spans="1:27" ht="15.85" customHeight="1" x14ac:dyDescent="0.35">
      <c r="A78" s="8">
        <v>73</v>
      </c>
      <c r="B78" s="9" t="s">
        <v>601</v>
      </c>
      <c r="C78" s="21" t="s">
        <v>602</v>
      </c>
      <c r="D78" s="5">
        <f ca="1">IFERROR(__xludf.DUMMYFUNCTION("IMPORTRANGE(""https://docs.google.com/spreadsheets/d/1rOGZhKHVnDGFqGTO7UNOJSkSJyQwVuEb2-yhWQit7lw/edit?gid=1294109558#gid=1294109558"", address(row($D76),column($D76),,,""DM&amp;GT-P""))"),0)</f>
        <v>0</v>
      </c>
      <c r="E78" s="8" t="e">
        <f t="shared" ca="1" si="2"/>
        <v>#DIV/0!</v>
      </c>
      <c r="F78" s="5">
        <f ca="1">IFERROR(__xludf.DUMMYFUNCTION("IMPORTRANGE(""https://docs.google.com/spreadsheets/d/1rOGZhKHVnDGFqGTO7UNOJSkSJyQwVuEb2-yhWQit7lw/edit?gid=1839445998#gid=1839445998"", address(row($D76),column($D76),,,""UHV-P""))"),21)</f>
        <v>21</v>
      </c>
      <c r="G78" s="8">
        <f t="shared" ca="1" si="3"/>
        <v>95.454545454545453</v>
      </c>
      <c r="H78" s="5">
        <f ca="1">IFERROR(__xludf.DUMMYFUNCTION("IMPORTRANGE(""https://docs.google.com/spreadsheets/d/1rOGZhKHVnDGFqGTO7UNOJSkSJyQwVuEb2-yhWQit7lw/edit?gid=1415582716#gid=1415582716"", address(row($D76),column($D76),,,""DL&amp;CO-P""))"),16)</f>
        <v>16</v>
      </c>
      <c r="I78" s="8">
        <f t="shared" ca="1" si="4"/>
        <v>84.210526315789465</v>
      </c>
      <c r="J78" s="5">
        <f ca="1">IFERROR(__xludf.DUMMYFUNCTION("IMPORTRANGE(""https://docs.google.com/spreadsheets/d/1rOGZhKHVnDGFqGTO7UNOJSkSJyQwVuEb2-yhWQit7lw/edit?gid=412846422#gid=412846422"", address(row($D76),column($D76),,,""ADSA-P""))"),36)</f>
        <v>36</v>
      </c>
      <c r="K78" s="8">
        <f t="shared" ca="1" si="5"/>
        <v>81.818181818181827</v>
      </c>
      <c r="L78" s="5">
        <f ca="1">IFERROR(__xludf.DUMMYFUNCTION("IMPORTRANGE(""https://docs.google.com/spreadsheets/d/1rOGZhKHVnDGFqGTO7UNOJSkSJyQwVuEb2-yhWQit7lw/edit?gid=1092082017#gid=1092082017"", address(row($D76),column($D76),,,""JAVA-P""))"),16)</f>
        <v>16</v>
      </c>
      <c r="M78" s="8">
        <f t="shared" ca="1" si="6"/>
        <v>100</v>
      </c>
      <c r="N78" s="5">
        <f ca="1">IFERROR(__xludf.DUMMYFUNCTION("IMPORTRANGE(""https://docs.google.com/spreadsheets/d/1rOGZhKHVnDGFqGTO7UNOJSkSJyQwVuEb2-yhWQit7lw/edit?gid=1379505903#gid=1379505903"", address(row($D76),column($D76),,,""FOSS LAB-P""))"),9)</f>
        <v>9</v>
      </c>
      <c r="O78" s="8">
        <f t="shared" ca="1" si="7"/>
        <v>75</v>
      </c>
      <c r="P78" s="5">
        <f ca="1">IFERROR(__xludf.DUMMYFUNCTION("IMPORTRANGE(""https://docs.google.com/spreadsheets/d/1rOGZhKHVnDGFqGTO7UNOJSkSJyQwVuEb2-yhWQit7lw/edit?gid=434615646#gid=434615646"", address(row($D76),column($D76),,,""PP-P""))"),24)</f>
        <v>24</v>
      </c>
      <c r="Q78" s="8">
        <f t="shared" ca="1" si="8"/>
        <v>85.714285714285708</v>
      </c>
      <c r="R78" s="5">
        <f ca="1">IFERROR(__xludf.DUMMYFUNCTION("IMPORTRANGE(""https://docs.google.com/spreadsheets/d/1rOGZhKHVnDGFqGTO7UNOJSkSJyQwVuEb2-yhWQit7lw/edit?gid=1663742830#gid=1663742830"", address(row($D76),column($D76),,,""NPTEL-P""))"),12)</f>
        <v>12</v>
      </c>
      <c r="S78" s="5">
        <f t="shared" ca="1" si="9"/>
        <v>100</v>
      </c>
      <c r="T78" s="6">
        <f ca="1">IFERROR(__xludf.DUMMYFUNCTION("IMPORTRANGE(""https://docs.google.com/spreadsheets/d/1rOGZhKHVnDGFqGTO7UNOJSkSJyQwVuEb2-yhWQit7lw/edit?gid=227426469#gid=227426469"", address(row($D76),column($D76),,,""CRT-P""))"),0)</f>
        <v>0</v>
      </c>
      <c r="U78" s="8" t="e">
        <f t="shared" ca="1" si="10"/>
        <v>#DIV/0!</v>
      </c>
      <c r="V78" s="6">
        <f t="shared" ca="1" si="0"/>
        <v>134</v>
      </c>
      <c r="W78" s="4">
        <f t="shared" ca="1" si="11"/>
        <v>88</v>
      </c>
      <c r="X78" s="4">
        <v>0</v>
      </c>
      <c r="Y78" s="4">
        <v>0</v>
      </c>
      <c r="Z78" s="4">
        <f t="shared" ca="1" si="1"/>
        <v>134</v>
      </c>
      <c r="AA78" s="10">
        <f t="shared" ca="1" si="12"/>
        <v>88</v>
      </c>
    </row>
    <row r="79" spans="1:27" ht="15.85" customHeight="1" x14ac:dyDescent="0.35">
      <c r="A79" s="8">
        <v>74</v>
      </c>
      <c r="B79" s="9" t="s">
        <v>603</v>
      </c>
      <c r="C79" s="21" t="s">
        <v>604</v>
      </c>
      <c r="D79" s="5">
        <f ca="1">IFERROR(__xludf.DUMMYFUNCTION("IMPORTRANGE(""https://docs.google.com/spreadsheets/d/1rOGZhKHVnDGFqGTO7UNOJSkSJyQwVuEb2-yhWQit7lw/edit?gid=1294109558#gid=1294109558"", address(row($D77),column($D77),,,""DM&amp;GT-P""))"),0)</f>
        <v>0</v>
      </c>
      <c r="E79" s="8" t="e">
        <f t="shared" ca="1" si="2"/>
        <v>#DIV/0!</v>
      </c>
      <c r="F79" s="5">
        <f ca="1">IFERROR(__xludf.DUMMYFUNCTION("IMPORTRANGE(""https://docs.google.com/spreadsheets/d/1rOGZhKHVnDGFqGTO7UNOJSkSJyQwVuEb2-yhWQit7lw/edit?gid=1839445998#gid=1839445998"", address(row($D77),column($D77),,,""UHV-P""))"),0)</f>
        <v>0</v>
      </c>
      <c r="G79" s="8">
        <f t="shared" ca="1" si="3"/>
        <v>0</v>
      </c>
      <c r="H79" s="5">
        <f ca="1">IFERROR(__xludf.DUMMYFUNCTION("IMPORTRANGE(""https://docs.google.com/spreadsheets/d/1rOGZhKHVnDGFqGTO7UNOJSkSJyQwVuEb2-yhWQit7lw/edit?gid=1415582716#gid=1415582716"", address(row($D77),column($D77),,,""DL&amp;CO-P""))"),9)</f>
        <v>9</v>
      </c>
      <c r="I79" s="8">
        <f t="shared" ca="1" si="4"/>
        <v>47.368421052631575</v>
      </c>
      <c r="J79" s="5">
        <f ca="1">IFERROR(__xludf.DUMMYFUNCTION("IMPORTRANGE(""https://docs.google.com/spreadsheets/d/1rOGZhKHVnDGFqGTO7UNOJSkSJyQwVuEb2-yhWQit7lw/edit?gid=412846422#gid=412846422"", address(row($D77),column($D77),,,""ADSA-P""))"),0)</f>
        <v>0</v>
      </c>
      <c r="K79" s="8">
        <f t="shared" ca="1" si="5"/>
        <v>0</v>
      </c>
      <c r="L79" s="5">
        <f ca="1">IFERROR(__xludf.DUMMYFUNCTION("IMPORTRANGE(""https://docs.google.com/spreadsheets/d/1rOGZhKHVnDGFqGTO7UNOJSkSJyQwVuEb2-yhWQit7lw/edit?gid=1092082017#gid=1092082017"", address(row($D77),column($D77),,,""JAVA-P""))"),0)</f>
        <v>0</v>
      </c>
      <c r="M79" s="8">
        <f t="shared" ca="1" si="6"/>
        <v>0</v>
      </c>
      <c r="N79" s="5">
        <f ca="1">IFERROR(__xludf.DUMMYFUNCTION("IMPORTRANGE(""https://docs.google.com/spreadsheets/d/1rOGZhKHVnDGFqGTO7UNOJSkSJyQwVuEb2-yhWQit7lw/edit?gid=1379505903#gid=1379505903"", address(row($D77),column($D77),,,""FOSS LAB-P""))"),0)</f>
        <v>0</v>
      </c>
      <c r="O79" s="8">
        <f t="shared" ca="1" si="7"/>
        <v>0</v>
      </c>
      <c r="P79" s="5">
        <f ca="1">IFERROR(__xludf.DUMMYFUNCTION("IMPORTRANGE(""https://docs.google.com/spreadsheets/d/1rOGZhKHVnDGFqGTO7UNOJSkSJyQwVuEb2-yhWQit7lw/edit?gid=434615646#gid=434615646"", address(row($D77),column($D77),,,""PP-P""))"),0)</f>
        <v>0</v>
      </c>
      <c r="Q79" s="8">
        <f t="shared" ca="1" si="8"/>
        <v>0</v>
      </c>
      <c r="R79" s="5">
        <f ca="1">IFERROR(__xludf.DUMMYFUNCTION("IMPORTRANGE(""https://docs.google.com/spreadsheets/d/1rOGZhKHVnDGFqGTO7UNOJSkSJyQwVuEb2-yhWQit7lw/edit?gid=1663742830#gid=1663742830"", address(row($D77),column($D77),,,""NPTEL-P""))"),0)</f>
        <v>0</v>
      </c>
      <c r="S79" s="5">
        <f t="shared" ca="1" si="9"/>
        <v>0</v>
      </c>
      <c r="T79" s="6">
        <f ca="1">IFERROR(__xludf.DUMMYFUNCTION("IMPORTRANGE(""https://docs.google.com/spreadsheets/d/1rOGZhKHVnDGFqGTO7UNOJSkSJyQwVuEb2-yhWQit7lw/edit?gid=227426469#gid=227426469"", address(row($D77),column($D77),,,""CRT-P""))"),0)</f>
        <v>0</v>
      </c>
      <c r="U79" s="8" t="e">
        <f t="shared" ca="1" si="10"/>
        <v>#DIV/0!</v>
      </c>
      <c r="V79" s="6">
        <f t="shared" ca="1" si="0"/>
        <v>9</v>
      </c>
      <c r="W79" s="4">
        <f t="shared" ca="1" si="11"/>
        <v>6</v>
      </c>
      <c r="X79" s="4">
        <v>0</v>
      </c>
      <c r="Y79" s="4">
        <v>0</v>
      </c>
      <c r="Z79" s="4">
        <f t="shared" ca="1" si="1"/>
        <v>9</v>
      </c>
      <c r="AA79" s="10">
        <f t="shared" ca="1" si="12"/>
        <v>6</v>
      </c>
    </row>
    <row r="80" spans="1:27" ht="15.85" customHeight="1" x14ac:dyDescent="0.35">
      <c r="A80" s="8">
        <v>75</v>
      </c>
      <c r="B80" s="9" t="s">
        <v>605</v>
      </c>
      <c r="C80" s="21" t="s">
        <v>606</v>
      </c>
      <c r="D80" s="5">
        <f ca="1">IFERROR(__xludf.DUMMYFUNCTION("IMPORTRANGE(""https://docs.google.com/spreadsheets/d/1rOGZhKHVnDGFqGTO7UNOJSkSJyQwVuEb2-yhWQit7lw/edit?gid=1294109558#gid=1294109558"", address(row($D78),column($D78),,,""DM&amp;GT-P""))"),0)</f>
        <v>0</v>
      </c>
      <c r="E80" s="8" t="e">
        <f t="shared" ca="1" si="2"/>
        <v>#DIV/0!</v>
      </c>
      <c r="F80" s="5">
        <f ca="1">IFERROR(__xludf.DUMMYFUNCTION("IMPORTRANGE(""https://docs.google.com/spreadsheets/d/1rOGZhKHVnDGFqGTO7UNOJSkSJyQwVuEb2-yhWQit7lw/edit?gid=1839445998#gid=1839445998"", address(row($D78),column($D78),,,""UHV-P""))"),17)</f>
        <v>17</v>
      </c>
      <c r="G80" s="8">
        <f t="shared" ca="1" si="3"/>
        <v>77.272727272727266</v>
      </c>
      <c r="H80" s="5">
        <f ca="1">IFERROR(__xludf.DUMMYFUNCTION("IMPORTRANGE(""https://docs.google.com/spreadsheets/d/1rOGZhKHVnDGFqGTO7UNOJSkSJyQwVuEb2-yhWQit7lw/edit?gid=1415582716#gid=1415582716"", address(row($D78),column($D78),,,""DL&amp;CO-P""))"),14)</f>
        <v>14</v>
      </c>
      <c r="I80" s="8">
        <f t="shared" ca="1" si="4"/>
        <v>73.68421052631578</v>
      </c>
      <c r="J80" s="5">
        <f ca="1">IFERROR(__xludf.DUMMYFUNCTION("IMPORTRANGE(""https://docs.google.com/spreadsheets/d/1rOGZhKHVnDGFqGTO7UNOJSkSJyQwVuEb2-yhWQit7lw/edit?gid=412846422#gid=412846422"", address(row($D78),column($D78),,,""ADSA-P""))"),26)</f>
        <v>26</v>
      </c>
      <c r="K80" s="8">
        <f t="shared" ca="1" si="5"/>
        <v>59.090909090909093</v>
      </c>
      <c r="L80" s="5">
        <f ca="1">IFERROR(__xludf.DUMMYFUNCTION("IMPORTRANGE(""https://docs.google.com/spreadsheets/d/1rOGZhKHVnDGFqGTO7UNOJSkSJyQwVuEb2-yhWQit7lw/edit?gid=1092082017#gid=1092082017"", address(row($D78),column($D78),,,""JAVA-P""))"),8)</f>
        <v>8</v>
      </c>
      <c r="M80" s="8">
        <f t="shared" ca="1" si="6"/>
        <v>50</v>
      </c>
      <c r="N80" s="5">
        <f ca="1">IFERROR(__xludf.DUMMYFUNCTION("IMPORTRANGE(""https://docs.google.com/spreadsheets/d/1rOGZhKHVnDGFqGTO7UNOJSkSJyQwVuEb2-yhWQit7lw/edit?gid=1379505903#gid=1379505903"", address(row($D78),column($D78),,,""FOSS LAB-P""))"),9)</f>
        <v>9</v>
      </c>
      <c r="O80" s="8">
        <f t="shared" ca="1" si="7"/>
        <v>75</v>
      </c>
      <c r="P80" s="5">
        <f ca="1">IFERROR(__xludf.DUMMYFUNCTION("IMPORTRANGE(""https://docs.google.com/spreadsheets/d/1rOGZhKHVnDGFqGTO7UNOJSkSJyQwVuEb2-yhWQit7lw/edit?gid=434615646#gid=434615646"", address(row($D78),column($D78),,,""PP-P""))"),14)</f>
        <v>14</v>
      </c>
      <c r="Q80" s="8">
        <f t="shared" ca="1" si="8"/>
        <v>50</v>
      </c>
      <c r="R80" s="5">
        <f ca="1">IFERROR(__xludf.DUMMYFUNCTION("IMPORTRANGE(""https://docs.google.com/spreadsheets/d/1rOGZhKHVnDGFqGTO7UNOJSkSJyQwVuEb2-yhWQit7lw/edit?gid=1663742830#gid=1663742830"", address(row($D78),column($D78),,,""NPTEL-P""))"),12)</f>
        <v>12</v>
      </c>
      <c r="S80" s="5">
        <f t="shared" ca="1" si="9"/>
        <v>100</v>
      </c>
      <c r="T80" s="6">
        <f ca="1">IFERROR(__xludf.DUMMYFUNCTION("IMPORTRANGE(""https://docs.google.com/spreadsheets/d/1rOGZhKHVnDGFqGTO7UNOJSkSJyQwVuEb2-yhWQit7lw/edit?gid=227426469#gid=227426469"", address(row($D78),column($D78),,,""CRT-P""))"),0)</f>
        <v>0</v>
      </c>
      <c r="U80" s="8" t="e">
        <f t="shared" ca="1" si="10"/>
        <v>#DIV/0!</v>
      </c>
      <c r="V80" s="6">
        <f t="shared" ca="1" si="0"/>
        <v>100</v>
      </c>
      <c r="W80" s="4">
        <f t="shared" ca="1" si="11"/>
        <v>65</v>
      </c>
      <c r="X80" s="4">
        <v>0</v>
      </c>
      <c r="Y80" s="4">
        <v>0</v>
      </c>
      <c r="Z80" s="4">
        <f t="shared" ca="1" si="1"/>
        <v>100</v>
      </c>
      <c r="AA80" s="10">
        <f t="shared" ca="1" si="12"/>
        <v>65</v>
      </c>
    </row>
    <row r="81" spans="2:27" ht="15.85" customHeight="1" x14ac:dyDescent="0.3">
      <c r="Y81" s="12"/>
      <c r="Z81" s="12"/>
      <c r="AA81" s="12"/>
    </row>
    <row r="82" spans="2:27" ht="15.85" customHeight="1" x14ac:dyDescent="0.3">
      <c r="B82" s="26" t="s">
        <v>607</v>
      </c>
      <c r="C82" s="24"/>
      <c r="Y82" s="12"/>
      <c r="Z82" s="12"/>
      <c r="AA82" s="12"/>
    </row>
    <row r="83" spans="2:27" ht="15.85" customHeight="1" x14ac:dyDescent="0.3">
      <c r="B83" s="13" t="s">
        <v>170</v>
      </c>
      <c r="C83" s="14">
        <f ca="1">COUNTIF(AA6:AA80,"&gt;=75")</f>
        <v>37</v>
      </c>
      <c r="Y83" s="12"/>
      <c r="Z83" s="12"/>
      <c r="AA83" s="12"/>
    </row>
    <row r="84" spans="2:27" ht="15.85" customHeight="1" x14ac:dyDescent="0.3">
      <c r="B84" s="13" t="s">
        <v>171</v>
      </c>
      <c r="C84" s="14">
        <f ca="1">COUNTIFS(AA6:AA80,"&gt;=65",AA6:AA80,"&lt;75")</f>
        <v>25</v>
      </c>
      <c r="Y84" s="12"/>
      <c r="Z84" s="12"/>
      <c r="AA84" s="12"/>
    </row>
    <row r="85" spans="2:27" ht="15.85" customHeight="1" x14ac:dyDescent="0.3">
      <c r="B85" s="13" t="s">
        <v>172</v>
      </c>
      <c r="C85" s="14">
        <f ca="1">COUNTIFS(AA6:AA80,"&gt;=50",AA6:AA80,"&lt;65")</f>
        <v>4</v>
      </c>
      <c r="Y85" s="12"/>
      <c r="Z85" s="12"/>
      <c r="AA85" s="12"/>
    </row>
    <row r="86" spans="2:27" ht="15.85" customHeight="1" x14ac:dyDescent="0.3">
      <c r="B86" s="13" t="s">
        <v>173</v>
      </c>
      <c r="C86" s="14">
        <f ca="1">COUNTIFS(AA6:AA80,"&gt;=25",AA6:AA80,"&lt;50")</f>
        <v>4</v>
      </c>
      <c r="Y86" s="12"/>
      <c r="Z86" s="12"/>
      <c r="AA86" s="12"/>
    </row>
    <row r="87" spans="2:27" ht="15.85" customHeight="1" x14ac:dyDescent="0.3">
      <c r="B87" s="13" t="s">
        <v>174</v>
      </c>
      <c r="C87" s="14">
        <f ca="1">COUNTIFS(AA6:AA80,"&gt;=1",AA6:AA80,"&lt;25")</f>
        <v>5</v>
      </c>
      <c r="Y87" s="12"/>
      <c r="Z87" s="12"/>
      <c r="AA87" s="12"/>
    </row>
    <row r="88" spans="2:27" ht="15.85" customHeight="1" x14ac:dyDescent="0.3">
      <c r="B88" s="13">
        <f>0</f>
        <v>0</v>
      </c>
      <c r="C88" s="15">
        <f ca="1">COUNTIFS(AA6:AA80,"=0")</f>
        <v>0</v>
      </c>
      <c r="Y88" s="12"/>
      <c r="Z88" s="12"/>
      <c r="AA88" s="12"/>
    </row>
    <row r="89" spans="2:27" ht="15.85" customHeight="1" x14ac:dyDescent="0.3">
      <c r="B89" s="16"/>
      <c r="C89" s="16">
        <f ca="1">SUM(C83:C88)</f>
        <v>75</v>
      </c>
      <c r="Y89" s="12"/>
      <c r="Z89" s="12"/>
      <c r="AA89" s="12"/>
    </row>
    <row r="90" spans="2:27" ht="15.85" customHeight="1" x14ac:dyDescent="0.3">
      <c r="Y90" s="12"/>
      <c r="Z90" s="12"/>
      <c r="AA90" s="12"/>
    </row>
    <row r="91" spans="2:27" ht="15.85" customHeight="1" x14ac:dyDescent="0.3">
      <c r="Y91" s="12"/>
      <c r="Z91" s="12"/>
      <c r="AA91" s="12"/>
    </row>
    <row r="92" spans="2:27" ht="15.85" customHeight="1" x14ac:dyDescent="0.3">
      <c r="Y92" s="12"/>
      <c r="Z92" s="12"/>
      <c r="AA92" s="12"/>
    </row>
    <row r="93" spans="2:27" ht="15.85" customHeight="1" x14ac:dyDescent="0.3">
      <c r="Y93" s="12"/>
      <c r="Z93" s="12"/>
      <c r="AA93" s="12"/>
    </row>
    <row r="94" spans="2:27" ht="15.85" customHeight="1" x14ac:dyDescent="0.3">
      <c r="Y94" s="12"/>
      <c r="Z94" s="12"/>
      <c r="AA94" s="12"/>
    </row>
    <row r="95" spans="2:27" ht="15.85" customHeight="1" x14ac:dyDescent="0.3">
      <c r="Y95" s="12"/>
      <c r="Z95" s="12"/>
      <c r="AA95" s="12"/>
    </row>
    <row r="96" spans="2:27" ht="15.85" customHeight="1" x14ac:dyDescent="0.3">
      <c r="Y96" s="12"/>
      <c r="Z96" s="12"/>
      <c r="AA96" s="12"/>
    </row>
    <row r="97" spans="25:27" ht="15.85" customHeight="1" x14ac:dyDescent="0.3">
      <c r="Y97" s="12"/>
      <c r="Z97" s="12"/>
      <c r="AA97" s="12"/>
    </row>
    <row r="98" spans="25:27" ht="15.85" customHeight="1" x14ac:dyDescent="0.3">
      <c r="Y98" s="12"/>
      <c r="Z98" s="12"/>
      <c r="AA98" s="12"/>
    </row>
    <row r="99" spans="25:27" ht="15.85" customHeight="1" x14ac:dyDescent="0.3">
      <c r="Y99" s="12"/>
      <c r="Z99" s="12"/>
      <c r="AA99" s="12"/>
    </row>
    <row r="100" spans="25:27" ht="15.85" customHeight="1" x14ac:dyDescent="0.3">
      <c r="Y100" s="12"/>
      <c r="Z100" s="12"/>
      <c r="AA100" s="12"/>
    </row>
    <row r="101" spans="25:27" ht="15.85" customHeight="1" x14ac:dyDescent="0.3">
      <c r="Y101" s="12"/>
      <c r="Z101" s="12"/>
      <c r="AA101" s="12"/>
    </row>
    <row r="102" spans="25:27" ht="15.85" customHeight="1" x14ac:dyDescent="0.3">
      <c r="Y102" s="12"/>
      <c r="Z102" s="12"/>
      <c r="AA102" s="12"/>
    </row>
    <row r="103" spans="25:27" ht="15.85" customHeight="1" x14ac:dyDescent="0.3">
      <c r="Y103" s="12"/>
      <c r="Z103" s="12"/>
      <c r="AA103" s="12"/>
    </row>
    <row r="104" spans="25:27" ht="15.85" customHeight="1" x14ac:dyDescent="0.3">
      <c r="Y104" s="12"/>
      <c r="Z104" s="12"/>
      <c r="AA104" s="12"/>
    </row>
    <row r="105" spans="25:27" ht="15.85" customHeight="1" x14ac:dyDescent="0.3">
      <c r="Y105" s="12"/>
      <c r="Z105" s="12"/>
      <c r="AA105" s="12"/>
    </row>
    <row r="106" spans="25:27" ht="15.85" customHeight="1" x14ac:dyDescent="0.3">
      <c r="Y106" s="12"/>
      <c r="Z106" s="12"/>
      <c r="AA106" s="12"/>
    </row>
    <row r="107" spans="25:27" ht="15.85" customHeight="1" x14ac:dyDescent="0.3">
      <c r="Y107" s="12"/>
      <c r="Z107" s="12"/>
      <c r="AA107" s="12"/>
    </row>
    <row r="108" spans="25:27" ht="15.85" customHeight="1" x14ac:dyDescent="0.3">
      <c r="Y108" s="12"/>
      <c r="Z108" s="12"/>
      <c r="AA108" s="12"/>
    </row>
    <row r="109" spans="25:27" ht="15.85" customHeight="1" x14ac:dyDescent="0.3">
      <c r="Y109" s="12"/>
      <c r="Z109" s="12"/>
      <c r="AA109" s="12"/>
    </row>
    <row r="110" spans="25:27" ht="15.85" customHeight="1" x14ac:dyDescent="0.3">
      <c r="Y110" s="12"/>
      <c r="Z110" s="12"/>
      <c r="AA110" s="12"/>
    </row>
    <row r="111" spans="25:27" ht="15.85" customHeight="1" x14ac:dyDescent="0.3">
      <c r="Y111" s="12"/>
      <c r="Z111" s="12"/>
      <c r="AA111" s="12"/>
    </row>
    <row r="112" spans="25:27" ht="15.85" customHeight="1" x14ac:dyDescent="0.3">
      <c r="Y112" s="12"/>
      <c r="Z112" s="12"/>
      <c r="AA112" s="12"/>
    </row>
    <row r="113" spans="25:27" ht="15.85" customHeight="1" x14ac:dyDescent="0.3">
      <c r="Y113" s="12"/>
      <c r="Z113" s="12"/>
      <c r="AA113" s="12"/>
    </row>
    <row r="114" spans="25:27" ht="15.85" customHeight="1" x14ac:dyDescent="0.3">
      <c r="Y114" s="12"/>
      <c r="Z114" s="12"/>
      <c r="AA114" s="12"/>
    </row>
    <row r="115" spans="25:27" ht="15.85" customHeight="1" x14ac:dyDescent="0.3">
      <c r="Y115" s="12"/>
      <c r="Z115" s="12"/>
      <c r="AA115" s="12"/>
    </row>
    <row r="116" spans="25:27" ht="15.85" customHeight="1" x14ac:dyDescent="0.3">
      <c r="Y116" s="12"/>
      <c r="Z116" s="12"/>
      <c r="AA116" s="12"/>
    </row>
    <row r="117" spans="25:27" ht="15.85" customHeight="1" x14ac:dyDescent="0.3">
      <c r="Y117" s="12"/>
      <c r="Z117" s="12"/>
      <c r="AA117" s="12"/>
    </row>
    <row r="118" spans="25:27" ht="15.85" customHeight="1" x14ac:dyDescent="0.3">
      <c r="Y118" s="12"/>
      <c r="Z118" s="12"/>
      <c r="AA118" s="12"/>
    </row>
    <row r="119" spans="25:27" ht="15.85" customHeight="1" x14ac:dyDescent="0.3">
      <c r="Y119" s="12"/>
      <c r="Z119" s="12"/>
      <c r="AA119" s="12"/>
    </row>
    <row r="120" spans="25:27" ht="15.85" customHeight="1" x14ac:dyDescent="0.3">
      <c r="Y120" s="12"/>
      <c r="Z120" s="12"/>
      <c r="AA120" s="12"/>
    </row>
    <row r="121" spans="25:27" ht="15.85" customHeight="1" x14ac:dyDescent="0.3">
      <c r="Y121" s="12"/>
      <c r="Z121" s="12"/>
      <c r="AA121" s="12"/>
    </row>
    <row r="122" spans="25:27" ht="15.85" customHeight="1" x14ac:dyDescent="0.3">
      <c r="Y122" s="12"/>
      <c r="Z122" s="12"/>
      <c r="AA122" s="12"/>
    </row>
    <row r="123" spans="25:27" ht="15.85" customHeight="1" x14ac:dyDescent="0.3">
      <c r="Y123" s="12"/>
      <c r="Z123" s="12"/>
      <c r="AA123" s="12"/>
    </row>
    <row r="124" spans="25:27" ht="15.85" customHeight="1" x14ac:dyDescent="0.3">
      <c r="Y124" s="12"/>
      <c r="Z124" s="12"/>
      <c r="AA124" s="12"/>
    </row>
    <row r="125" spans="25:27" ht="15.85" customHeight="1" x14ac:dyDescent="0.3">
      <c r="Y125" s="12"/>
      <c r="Z125" s="12"/>
      <c r="AA125" s="12"/>
    </row>
    <row r="126" spans="25:27" ht="15.85" customHeight="1" x14ac:dyDescent="0.3">
      <c r="Y126" s="12"/>
      <c r="Z126" s="12"/>
      <c r="AA126" s="12"/>
    </row>
    <row r="127" spans="25:27" ht="15.85" customHeight="1" x14ac:dyDescent="0.3">
      <c r="Y127" s="12"/>
      <c r="Z127" s="12"/>
      <c r="AA127" s="12"/>
    </row>
    <row r="128" spans="25:27" ht="15.85" customHeight="1" x14ac:dyDescent="0.3">
      <c r="Y128" s="12"/>
      <c r="Z128" s="12"/>
      <c r="AA128" s="12"/>
    </row>
    <row r="129" spans="25:27" ht="15.85" customHeight="1" x14ac:dyDescent="0.3">
      <c r="Y129" s="12"/>
      <c r="Z129" s="12"/>
      <c r="AA129" s="12"/>
    </row>
    <row r="130" spans="25:27" ht="15.85" customHeight="1" x14ac:dyDescent="0.3">
      <c r="Y130" s="12"/>
      <c r="Z130" s="12"/>
      <c r="AA130" s="12"/>
    </row>
    <row r="131" spans="25:27" ht="15.85" customHeight="1" x14ac:dyDescent="0.3">
      <c r="Y131" s="12"/>
      <c r="Z131" s="12"/>
      <c r="AA131" s="12"/>
    </row>
    <row r="132" spans="25:27" ht="15.85" customHeight="1" x14ac:dyDescent="0.3">
      <c r="Y132" s="12"/>
      <c r="Z132" s="12"/>
      <c r="AA132" s="12"/>
    </row>
    <row r="133" spans="25:27" ht="15.85" customHeight="1" x14ac:dyDescent="0.3">
      <c r="Y133" s="12"/>
      <c r="Z133" s="12"/>
      <c r="AA133" s="12"/>
    </row>
    <row r="134" spans="25:27" ht="15.85" customHeight="1" x14ac:dyDescent="0.3">
      <c r="Y134" s="12"/>
      <c r="Z134" s="12"/>
      <c r="AA134" s="12"/>
    </row>
    <row r="135" spans="25:27" ht="15.85" customHeight="1" x14ac:dyDescent="0.3">
      <c r="Y135" s="12"/>
      <c r="Z135" s="12"/>
      <c r="AA135" s="12"/>
    </row>
    <row r="136" spans="25:27" ht="15.85" customHeight="1" x14ac:dyDescent="0.3">
      <c r="Y136" s="12"/>
      <c r="Z136" s="12"/>
      <c r="AA136" s="12"/>
    </row>
    <row r="137" spans="25:27" ht="15.85" customHeight="1" x14ac:dyDescent="0.3">
      <c r="Y137" s="12"/>
      <c r="Z137" s="12"/>
      <c r="AA137" s="12"/>
    </row>
    <row r="138" spans="25:27" ht="15.85" customHeight="1" x14ac:dyDescent="0.3">
      <c r="Y138" s="12"/>
      <c r="Z138" s="12"/>
      <c r="AA138" s="12"/>
    </row>
    <row r="139" spans="25:27" ht="15.85" customHeight="1" x14ac:dyDescent="0.3">
      <c r="Y139" s="12"/>
      <c r="Z139" s="12"/>
      <c r="AA139" s="12"/>
    </row>
    <row r="140" spans="25:27" ht="15.85" customHeight="1" x14ac:dyDescent="0.3">
      <c r="Y140" s="12"/>
      <c r="Z140" s="12"/>
      <c r="AA140" s="12"/>
    </row>
    <row r="141" spans="25:27" ht="15.85" customHeight="1" x14ac:dyDescent="0.3">
      <c r="Y141" s="12"/>
      <c r="Z141" s="12"/>
      <c r="AA141" s="12"/>
    </row>
    <row r="142" spans="25:27" ht="15.85" customHeight="1" x14ac:dyDescent="0.3">
      <c r="Y142" s="12"/>
      <c r="Z142" s="12"/>
      <c r="AA142" s="12"/>
    </row>
    <row r="143" spans="25:27" ht="15.85" customHeight="1" x14ac:dyDescent="0.3">
      <c r="Y143" s="12"/>
      <c r="Z143" s="12"/>
      <c r="AA143" s="12"/>
    </row>
    <row r="144" spans="25:27" ht="15.85" customHeight="1" x14ac:dyDescent="0.3">
      <c r="Y144" s="12"/>
      <c r="Z144" s="12"/>
      <c r="AA144" s="12"/>
    </row>
    <row r="145" spans="25:27" ht="15.85" customHeight="1" x14ac:dyDescent="0.3">
      <c r="Y145" s="12"/>
      <c r="Z145" s="12"/>
      <c r="AA145" s="12"/>
    </row>
    <row r="146" spans="25:27" ht="15.85" customHeight="1" x14ac:dyDescent="0.3">
      <c r="Y146" s="12"/>
      <c r="Z146" s="12"/>
      <c r="AA146" s="12"/>
    </row>
    <row r="147" spans="25:27" ht="15.85" customHeight="1" x14ac:dyDescent="0.3">
      <c r="Y147" s="12"/>
      <c r="Z147" s="12"/>
      <c r="AA147" s="12"/>
    </row>
    <row r="148" spans="25:27" ht="15.85" customHeight="1" x14ac:dyDescent="0.3">
      <c r="Y148" s="12"/>
      <c r="Z148" s="12"/>
      <c r="AA148" s="12"/>
    </row>
    <row r="149" spans="25:27" ht="15.85" customHeight="1" x14ac:dyDescent="0.3">
      <c r="Y149" s="12"/>
      <c r="Z149" s="12"/>
      <c r="AA149" s="12"/>
    </row>
    <row r="150" spans="25:27" ht="15.85" customHeight="1" x14ac:dyDescent="0.3">
      <c r="Y150" s="12"/>
      <c r="Z150" s="12"/>
      <c r="AA150" s="12"/>
    </row>
    <row r="151" spans="25:27" ht="15.85" customHeight="1" x14ac:dyDescent="0.3">
      <c r="Y151" s="12"/>
      <c r="Z151" s="12"/>
      <c r="AA151" s="12"/>
    </row>
    <row r="152" spans="25:27" ht="15.85" customHeight="1" x14ac:dyDescent="0.3">
      <c r="Y152" s="12"/>
      <c r="Z152" s="12"/>
      <c r="AA152" s="12"/>
    </row>
    <row r="153" spans="25:27" ht="15.85" customHeight="1" x14ac:dyDescent="0.3">
      <c r="Y153" s="12"/>
      <c r="Z153" s="12"/>
      <c r="AA153" s="12"/>
    </row>
    <row r="154" spans="25:27" ht="15.85" customHeight="1" x14ac:dyDescent="0.3">
      <c r="Y154" s="12"/>
      <c r="Z154" s="12"/>
      <c r="AA154" s="12"/>
    </row>
    <row r="155" spans="25:27" ht="15.85" customHeight="1" x14ac:dyDescent="0.3">
      <c r="Y155" s="12"/>
      <c r="Z155" s="12"/>
      <c r="AA155" s="12"/>
    </row>
    <row r="156" spans="25:27" ht="15.85" customHeight="1" x14ac:dyDescent="0.3">
      <c r="Y156" s="12"/>
      <c r="Z156" s="12"/>
      <c r="AA156" s="12"/>
    </row>
    <row r="157" spans="25:27" ht="15.85" customHeight="1" x14ac:dyDescent="0.3">
      <c r="Y157" s="12"/>
      <c r="Z157" s="12"/>
      <c r="AA157" s="12"/>
    </row>
    <row r="158" spans="25:27" ht="15.85" customHeight="1" x14ac:dyDescent="0.3">
      <c r="Y158" s="12"/>
      <c r="Z158" s="12"/>
      <c r="AA158" s="12"/>
    </row>
    <row r="159" spans="25:27" ht="15.85" customHeight="1" x14ac:dyDescent="0.3">
      <c r="Y159" s="12"/>
      <c r="Z159" s="12"/>
      <c r="AA159" s="12"/>
    </row>
    <row r="160" spans="25:27" ht="15.85" customHeight="1" x14ac:dyDescent="0.3">
      <c r="Y160" s="12"/>
      <c r="Z160" s="12"/>
      <c r="AA160" s="12"/>
    </row>
    <row r="161" spans="25:27" ht="15.85" customHeight="1" x14ac:dyDescent="0.3">
      <c r="Y161" s="12"/>
      <c r="Z161" s="12"/>
      <c r="AA161" s="12"/>
    </row>
    <row r="162" spans="25:27" ht="15.85" customHeight="1" x14ac:dyDescent="0.3">
      <c r="Y162" s="12"/>
      <c r="Z162" s="12"/>
      <c r="AA162" s="12"/>
    </row>
    <row r="163" spans="25:27" ht="15.85" customHeight="1" x14ac:dyDescent="0.3">
      <c r="Y163" s="12"/>
      <c r="Z163" s="12"/>
      <c r="AA163" s="12"/>
    </row>
    <row r="164" spans="25:27" ht="15.85" customHeight="1" x14ac:dyDescent="0.3">
      <c r="Y164" s="12"/>
      <c r="Z164" s="12"/>
      <c r="AA164" s="12"/>
    </row>
    <row r="165" spans="25:27" ht="15.85" customHeight="1" x14ac:dyDescent="0.3">
      <c r="Y165" s="12"/>
      <c r="Z165" s="12"/>
      <c r="AA165" s="12"/>
    </row>
    <row r="166" spans="25:27" ht="15.85" customHeight="1" x14ac:dyDescent="0.3">
      <c r="Y166" s="12"/>
      <c r="Z166" s="12"/>
      <c r="AA166" s="12"/>
    </row>
    <row r="167" spans="25:27" ht="15.85" customHeight="1" x14ac:dyDescent="0.3">
      <c r="Y167" s="12"/>
      <c r="Z167" s="12"/>
      <c r="AA167" s="12"/>
    </row>
    <row r="168" spans="25:27" ht="15.85" customHeight="1" x14ac:dyDescent="0.3">
      <c r="Y168" s="12"/>
      <c r="Z168" s="12"/>
      <c r="AA168" s="12"/>
    </row>
    <row r="169" spans="25:27" ht="15.85" customHeight="1" x14ac:dyDescent="0.3">
      <c r="Y169" s="12"/>
      <c r="Z169" s="12"/>
      <c r="AA169" s="12"/>
    </row>
    <row r="170" spans="25:27" ht="15.85" customHeight="1" x14ac:dyDescent="0.3">
      <c r="Y170" s="12"/>
      <c r="Z170" s="12"/>
      <c r="AA170" s="12"/>
    </row>
    <row r="171" spans="25:27" ht="15.85" customHeight="1" x14ac:dyDescent="0.3">
      <c r="Y171" s="12"/>
      <c r="Z171" s="12"/>
      <c r="AA171" s="12"/>
    </row>
    <row r="172" spans="25:27" ht="15.85" customHeight="1" x14ac:dyDescent="0.3">
      <c r="Y172" s="12"/>
      <c r="Z172" s="12"/>
      <c r="AA172" s="12"/>
    </row>
    <row r="173" spans="25:27" ht="15.85" customHeight="1" x14ac:dyDescent="0.3">
      <c r="Y173" s="12"/>
      <c r="Z173" s="12"/>
      <c r="AA173" s="12"/>
    </row>
    <row r="174" spans="25:27" ht="15.85" customHeight="1" x14ac:dyDescent="0.3">
      <c r="Y174" s="12"/>
      <c r="Z174" s="12"/>
      <c r="AA174" s="12"/>
    </row>
    <row r="175" spans="25:27" ht="15.85" customHeight="1" x14ac:dyDescent="0.3">
      <c r="Y175" s="12"/>
      <c r="Z175" s="12"/>
      <c r="AA175" s="12"/>
    </row>
    <row r="176" spans="25:27" ht="15.85" customHeight="1" x14ac:dyDescent="0.3">
      <c r="Y176" s="12"/>
      <c r="Z176" s="12"/>
      <c r="AA176" s="12"/>
    </row>
    <row r="177" spans="25:27" ht="15.85" customHeight="1" x14ac:dyDescent="0.3">
      <c r="Y177" s="12"/>
      <c r="Z177" s="12"/>
      <c r="AA177" s="12"/>
    </row>
    <row r="178" spans="25:27" ht="15.85" customHeight="1" x14ac:dyDescent="0.3">
      <c r="Y178" s="12"/>
      <c r="Z178" s="12"/>
      <c r="AA178" s="12"/>
    </row>
    <row r="179" spans="25:27" ht="15.85" customHeight="1" x14ac:dyDescent="0.3">
      <c r="Y179" s="12"/>
      <c r="Z179" s="12"/>
      <c r="AA179" s="12"/>
    </row>
    <row r="180" spans="25:27" ht="15.85" customHeight="1" x14ac:dyDescent="0.3">
      <c r="Y180" s="12"/>
      <c r="Z180" s="12"/>
      <c r="AA180" s="12"/>
    </row>
    <row r="181" spans="25:27" ht="15.85" customHeight="1" x14ac:dyDescent="0.3">
      <c r="Y181" s="12"/>
      <c r="Z181" s="12"/>
      <c r="AA181" s="12"/>
    </row>
    <row r="182" spans="25:27" ht="15.85" customHeight="1" x14ac:dyDescent="0.3">
      <c r="Y182" s="12"/>
      <c r="Z182" s="12"/>
      <c r="AA182" s="12"/>
    </row>
    <row r="183" spans="25:27" ht="15.85" customHeight="1" x14ac:dyDescent="0.3">
      <c r="Y183" s="12"/>
      <c r="Z183" s="12"/>
      <c r="AA183" s="12"/>
    </row>
    <row r="184" spans="25:27" ht="15.85" customHeight="1" x14ac:dyDescent="0.3">
      <c r="Y184" s="12"/>
      <c r="Z184" s="12"/>
      <c r="AA184" s="12"/>
    </row>
    <row r="185" spans="25:27" ht="15.85" customHeight="1" x14ac:dyDescent="0.3">
      <c r="Y185" s="12"/>
      <c r="Z185" s="12"/>
      <c r="AA185" s="12"/>
    </row>
    <row r="186" spans="25:27" ht="15.85" customHeight="1" x14ac:dyDescent="0.3">
      <c r="Y186" s="12"/>
      <c r="Z186" s="12"/>
      <c r="AA186" s="12"/>
    </row>
    <row r="187" spans="25:27" ht="15.85" customHeight="1" x14ac:dyDescent="0.3">
      <c r="Y187" s="12"/>
      <c r="Z187" s="12"/>
      <c r="AA187" s="12"/>
    </row>
    <row r="188" spans="25:27" ht="15.85" customHeight="1" x14ac:dyDescent="0.3">
      <c r="Y188" s="12"/>
      <c r="Z188" s="12"/>
      <c r="AA188" s="12"/>
    </row>
    <row r="189" spans="25:27" ht="15.85" customHeight="1" x14ac:dyDescent="0.3">
      <c r="Y189" s="12"/>
      <c r="Z189" s="12"/>
      <c r="AA189" s="12"/>
    </row>
    <row r="190" spans="25:27" ht="15.85" customHeight="1" x14ac:dyDescent="0.3">
      <c r="Y190" s="12"/>
      <c r="Z190" s="12"/>
      <c r="AA190" s="12"/>
    </row>
    <row r="191" spans="25:27" ht="15.85" customHeight="1" x14ac:dyDescent="0.3">
      <c r="Y191" s="12"/>
      <c r="Z191" s="12"/>
      <c r="AA191" s="12"/>
    </row>
    <row r="192" spans="25:27" ht="15.85" customHeight="1" x14ac:dyDescent="0.3">
      <c r="Y192" s="12"/>
      <c r="Z192" s="12"/>
      <c r="AA192" s="12"/>
    </row>
    <row r="193" spans="25:27" ht="15.85" customHeight="1" x14ac:dyDescent="0.3">
      <c r="Y193" s="12"/>
      <c r="Z193" s="12"/>
      <c r="AA193" s="12"/>
    </row>
    <row r="194" spans="25:27" ht="15.85" customHeight="1" x14ac:dyDescent="0.3">
      <c r="Y194" s="12"/>
      <c r="Z194" s="12"/>
      <c r="AA194" s="12"/>
    </row>
    <row r="195" spans="25:27" ht="15.85" customHeight="1" x14ac:dyDescent="0.3">
      <c r="Y195" s="12"/>
      <c r="Z195" s="12"/>
      <c r="AA195" s="12"/>
    </row>
    <row r="196" spans="25:27" ht="15.85" customHeight="1" x14ac:dyDescent="0.3">
      <c r="Y196" s="12"/>
      <c r="Z196" s="12"/>
      <c r="AA196" s="12"/>
    </row>
    <row r="197" spans="25:27" ht="15.85" customHeight="1" x14ac:dyDescent="0.3">
      <c r="Y197" s="12"/>
      <c r="Z197" s="12"/>
      <c r="AA197" s="12"/>
    </row>
    <row r="198" spans="25:27" ht="15.85" customHeight="1" x14ac:dyDescent="0.3">
      <c r="Y198" s="12"/>
      <c r="Z198" s="12"/>
      <c r="AA198" s="12"/>
    </row>
    <row r="199" spans="25:27" ht="15.85" customHeight="1" x14ac:dyDescent="0.3">
      <c r="Y199" s="12"/>
      <c r="Z199" s="12"/>
      <c r="AA199" s="12"/>
    </row>
    <row r="200" spans="25:27" ht="15.85" customHeight="1" x14ac:dyDescent="0.3">
      <c r="Y200" s="12"/>
      <c r="Z200" s="12"/>
      <c r="AA200" s="12"/>
    </row>
    <row r="201" spans="25:27" ht="15.85" customHeight="1" x14ac:dyDescent="0.3">
      <c r="Y201" s="12"/>
      <c r="Z201" s="12"/>
      <c r="AA201" s="12"/>
    </row>
    <row r="202" spans="25:27" ht="15.85" customHeight="1" x14ac:dyDescent="0.3">
      <c r="Y202" s="12"/>
      <c r="Z202" s="12"/>
      <c r="AA202" s="12"/>
    </row>
    <row r="203" spans="25:27" ht="15.85" customHeight="1" x14ac:dyDescent="0.3">
      <c r="Y203" s="12"/>
      <c r="Z203" s="12"/>
      <c r="AA203" s="12"/>
    </row>
    <row r="204" spans="25:27" ht="15.85" customHeight="1" x14ac:dyDescent="0.3">
      <c r="Y204" s="12"/>
      <c r="Z204" s="12"/>
      <c r="AA204" s="12"/>
    </row>
    <row r="205" spans="25:27" ht="15.85" customHeight="1" x14ac:dyDescent="0.3">
      <c r="Y205" s="12"/>
      <c r="Z205" s="12"/>
      <c r="AA205" s="12"/>
    </row>
    <row r="206" spans="25:27" ht="15.85" customHeight="1" x14ac:dyDescent="0.3">
      <c r="Y206" s="12"/>
      <c r="Z206" s="12"/>
      <c r="AA206" s="12"/>
    </row>
    <row r="207" spans="25:27" ht="15.85" customHeight="1" x14ac:dyDescent="0.3">
      <c r="Y207" s="12"/>
      <c r="Z207" s="12"/>
      <c r="AA207" s="12"/>
    </row>
    <row r="208" spans="25:27" ht="15.85" customHeight="1" x14ac:dyDescent="0.3">
      <c r="Y208" s="12"/>
      <c r="Z208" s="12"/>
      <c r="AA208" s="12"/>
    </row>
    <row r="209" spans="25:27" ht="15.85" customHeight="1" x14ac:dyDescent="0.3">
      <c r="Y209" s="12"/>
      <c r="Z209" s="12"/>
      <c r="AA209" s="12"/>
    </row>
    <row r="210" spans="25:27" ht="15.85" customHeight="1" x14ac:dyDescent="0.3">
      <c r="Y210" s="12"/>
      <c r="Z210" s="12"/>
      <c r="AA210" s="12"/>
    </row>
    <row r="211" spans="25:27" ht="15.85" customHeight="1" x14ac:dyDescent="0.3">
      <c r="Y211" s="12"/>
      <c r="Z211" s="12"/>
      <c r="AA211" s="12"/>
    </row>
    <row r="212" spans="25:27" ht="15.85" customHeight="1" x14ac:dyDescent="0.3">
      <c r="Y212" s="12"/>
      <c r="Z212" s="12"/>
      <c r="AA212" s="12"/>
    </row>
    <row r="213" spans="25:27" ht="15.85" customHeight="1" x14ac:dyDescent="0.3">
      <c r="Y213" s="12"/>
      <c r="Z213" s="12"/>
      <c r="AA213" s="12"/>
    </row>
    <row r="214" spans="25:27" ht="15.85" customHeight="1" x14ac:dyDescent="0.3">
      <c r="Y214" s="12"/>
      <c r="Z214" s="12"/>
      <c r="AA214" s="12"/>
    </row>
    <row r="215" spans="25:27" ht="15.85" customHeight="1" x14ac:dyDescent="0.3">
      <c r="Y215" s="12"/>
      <c r="Z215" s="12"/>
      <c r="AA215" s="12"/>
    </row>
    <row r="216" spans="25:27" ht="15.85" customHeight="1" x14ac:dyDescent="0.3">
      <c r="Y216" s="12"/>
      <c r="Z216" s="12"/>
      <c r="AA216" s="12"/>
    </row>
    <row r="217" spans="25:27" ht="15.85" customHeight="1" x14ac:dyDescent="0.3">
      <c r="Y217" s="12"/>
      <c r="Z217" s="12"/>
      <c r="AA217" s="12"/>
    </row>
    <row r="218" spans="25:27" ht="15.85" customHeight="1" x14ac:dyDescent="0.3">
      <c r="Y218" s="12"/>
      <c r="Z218" s="12"/>
      <c r="AA218" s="12"/>
    </row>
    <row r="219" spans="25:27" ht="15.85" customHeight="1" x14ac:dyDescent="0.3">
      <c r="Y219" s="12"/>
      <c r="Z219" s="12"/>
      <c r="AA219" s="12"/>
    </row>
    <row r="220" spans="25:27" ht="15.85" customHeight="1" x14ac:dyDescent="0.3">
      <c r="Y220" s="12"/>
      <c r="Z220" s="12"/>
      <c r="AA220" s="12"/>
    </row>
    <row r="221" spans="25:27" ht="15.85" customHeight="1" x14ac:dyDescent="0.3">
      <c r="Y221" s="12"/>
      <c r="Z221" s="12"/>
      <c r="AA221" s="12"/>
    </row>
    <row r="222" spans="25:27" ht="15.85" customHeight="1" x14ac:dyDescent="0.3">
      <c r="Y222" s="12"/>
      <c r="Z222" s="12"/>
      <c r="AA222" s="12"/>
    </row>
    <row r="223" spans="25:27" ht="15.85" customHeight="1" x14ac:dyDescent="0.3">
      <c r="Y223" s="12"/>
      <c r="Z223" s="12"/>
      <c r="AA223" s="12"/>
    </row>
    <row r="224" spans="25:27" ht="15.85" customHeight="1" x14ac:dyDescent="0.3">
      <c r="Y224" s="12"/>
      <c r="Z224" s="12"/>
      <c r="AA224" s="12"/>
    </row>
    <row r="225" spans="25:27" ht="15.85" customHeight="1" x14ac:dyDescent="0.3">
      <c r="Y225" s="12"/>
      <c r="Z225" s="12"/>
      <c r="AA225" s="12"/>
    </row>
    <row r="226" spans="25:27" ht="15.85" customHeight="1" x14ac:dyDescent="0.3">
      <c r="Y226" s="12"/>
      <c r="Z226" s="12"/>
      <c r="AA226" s="12"/>
    </row>
    <row r="227" spans="25:27" ht="15.85" customHeight="1" x14ac:dyDescent="0.3">
      <c r="Y227" s="12"/>
      <c r="Z227" s="12"/>
      <c r="AA227" s="12"/>
    </row>
    <row r="228" spans="25:27" ht="15.85" customHeight="1" x14ac:dyDescent="0.3">
      <c r="Y228" s="12"/>
      <c r="Z228" s="12"/>
      <c r="AA228" s="12"/>
    </row>
    <row r="229" spans="25:27" ht="15.85" customHeight="1" x14ac:dyDescent="0.3">
      <c r="Y229" s="12"/>
      <c r="Z229" s="12"/>
      <c r="AA229" s="12"/>
    </row>
    <row r="230" spans="25:27" ht="15.85" customHeight="1" x14ac:dyDescent="0.3">
      <c r="Y230" s="12"/>
      <c r="Z230" s="12"/>
      <c r="AA230" s="12"/>
    </row>
    <row r="231" spans="25:27" ht="15.85" customHeight="1" x14ac:dyDescent="0.3">
      <c r="Y231" s="12"/>
      <c r="Z231" s="12"/>
      <c r="AA231" s="12"/>
    </row>
    <row r="232" spans="25:27" ht="15.85" customHeight="1" x14ac:dyDescent="0.3">
      <c r="Y232" s="12"/>
      <c r="Z232" s="12"/>
      <c r="AA232" s="12"/>
    </row>
    <row r="233" spans="25:27" ht="15.85" customHeight="1" x14ac:dyDescent="0.3">
      <c r="Y233" s="12"/>
      <c r="Z233" s="12"/>
      <c r="AA233" s="12"/>
    </row>
    <row r="234" spans="25:27" ht="15.85" customHeight="1" x14ac:dyDescent="0.3">
      <c r="Y234" s="12"/>
      <c r="Z234" s="12"/>
      <c r="AA234" s="12"/>
    </row>
    <row r="235" spans="25:27" ht="15.85" customHeight="1" x14ac:dyDescent="0.3">
      <c r="Y235" s="12"/>
      <c r="Z235" s="12"/>
      <c r="AA235" s="12"/>
    </row>
    <row r="236" spans="25:27" ht="15.85" customHeight="1" x14ac:dyDescent="0.3">
      <c r="Y236" s="12"/>
      <c r="Z236" s="12"/>
      <c r="AA236" s="12"/>
    </row>
    <row r="237" spans="25:27" ht="15.85" customHeight="1" x14ac:dyDescent="0.3">
      <c r="Y237" s="12"/>
      <c r="Z237" s="12"/>
      <c r="AA237" s="12"/>
    </row>
    <row r="238" spans="25:27" ht="15.85" customHeight="1" x14ac:dyDescent="0.3">
      <c r="Y238" s="12"/>
      <c r="Z238" s="12"/>
      <c r="AA238" s="12"/>
    </row>
    <row r="239" spans="25:27" ht="15.85" customHeight="1" x14ac:dyDescent="0.3">
      <c r="Y239" s="12"/>
      <c r="Z239" s="12"/>
      <c r="AA239" s="12"/>
    </row>
    <row r="240" spans="25:27" ht="15.85" customHeight="1" x14ac:dyDescent="0.3">
      <c r="Y240" s="12"/>
      <c r="Z240" s="12"/>
      <c r="AA240" s="12"/>
    </row>
    <row r="241" spans="25:27" ht="15.85" customHeight="1" x14ac:dyDescent="0.3">
      <c r="Y241" s="12"/>
      <c r="Z241" s="12"/>
      <c r="AA241" s="12"/>
    </row>
    <row r="242" spans="25:27" ht="15.85" customHeight="1" x14ac:dyDescent="0.3">
      <c r="Y242" s="12"/>
      <c r="Z242" s="12"/>
      <c r="AA242" s="12"/>
    </row>
    <row r="243" spans="25:27" ht="15.85" customHeight="1" x14ac:dyDescent="0.3">
      <c r="Y243" s="12"/>
      <c r="Z243" s="12"/>
      <c r="AA243" s="12"/>
    </row>
    <row r="244" spans="25:27" ht="15.85" customHeight="1" x14ac:dyDescent="0.3">
      <c r="Y244" s="12"/>
      <c r="Z244" s="12"/>
      <c r="AA244" s="12"/>
    </row>
    <row r="245" spans="25:27" ht="15.85" customHeight="1" x14ac:dyDescent="0.3">
      <c r="Y245" s="12"/>
      <c r="Z245" s="12"/>
      <c r="AA245" s="12"/>
    </row>
    <row r="246" spans="25:27" ht="15.85" customHeight="1" x14ac:dyDescent="0.3">
      <c r="Y246" s="12"/>
      <c r="Z246" s="12"/>
      <c r="AA246" s="12"/>
    </row>
    <row r="247" spans="25:27" ht="15.85" customHeight="1" x14ac:dyDescent="0.3">
      <c r="Y247" s="12"/>
      <c r="Z247" s="12"/>
      <c r="AA247" s="12"/>
    </row>
    <row r="248" spans="25:27" ht="15.85" customHeight="1" x14ac:dyDescent="0.3">
      <c r="Y248" s="12"/>
      <c r="Z248" s="12"/>
      <c r="AA248" s="12"/>
    </row>
    <row r="249" spans="25:27" ht="15.85" customHeight="1" x14ac:dyDescent="0.3">
      <c r="Y249" s="12"/>
      <c r="Z249" s="12"/>
      <c r="AA249" s="12"/>
    </row>
    <row r="250" spans="25:27" ht="15.85" customHeight="1" x14ac:dyDescent="0.3">
      <c r="Y250" s="12"/>
      <c r="Z250" s="12"/>
      <c r="AA250" s="12"/>
    </row>
    <row r="251" spans="25:27" ht="15.85" customHeight="1" x14ac:dyDescent="0.3">
      <c r="Y251" s="12"/>
      <c r="Z251" s="12"/>
      <c r="AA251" s="12"/>
    </row>
    <row r="252" spans="25:27" ht="15.85" customHeight="1" x14ac:dyDescent="0.3">
      <c r="Y252" s="12"/>
      <c r="Z252" s="12"/>
      <c r="AA252" s="12"/>
    </row>
    <row r="253" spans="25:27" ht="15.85" customHeight="1" x14ac:dyDescent="0.3">
      <c r="Y253" s="12"/>
      <c r="Z253" s="12"/>
      <c r="AA253" s="12"/>
    </row>
    <row r="254" spans="25:27" ht="15.85" customHeight="1" x14ac:dyDescent="0.3">
      <c r="Y254" s="12"/>
      <c r="Z254" s="12"/>
      <c r="AA254" s="12"/>
    </row>
    <row r="255" spans="25:27" ht="15.85" customHeight="1" x14ac:dyDescent="0.3">
      <c r="Y255" s="12"/>
      <c r="Z255" s="12"/>
      <c r="AA255" s="12"/>
    </row>
    <row r="256" spans="25:27" ht="15.85" customHeight="1" x14ac:dyDescent="0.3">
      <c r="Y256" s="12"/>
      <c r="Z256" s="12"/>
      <c r="AA256" s="12"/>
    </row>
    <row r="257" spans="25:27" ht="15.85" customHeight="1" x14ac:dyDescent="0.3">
      <c r="Y257" s="12"/>
      <c r="Z257" s="12"/>
      <c r="AA257" s="12"/>
    </row>
    <row r="258" spans="25:27" ht="15.85" customHeight="1" x14ac:dyDescent="0.3">
      <c r="Y258" s="12"/>
      <c r="Z258" s="12"/>
      <c r="AA258" s="12"/>
    </row>
    <row r="259" spans="25:27" ht="15.85" customHeight="1" x14ac:dyDescent="0.3">
      <c r="Y259" s="12"/>
      <c r="Z259" s="12"/>
      <c r="AA259" s="12"/>
    </row>
    <row r="260" spans="25:27" ht="15.85" customHeight="1" x14ac:dyDescent="0.3">
      <c r="Y260" s="12"/>
      <c r="Z260" s="12"/>
      <c r="AA260" s="12"/>
    </row>
    <row r="261" spans="25:27" ht="15.85" customHeight="1" x14ac:dyDescent="0.3">
      <c r="Y261" s="12"/>
      <c r="Z261" s="12"/>
      <c r="AA261" s="12"/>
    </row>
    <row r="262" spans="25:27" ht="15.85" customHeight="1" x14ac:dyDescent="0.3">
      <c r="Y262" s="12"/>
      <c r="Z262" s="12"/>
      <c r="AA262" s="12"/>
    </row>
    <row r="263" spans="25:27" ht="15.85" customHeight="1" x14ac:dyDescent="0.3">
      <c r="Y263" s="12"/>
      <c r="Z263" s="12"/>
      <c r="AA263" s="12"/>
    </row>
    <row r="264" spans="25:27" ht="15.85" customHeight="1" x14ac:dyDescent="0.3">
      <c r="Y264" s="12"/>
      <c r="Z264" s="12"/>
      <c r="AA264" s="12"/>
    </row>
    <row r="265" spans="25:27" ht="15.85" customHeight="1" x14ac:dyDescent="0.3">
      <c r="Y265" s="12"/>
      <c r="Z265" s="12"/>
      <c r="AA265" s="12"/>
    </row>
    <row r="266" spans="25:27" ht="15.85" customHeight="1" x14ac:dyDescent="0.3">
      <c r="Y266" s="12"/>
      <c r="Z266" s="12"/>
      <c r="AA266" s="12"/>
    </row>
    <row r="267" spans="25:27" ht="15.85" customHeight="1" x14ac:dyDescent="0.3">
      <c r="Y267" s="12"/>
      <c r="Z267" s="12"/>
      <c r="AA267" s="12"/>
    </row>
    <row r="268" spans="25:27" ht="15.85" customHeight="1" x14ac:dyDescent="0.3">
      <c r="Y268" s="12"/>
      <c r="Z268" s="12"/>
      <c r="AA268" s="12"/>
    </row>
    <row r="269" spans="25:27" ht="15.85" customHeight="1" x14ac:dyDescent="0.3">
      <c r="Y269" s="12"/>
      <c r="Z269" s="12"/>
      <c r="AA269" s="12"/>
    </row>
    <row r="270" spans="25:27" ht="15.85" customHeight="1" x14ac:dyDescent="0.3">
      <c r="Y270" s="12"/>
      <c r="Z270" s="12"/>
      <c r="AA270" s="12"/>
    </row>
    <row r="271" spans="25:27" ht="15.85" customHeight="1" x14ac:dyDescent="0.3">
      <c r="Y271" s="12"/>
      <c r="Z271" s="12"/>
      <c r="AA271" s="12"/>
    </row>
    <row r="272" spans="25:27" ht="15.85" customHeight="1" x14ac:dyDescent="0.3">
      <c r="Y272" s="12"/>
      <c r="Z272" s="12"/>
      <c r="AA272" s="12"/>
    </row>
    <row r="273" spans="25:27" ht="15.85" customHeight="1" x14ac:dyDescent="0.3">
      <c r="Y273" s="12"/>
      <c r="Z273" s="12"/>
      <c r="AA273" s="12"/>
    </row>
    <row r="274" spans="25:27" ht="15.85" customHeight="1" x14ac:dyDescent="0.3">
      <c r="Y274" s="12"/>
      <c r="Z274" s="12"/>
      <c r="AA274" s="12"/>
    </row>
    <row r="275" spans="25:27" ht="15.85" customHeight="1" x14ac:dyDescent="0.3">
      <c r="Y275" s="12"/>
      <c r="Z275" s="12"/>
      <c r="AA275" s="12"/>
    </row>
    <row r="276" spans="25:27" ht="15.85" customHeight="1" x14ac:dyDescent="0.3">
      <c r="Y276" s="12"/>
      <c r="Z276" s="12"/>
      <c r="AA276" s="12"/>
    </row>
    <row r="277" spans="25:27" ht="15.85" customHeight="1" x14ac:dyDescent="0.3">
      <c r="Y277" s="12"/>
      <c r="Z277" s="12"/>
      <c r="AA277" s="12"/>
    </row>
    <row r="278" spans="25:27" ht="15.85" customHeight="1" x14ac:dyDescent="0.3">
      <c r="Y278" s="12"/>
      <c r="Z278" s="12"/>
      <c r="AA278" s="12"/>
    </row>
    <row r="279" spans="25:27" ht="15.85" customHeight="1" x14ac:dyDescent="0.3">
      <c r="Y279" s="12"/>
      <c r="Z279" s="12"/>
      <c r="AA279" s="12"/>
    </row>
    <row r="280" spans="25:27" ht="15.85" customHeight="1" x14ac:dyDescent="0.3">
      <c r="Y280" s="12"/>
      <c r="Z280" s="12"/>
      <c r="AA280" s="12"/>
    </row>
    <row r="281" spans="25:27" ht="15.85" customHeight="1" x14ac:dyDescent="0.3"/>
    <row r="282" spans="25:27" ht="15.85" customHeight="1" x14ac:dyDescent="0.3"/>
    <row r="283" spans="25:27" ht="15.85" customHeight="1" x14ac:dyDescent="0.3"/>
    <row r="284" spans="25:27" ht="15.85" customHeight="1" x14ac:dyDescent="0.3"/>
    <row r="285" spans="25:27" ht="15.85" customHeight="1" x14ac:dyDescent="0.3"/>
    <row r="286" spans="25:27" ht="15.85" customHeight="1" x14ac:dyDescent="0.3"/>
    <row r="287" spans="25:27" ht="15.85" customHeight="1" x14ac:dyDescent="0.3"/>
    <row r="288" spans="25:27" ht="15.85" customHeight="1" x14ac:dyDescent="0.3"/>
    <row r="289" ht="15.85" customHeight="1" x14ac:dyDescent="0.3"/>
    <row r="290" ht="15.85" customHeight="1" x14ac:dyDescent="0.3"/>
    <row r="291" ht="15.85" customHeight="1" x14ac:dyDescent="0.3"/>
    <row r="292" ht="15.85" customHeight="1" x14ac:dyDescent="0.3"/>
    <row r="293" ht="15.85" customHeight="1" x14ac:dyDescent="0.3"/>
    <row r="294" ht="15.85" customHeight="1" x14ac:dyDescent="0.3"/>
    <row r="295" ht="15.85" customHeight="1" x14ac:dyDescent="0.3"/>
    <row r="296" ht="15.85" customHeight="1" x14ac:dyDescent="0.3"/>
    <row r="297" ht="15.85" customHeight="1" x14ac:dyDescent="0.3"/>
    <row r="298" ht="15.85" customHeight="1" x14ac:dyDescent="0.3"/>
    <row r="299" ht="15.85" customHeight="1" x14ac:dyDescent="0.3"/>
    <row r="300" ht="15.85" customHeight="1" x14ac:dyDescent="0.3"/>
    <row r="301" ht="15.85" customHeight="1" x14ac:dyDescent="0.3"/>
    <row r="302" ht="15.85" customHeight="1" x14ac:dyDescent="0.3"/>
    <row r="303" ht="15.85" customHeight="1" x14ac:dyDescent="0.3"/>
    <row r="304" ht="15.85" customHeight="1" x14ac:dyDescent="0.3"/>
    <row r="305" ht="15.85" customHeight="1" x14ac:dyDescent="0.3"/>
    <row r="306" ht="15.85" customHeight="1" x14ac:dyDescent="0.3"/>
    <row r="307" ht="15.85" customHeight="1" x14ac:dyDescent="0.3"/>
    <row r="308" ht="15.85" customHeight="1" x14ac:dyDescent="0.3"/>
    <row r="309" ht="15.85" customHeight="1" x14ac:dyDescent="0.3"/>
    <row r="310" ht="15.85" customHeight="1" x14ac:dyDescent="0.3"/>
    <row r="311" ht="15.85" customHeight="1" x14ac:dyDescent="0.3"/>
    <row r="312" ht="15.85" customHeight="1" x14ac:dyDescent="0.3"/>
    <row r="313" ht="15.85" customHeight="1" x14ac:dyDescent="0.3"/>
    <row r="314" ht="15.85" customHeight="1" x14ac:dyDescent="0.3"/>
    <row r="315" ht="15.85" customHeight="1" x14ac:dyDescent="0.3"/>
    <row r="316" ht="15.85" customHeight="1" x14ac:dyDescent="0.3"/>
    <row r="317" ht="15.85" customHeight="1" x14ac:dyDescent="0.3"/>
    <row r="318" ht="15.85" customHeight="1" x14ac:dyDescent="0.3"/>
    <row r="319" ht="15.85" customHeight="1" x14ac:dyDescent="0.3"/>
    <row r="320" ht="15.85" customHeight="1" x14ac:dyDescent="0.3"/>
    <row r="321" ht="15.85" customHeight="1" x14ac:dyDescent="0.3"/>
    <row r="322" ht="15.85" customHeight="1" x14ac:dyDescent="0.3"/>
    <row r="323" ht="15.85" customHeight="1" x14ac:dyDescent="0.3"/>
    <row r="324" ht="15.85" customHeight="1" x14ac:dyDescent="0.3"/>
    <row r="325" ht="15.85" customHeight="1" x14ac:dyDescent="0.3"/>
    <row r="326" ht="15.85" customHeight="1" x14ac:dyDescent="0.3"/>
    <row r="327" ht="15.85" customHeight="1" x14ac:dyDescent="0.3"/>
    <row r="328" ht="15.85" customHeight="1" x14ac:dyDescent="0.3"/>
    <row r="329" ht="15.85" customHeight="1" x14ac:dyDescent="0.3"/>
    <row r="330" ht="15.85" customHeight="1" x14ac:dyDescent="0.3"/>
    <row r="331" ht="15.85" customHeight="1" x14ac:dyDescent="0.3"/>
    <row r="332" ht="15.85" customHeight="1" x14ac:dyDescent="0.3"/>
    <row r="333" ht="15.85" customHeight="1" x14ac:dyDescent="0.3"/>
    <row r="334" ht="15.85" customHeight="1" x14ac:dyDescent="0.3"/>
    <row r="335" ht="15.85" customHeight="1" x14ac:dyDescent="0.3"/>
    <row r="336" ht="15.85" customHeight="1" x14ac:dyDescent="0.3"/>
    <row r="337" ht="15.85" customHeight="1" x14ac:dyDescent="0.3"/>
    <row r="338" ht="15.85" customHeight="1" x14ac:dyDescent="0.3"/>
    <row r="339" ht="15.85" customHeight="1" x14ac:dyDescent="0.3"/>
    <row r="340" ht="15.85" customHeight="1" x14ac:dyDescent="0.3"/>
    <row r="341" ht="15.85" customHeight="1" x14ac:dyDescent="0.3"/>
    <row r="342" ht="15.85" customHeight="1" x14ac:dyDescent="0.3"/>
    <row r="343" ht="15.85" customHeight="1" x14ac:dyDescent="0.3"/>
    <row r="344" ht="15.85" customHeight="1" x14ac:dyDescent="0.3"/>
    <row r="345" ht="15.85" customHeight="1" x14ac:dyDescent="0.3"/>
    <row r="346" ht="15.85" customHeight="1" x14ac:dyDescent="0.3"/>
    <row r="347" ht="15.85" customHeight="1" x14ac:dyDescent="0.3"/>
    <row r="348" ht="15.85" customHeight="1" x14ac:dyDescent="0.3"/>
    <row r="349" ht="15.85" customHeight="1" x14ac:dyDescent="0.3"/>
    <row r="350" ht="15.85" customHeight="1" x14ac:dyDescent="0.3"/>
    <row r="351" ht="15.85" customHeight="1" x14ac:dyDescent="0.3"/>
    <row r="352" ht="15.85" customHeight="1" x14ac:dyDescent="0.3"/>
    <row r="353" ht="15.85" customHeight="1" x14ac:dyDescent="0.3"/>
    <row r="354" ht="15.85" customHeight="1" x14ac:dyDescent="0.3"/>
    <row r="355" ht="15.85" customHeight="1" x14ac:dyDescent="0.3"/>
    <row r="356" ht="15.85" customHeight="1" x14ac:dyDescent="0.3"/>
    <row r="357" ht="15.85" customHeight="1" x14ac:dyDescent="0.3"/>
    <row r="358" ht="15.85" customHeight="1" x14ac:dyDescent="0.3"/>
    <row r="359" ht="15.85" customHeight="1" x14ac:dyDescent="0.3"/>
    <row r="360" ht="15.85" customHeight="1" x14ac:dyDescent="0.3"/>
    <row r="361" ht="15.85" customHeight="1" x14ac:dyDescent="0.3"/>
    <row r="362" ht="15.85" customHeight="1" x14ac:dyDescent="0.3"/>
    <row r="363" ht="15.85" customHeight="1" x14ac:dyDescent="0.3"/>
    <row r="364" ht="15.85" customHeight="1" x14ac:dyDescent="0.3"/>
    <row r="365" ht="15.85" customHeight="1" x14ac:dyDescent="0.3"/>
    <row r="366" ht="15.85" customHeight="1" x14ac:dyDescent="0.3"/>
    <row r="367" ht="15.85" customHeight="1" x14ac:dyDescent="0.3"/>
    <row r="368" ht="15.85" customHeight="1" x14ac:dyDescent="0.3"/>
    <row r="369" ht="15.85" customHeight="1" x14ac:dyDescent="0.3"/>
    <row r="370" ht="15.85" customHeight="1" x14ac:dyDescent="0.3"/>
    <row r="371" ht="15.85" customHeight="1" x14ac:dyDescent="0.3"/>
    <row r="372" ht="15.85" customHeight="1" x14ac:dyDescent="0.3"/>
    <row r="373" ht="15.85" customHeight="1" x14ac:dyDescent="0.3"/>
    <row r="374" ht="15.85" customHeight="1" x14ac:dyDescent="0.3"/>
    <row r="375" ht="15.85" customHeight="1" x14ac:dyDescent="0.3"/>
    <row r="376" ht="15.85" customHeight="1" x14ac:dyDescent="0.3"/>
    <row r="377" ht="15.85" customHeight="1" x14ac:dyDescent="0.3"/>
    <row r="378" ht="15.85" customHeight="1" x14ac:dyDescent="0.3"/>
    <row r="379" ht="15.85" customHeight="1" x14ac:dyDescent="0.3"/>
    <row r="380" ht="15.85" customHeight="1" x14ac:dyDescent="0.3"/>
    <row r="381" ht="15.85" customHeight="1" x14ac:dyDescent="0.3"/>
    <row r="382" ht="15.85" customHeight="1" x14ac:dyDescent="0.3"/>
    <row r="383" ht="15.85" customHeight="1" x14ac:dyDescent="0.3"/>
    <row r="384" ht="15.85" customHeight="1" x14ac:dyDescent="0.3"/>
    <row r="385" ht="15.85" customHeight="1" x14ac:dyDescent="0.3"/>
    <row r="386" ht="15.85" customHeight="1" x14ac:dyDescent="0.3"/>
    <row r="387" ht="15.85" customHeight="1" x14ac:dyDescent="0.3"/>
    <row r="388" ht="15.85" customHeight="1" x14ac:dyDescent="0.3"/>
    <row r="389" ht="15.85" customHeight="1" x14ac:dyDescent="0.3"/>
    <row r="390" ht="15.85" customHeight="1" x14ac:dyDescent="0.3"/>
    <row r="391" ht="15.85" customHeight="1" x14ac:dyDescent="0.3"/>
    <row r="392" ht="15.85" customHeight="1" x14ac:dyDescent="0.3"/>
    <row r="393" ht="15.85" customHeight="1" x14ac:dyDescent="0.3"/>
    <row r="394" ht="15.85" customHeight="1" x14ac:dyDescent="0.3"/>
    <row r="395" ht="15.85" customHeight="1" x14ac:dyDescent="0.3"/>
    <row r="396" ht="15.85" customHeight="1" x14ac:dyDescent="0.3"/>
    <row r="397" ht="15.85" customHeight="1" x14ac:dyDescent="0.3"/>
    <row r="398" ht="15.85" customHeight="1" x14ac:dyDescent="0.3"/>
    <row r="399" ht="15.85" customHeight="1" x14ac:dyDescent="0.3"/>
    <row r="400" ht="15.85" customHeight="1" x14ac:dyDescent="0.3"/>
    <row r="401" ht="15.85" customHeight="1" x14ac:dyDescent="0.3"/>
    <row r="402" ht="15.85" customHeight="1" x14ac:dyDescent="0.3"/>
    <row r="403" ht="15.85" customHeight="1" x14ac:dyDescent="0.3"/>
    <row r="404" ht="15.85" customHeight="1" x14ac:dyDescent="0.3"/>
    <row r="405" ht="15.85" customHeight="1" x14ac:dyDescent="0.3"/>
    <row r="406" ht="15.85" customHeight="1" x14ac:dyDescent="0.3"/>
    <row r="407" ht="15.85" customHeight="1" x14ac:dyDescent="0.3"/>
    <row r="408" ht="15.85" customHeight="1" x14ac:dyDescent="0.3"/>
    <row r="409" ht="15.85" customHeight="1" x14ac:dyDescent="0.3"/>
    <row r="410" ht="15.85" customHeight="1" x14ac:dyDescent="0.3"/>
    <row r="411" ht="15.85" customHeight="1" x14ac:dyDescent="0.3"/>
    <row r="412" ht="15.85" customHeight="1" x14ac:dyDescent="0.3"/>
    <row r="413" ht="15.85" customHeight="1" x14ac:dyDescent="0.3"/>
    <row r="414" ht="15.85" customHeight="1" x14ac:dyDescent="0.3"/>
    <row r="415" ht="15.85" customHeight="1" x14ac:dyDescent="0.3"/>
    <row r="416" ht="15.85" customHeight="1" x14ac:dyDescent="0.3"/>
    <row r="417" ht="15.85" customHeight="1" x14ac:dyDescent="0.3"/>
    <row r="418" ht="15.85" customHeight="1" x14ac:dyDescent="0.3"/>
    <row r="419" ht="15.85" customHeight="1" x14ac:dyDescent="0.3"/>
    <row r="420" ht="15.85" customHeight="1" x14ac:dyDescent="0.3"/>
    <row r="421" ht="15.85" customHeight="1" x14ac:dyDescent="0.3"/>
    <row r="422" ht="15.85" customHeight="1" x14ac:dyDescent="0.3"/>
    <row r="423" ht="15.85" customHeight="1" x14ac:dyDescent="0.3"/>
    <row r="424" ht="15.85" customHeight="1" x14ac:dyDescent="0.3"/>
    <row r="425" ht="15.85" customHeight="1" x14ac:dyDescent="0.3"/>
    <row r="426" ht="15.85" customHeight="1" x14ac:dyDescent="0.3"/>
    <row r="427" ht="15.85" customHeight="1" x14ac:dyDescent="0.3"/>
    <row r="428" ht="15.85" customHeight="1" x14ac:dyDescent="0.3"/>
    <row r="429" ht="15.85" customHeight="1" x14ac:dyDescent="0.3"/>
    <row r="430" ht="15.85" customHeight="1" x14ac:dyDescent="0.3"/>
    <row r="431" ht="15.85" customHeight="1" x14ac:dyDescent="0.3"/>
    <row r="432" ht="15.85" customHeight="1" x14ac:dyDescent="0.3"/>
    <row r="433" ht="15.85" customHeight="1" x14ac:dyDescent="0.3"/>
    <row r="434" ht="15.85" customHeight="1" x14ac:dyDescent="0.3"/>
    <row r="435" ht="15.85" customHeight="1" x14ac:dyDescent="0.3"/>
    <row r="436" ht="15.85" customHeight="1" x14ac:dyDescent="0.3"/>
    <row r="437" ht="15.85" customHeight="1" x14ac:dyDescent="0.3"/>
    <row r="438" ht="15.85" customHeight="1" x14ac:dyDescent="0.3"/>
    <row r="439" ht="15.85" customHeight="1" x14ac:dyDescent="0.3"/>
    <row r="440" ht="15.85" customHeight="1" x14ac:dyDescent="0.3"/>
    <row r="441" ht="15.85" customHeight="1" x14ac:dyDescent="0.3"/>
    <row r="442" ht="15.85" customHeight="1" x14ac:dyDescent="0.3"/>
    <row r="443" ht="15.85" customHeight="1" x14ac:dyDescent="0.3"/>
    <row r="444" ht="15.85" customHeight="1" x14ac:dyDescent="0.3"/>
    <row r="445" ht="15.85" customHeight="1" x14ac:dyDescent="0.3"/>
    <row r="446" ht="15.85" customHeight="1" x14ac:dyDescent="0.3"/>
    <row r="447" ht="15.85" customHeight="1" x14ac:dyDescent="0.3"/>
    <row r="448" ht="15.85" customHeight="1" x14ac:dyDescent="0.3"/>
    <row r="449" ht="15.85" customHeight="1" x14ac:dyDescent="0.3"/>
    <row r="450" ht="15.85" customHeight="1" x14ac:dyDescent="0.3"/>
    <row r="451" ht="15.85" customHeight="1" x14ac:dyDescent="0.3"/>
    <row r="452" ht="15.85" customHeight="1" x14ac:dyDescent="0.3"/>
    <row r="453" ht="15.85" customHeight="1" x14ac:dyDescent="0.3"/>
    <row r="454" ht="15.85" customHeight="1" x14ac:dyDescent="0.3"/>
    <row r="455" ht="15.85" customHeight="1" x14ac:dyDescent="0.3"/>
    <row r="456" ht="15.85" customHeight="1" x14ac:dyDescent="0.3"/>
    <row r="457" ht="15.85" customHeight="1" x14ac:dyDescent="0.3"/>
    <row r="458" ht="15.85" customHeight="1" x14ac:dyDescent="0.3"/>
    <row r="459" ht="15.85" customHeight="1" x14ac:dyDescent="0.3"/>
    <row r="460" ht="15.85" customHeight="1" x14ac:dyDescent="0.3"/>
    <row r="461" ht="15.85" customHeight="1" x14ac:dyDescent="0.3"/>
    <row r="462" ht="15.85" customHeight="1" x14ac:dyDescent="0.3"/>
    <row r="463" ht="15.85" customHeight="1" x14ac:dyDescent="0.3"/>
    <row r="464" ht="15.85" customHeight="1" x14ac:dyDescent="0.3"/>
    <row r="465" ht="15.85" customHeight="1" x14ac:dyDescent="0.3"/>
    <row r="466" ht="15.85" customHeight="1" x14ac:dyDescent="0.3"/>
    <row r="467" ht="15.85" customHeight="1" x14ac:dyDescent="0.3"/>
    <row r="468" ht="15.85" customHeight="1" x14ac:dyDescent="0.3"/>
    <row r="469" ht="15.85" customHeight="1" x14ac:dyDescent="0.3"/>
    <row r="470" ht="15.85" customHeight="1" x14ac:dyDescent="0.3"/>
    <row r="471" ht="15.85" customHeight="1" x14ac:dyDescent="0.3"/>
    <row r="472" ht="15.85" customHeight="1" x14ac:dyDescent="0.3"/>
    <row r="473" ht="15.85" customHeight="1" x14ac:dyDescent="0.3"/>
    <row r="474" ht="15.85" customHeight="1" x14ac:dyDescent="0.3"/>
    <row r="475" ht="15.85" customHeight="1" x14ac:dyDescent="0.3"/>
    <row r="476" ht="15.85" customHeight="1" x14ac:dyDescent="0.3"/>
    <row r="477" ht="15.85" customHeight="1" x14ac:dyDescent="0.3"/>
    <row r="478" ht="15.85" customHeight="1" x14ac:dyDescent="0.3"/>
    <row r="479" ht="15.85" customHeight="1" x14ac:dyDescent="0.3"/>
    <row r="480" ht="15.85" customHeight="1" x14ac:dyDescent="0.3"/>
    <row r="481" ht="15.85" customHeight="1" x14ac:dyDescent="0.3"/>
    <row r="482" ht="15.85" customHeight="1" x14ac:dyDescent="0.3"/>
    <row r="483" ht="15.85" customHeight="1" x14ac:dyDescent="0.3"/>
    <row r="484" ht="15.85" customHeight="1" x14ac:dyDescent="0.3"/>
    <row r="485" ht="15.85" customHeight="1" x14ac:dyDescent="0.3"/>
    <row r="486" ht="15.85" customHeight="1" x14ac:dyDescent="0.3"/>
    <row r="487" ht="15.85" customHeight="1" x14ac:dyDescent="0.3"/>
    <row r="488" ht="15.85" customHeight="1" x14ac:dyDescent="0.3"/>
    <row r="489" ht="15.85" customHeight="1" x14ac:dyDescent="0.3"/>
    <row r="490" ht="15.85" customHeight="1" x14ac:dyDescent="0.3"/>
    <row r="491" ht="15.85" customHeight="1" x14ac:dyDescent="0.3"/>
    <row r="492" ht="15.85" customHeight="1" x14ac:dyDescent="0.3"/>
    <row r="493" ht="15.85" customHeight="1" x14ac:dyDescent="0.3"/>
    <row r="494" ht="15.85" customHeight="1" x14ac:dyDescent="0.3"/>
    <row r="495" ht="15.85" customHeight="1" x14ac:dyDescent="0.3"/>
    <row r="496" ht="15.85" customHeight="1" x14ac:dyDescent="0.3"/>
    <row r="497" ht="15.85" customHeight="1" x14ac:dyDescent="0.3"/>
    <row r="498" ht="15.85" customHeight="1" x14ac:dyDescent="0.3"/>
    <row r="499" ht="15.85" customHeight="1" x14ac:dyDescent="0.3"/>
    <row r="500" ht="15.85" customHeight="1" x14ac:dyDescent="0.3"/>
    <row r="501" ht="15.85" customHeight="1" x14ac:dyDescent="0.3"/>
    <row r="502" ht="15.85" customHeight="1" x14ac:dyDescent="0.3"/>
    <row r="503" ht="15.85" customHeight="1" x14ac:dyDescent="0.3"/>
    <row r="504" ht="15.85" customHeight="1" x14ac:dyDescent="0.3"/>
    <row r="505" ht="15.85" customHeight="1" x14ac:dyDescent="0.3"/>
    <row r="506" ht="15.85" customHeight="1" x14ac:dyDescent="0.3"/>
    <row r="507" ht="15.85" customHeight="1" x14ac:dyDescent="0.3"/>
    <row r="508" ht="15.85" customHeight="1" x14ac:dyDescent="0.3"/>
    <row r="509" ht="15.85" customHeight="1" x14ac:dyDescent="0.3"/>
    <row r="510" ht="15.85" customHeight="1" x14ac:dyDescent="0.3"/>
    <row r="511" ht="15.85" customHeight="1" x14ac:dyDescent="0.3"/>
    <row r="512" ht="15.85" customHeight="1" x14ac:dyDescent="0.3"/>
    <row r="513" ht="15.85" customHeight="1" x14ac:dyDescent="0.3"/>
    <row r="514" ht="15.85" customHeight="1" x14ac:dyDescent="0.3"/>
    <row r="515" ht="15.85" customHeight="1" x14ac:dyDescent="0.3"/>
    <row r="516" ht="15.85" customHeight="1" x14ac:dyDescent="0.3"/>
    <row r="517" ht="15.85" customHeight="1" x14ac:dyDescent="0.3"/>
    <row r="518" ht="15.85" customHeight="1" x14ac:dyDescent="0.3"/>
    <row r="519" ht="15.85" customHeight="1" x14ac:dyDescent="0.3"/>
    <row r="520" ht="15.85" customHeight="1" x14ac:dyDescent="0.3"/>
    <row r="521" ht="15.85" customHeight="1" x14ac:dyDescent="0.3"/>
    <row r="522" ht="15.85" customHeight="1" x14ac:dyDescent="0.3"/>
    <row r="523" ht="15.85" customHeight="1" x14ac:dyDescent="0.3"/>
    <row r="524" ht="15.85" customHeight="1" x14ac:dyDescent="0.3"/>
    <row r="525" ht="15.85" customHeight="1" x14ac:dyDescent="0.3"/>
    <row r="526" ht="15.85" customHeight="1" x14ac:dyDescent="0.3"/>
    <row r="527" ht="15.85" customHeight="1" x14ac:dyDescent="0.3"/>
    <row r="528" ht="15.85" customHeight="1" x14ac:dyDescent="0.3"/>
    <row r="529" ht="15.85" customHeight="1" x14ac:dyDescent="0.3"/>
    <row r="530" ht="15.85" customHeight="1" x14ac:dyDescent="0.3"/>
    <row r="531" ht="15.85" customHeight="1" x14ac:dyDescent="0.3"/>
    <row r="532" ht="15.85" customHeight="1" x14ac:dyDescent="0.3"/>
    <row r="533" ht="15.85" customHeight="1" x14ac:dyDescent="0.3"/>
    <row r="534" ht="15.85" customHeight="1" x14ac:dyDescent="0.3"/>
    <row r="535" ht="15.85" customHeight="1" x14ac:dyDescent="0.3"/>
    <row r="536" ht="15.85" customHeight="1" x14ac:dyDescent="0.3"/>
    <row r="537" ht="15.85" customHeight="1" x14ac:dyDescent="0.3"/>
    <row r="538" ht="15.85" customHeight="1" x14ac:dyDescent="0.3"/>
    <row r="539" ht="15.85" customHeight="1" x14ac:dyDescent="0.3"/>
    <row r="540" ht="15.85" customHeight="1" x14ac:dyDescent="0.3"/>
    <row r="541" ht="15.85" customHeight="1" x14ac:dyDescent="0.3"/>
    <row r="542" ht="15.85" customHeight="1" x14ac:dyDescent="0.3"/>
    <row r="543" ht="15.85" customHeight="1" x14ac:dyDescent="0.3"/>
    <row r="544" ht="15.85" customHeight="1" x14ac:dyDescent="0.3"/>
    <row r="545" ht="15.85" customHeight="1" x14ac:dyDescent="0.3"/>
    <row r="546" ht="15.85" customHeight="1" x14ac:dyDescent="0.3"/>
    <row r="547" ht="15.85" customHeight="1" x14ac:dyDescent="0.3"/>
    <row r="548" ht="15.85" customHeight="1" x14ac:dyDescent="0.3"/>
    <row r="549" ht="15.85" customHeight="1" x14ac:dyDescent="0.3"/>
    <row r="550" ht="15.85" customHeight="1" x14ac:dyDescent="0.3"/>
    <row r="551" ht="15.85" customHeight="1" x14ac:dyDescent="0.3"/>
    <row r="552" ht="15.85" customHeight="1" x14ac:dyDescent="0.3"/>
    <row r="553" ht="15.85" customHeight="1" x14ac:dyDescent="0.3"/>
    <row r="554" ht="15.85" customHeight="1" x14ac:dyDescent="0.3"/>
    <row r="555" ht="15.85" customHeight="1" x14ac:dyDescent="0.3"/>
    <row r="556" ht="15.85" customHeight="1" x14ac:dyDescent="0.3"/>
    <row r="557" ht="15.85" customHeight="1" x14ac:dyDescent="0.3"/>
    <row r="558" ht="15.85" customHeight="1" x14ac:dyDescent="0.3"/>
    <row r="559" ht="15.85" customHeight="1" x14ac:dyDescent="0.3"/>
    <row r="560" ht="15.85" customHeight="1" x14ac:dyDescent="0.3"/>
    <row r="561" ht="15.85" customHeight="1" x14ac:dyDescent="0.3"/>
    <row r="562" ht="15.85" customHeight="1" x14ac:dyDescent="0.3"/>
    <row r="563" ht="15.85" customHeight="1" x14ac:dyDescent="0.3"/>
    <row r="564" ht="15.85" customHeight="1" x14ac:dyDescent="0.3"/>
    <row r="565" ht="15.85" customHeight="1" x14ac:dyDescent="0.3"/>
    <row r="566" ht="15.85" customHeight="1" x14ac:dyDescent="0.3"/>
    <row r="567" ht="15.85" customHeight="1" x14ac:dyDescent="0.3"/>
    <row r="568" ht="15.85" customHeight="1" x14ac:dyDescent="0.3"/>
    <row r="569" ht="15.85" customHeight="1" x14ac:dyDescent="0.3"/>
    <row r="570" ht="15.85" customHeight="1" x14ac:dyDescent="0.3"/>
    <row r="571" ht="15.85" customHeight="1" x14ac:dyDescent="0.3"/>
    <row r="572" ht="15.85" customHeight="1" x14ac:dyDescent="0.3"/>
    <row r="573" ht="15.85" customHeight="1" x14ac:dyDescent="0.3"/>
    <row r="574" ht="15.85" customHeight="1" x14ac:dyDescent="0.3"/>
    <row r="575" ht="15.85" customHeight="1" x14ac:dyDescent="0.3"/>
    <row r="576" ht="15.85" customHeight="1" x14ac:dyDescent="0.3"/>
    <row r="577" ht="15.85" customHeight="1" x14ac:dyDescent="0.3"/>
    <row r="578" ht="15.85" customHeight="1" x14ac:dyDescent="0.3"/>
    <row r="579" ht="15.85" customHeight="1" x14ac:dyDescent="0.3"/>
    <row r="580" ht="15.85" customHeight="1" x14ac:dyDescent="0.3"/>
    <row r="581" ht="15.85" customHeight="1" x14ac:dyDescent="0.3"/>
    <row r="582" ht="15.85" customHeight="1" x14ac:dyDescent="0.3"/>
    <row r="583" ht="15.85" customHeight="1" x14ac:dyDescent="0.3"/>
    <row r="584" ht="15.85" customHeight="1" x14ac:dyDescent="0.3"/>
    <row r="585" ht="15.85" customHeight="1" x14ac:dyDescent="0.3"/>
    <row r="586" ht="15.85" customHeight="1" x14ac:dyDescent="0.3"/>
    <row r="587" ht="15.85" customHeight="1" x14ac:dyDescent="0.3"/>
    <row r="588" ht="15.85" customHeight="1" x14ac:dyDescent="0.3"/>
    <row r="589" ht="15.85" customHeight="1" x14ac:dyDescent="0.3"/>
    <row r="590" ht="15.85" customHeight="1" x14ac:dyDescent="0.3"/>
    <row r="591" ht="15.85" customHeight="1" x14ac:dyDescent="0.3"/>
    <row r="592" ht="15.85" customHeight="1" x14ac:dyDescent="0.3"/>
    <row r="593" ht="15.85" customHeight="1" x14ac:dyDescent="0.3"/>
    <row r="594" ht="15.85" customHeight="1" x14ac:dyDescent="0.3"/>
    <row r="595" ht="15.85" customHeight="1" x14ac:dyDescent="0.3"/>
    <row r="596" ht="15.85" customHeight="1" x14ac:dyDescent="0.3"/>
    <row r="597" ht="15.85" customHeight="1" x14ac:dyDescent="0.3"/>
    <row r="598" ht="15.85" customHeight="1" x14ac:dyDescent="0.3"/>
    <row r="599" ht="15.85" customHeight="1" x14ac:dyDescent="0.3"/>
    <row r="600" ht="15.85" customHeight="1" x14ac:dyDescent="0.3"/>
    <row r="601" ht="15.85" customHeight="1" x14ac:dyDescent="0.3"/>
    <row r="602" ht="15.85" customHeight="1" x14ac:dyDescent="0.3"/>
    <row r="603" ht="15.85" customHeight="1" x14ac:dyDescent="0.3"/>
    <row r="604" ht="15.85" customHeight="1" x14ac:dyDescent="0.3"/>
    <row r="605" ht="15.85" customHeight="1" x14ac:dyDescent="0.3"/>
    <row r="606" ht="15.85" customHeight="1" x14ac:dyDescent="0.3"/>
    <row r="607" ht="15.85" customHeight="1" x14ac:dyDescent="0.3"/>
    <row r="608" ht="15.85" customHeight="1" x14ac:dyDescent="0.3"/>
    <row r="609" ht="15.85" customHeight="1" x14ac:dyDescent="0.3"/>
    <row r="610" ht="15.85" customHeight="1" x14ac:dyDescent="0.3"/>
    <row r="611" ht="15.85" customHeight="1" x14ac:dyDescent="0.3"/>
    <row r="612" ht="15.85" customHeight="1" x14ac:dyDescent="0.3"/>
    <row r="613" ht="15.85" customHeight="1" x14ac:dyDescent="0.3"/>
    <row r="614" ht="15.85" customHeight="1" x14ac:dyDescent="0.3"/>
    <row r="615" ht="15.85" customHeight="1" x14ac:dyDescent="0.3"/>
    <row r="616" ht="15.85" customHeight="1" x14ac:dyDescent="0.3"/>
    <row r="617" ht="15.85" customHeight="1" x14ac:dyDescent="0.3"/>
    <row r="618" ht="15.85" customHeight="1" x14ac:dyDescent="0.3"/>
    <row r="619" ht="15.85" customHeight="1" x14ac:dyDescent="0.3"/>
    <row r="620" ht="15.85" customHeight="1" x14ac:dyDescent="0.3"/>
    <row r="621" ht="15.85" customHeight="1" x14ac:dyDescent="0.3"/>
    <row r="622" ht="15.85" customHeight="1" x14ac:dyDescent="0.3"/>
    <row r="623" ht="15.85" customHeight="1" x14ac:dyDescent="0.3"/>
    <row r="624" ht="15.85" customHeight="1" x14ac:dyDescent="0.3"/>
    <row r="625" ht="15.85" customHeight="1" x14ac:dyDescent="0.3"/>
    <row r="626" ht="15.85" customHeight="1" x14ac:dyDescent="0.3"/>
    <row r="627" ht="15.85" customHeight="1" x14ac:dyDescent="0.3"/>
    <row r="628" ht="15.85" customHeight="1" x14ac:dyDescent="0.3"/>
    <row r="629" ht="15.85" customHeight="1" x14ac:dyDescent="0.3"/>
    <row r="630" ht="15.85" customHeight="1" x14ac:dyDescent="0.3"/>
    <row r="631" ht="15.85" customHeight="1" x14ac:dyDescent="0.3"/>
    <row r="632" ht="15.85" customHeight="1" x14ac:dyDescent="0.3"/>
    <row r="633" ht="15.85" customHeight="1" x14ac:dyDescent="0.3"/>
    <row r="634" ht="15.85" customHeight="1" x14ac:dyDescent="0.3"/>
    <row r="635" ht="15.85" customHeight="1" x14ac:dyDescent="0.3"/>
    <row r="636" ht="15.85" customHeight="1" x14ac:dyDescent="0.3"/>
    <row r="637" ht="15.85" customHeight="1" x14ac:dyDescent="0.3"/>
    <row r="638" ht="15.85" customHeight="1" x14ac:dyDescent="0.3"/>
    <row r="639" ht="15.85" customHeight="1" x14ac:dyDescent="0.3"/>
    <row r="640" ht="15.85" customHeight="1" x14ac:dyDescent="0.3"/>
    <row r="641" ht="15.85" customHeight="1" x14ac:dyDescent="0.3"/>
    <row r="642" ht="15.85" customHeight="1" x14ac:dyDescent="0.3"/>
    <row r="643" ht="15.85" customHeight="1" x14ac:dyDescent="0.3"/>
    <row r="644" ht="15.85" customHeight="1" x14ac:dyDescent="0.3"/>
    <row r="645" ht="15.85" customHeight="1" x14ac:dyDescent="0.3"/>
    <row r="646" ht="15.85" customHeight="1" x14ac:dyDescent="0.3"/>
    <row r="647" ht="15.85" customHeight="1" x14ac:dyDescent="0.3"/>
    <row r="648" ht="15.85" customHeight="1" x14ac:dyDescent="0.3"/>
    <row r="649" ht="15.85" customHeight="1" x14ac:dyDescent="0.3"/>
    <row r="650" ht="15.85" customHeight="1" x14ac:dyDescent="0.3"/>
    <row r="651" ht="15.85" customHeight="1" x14ac:dyDescent="0.3"/>
    <row r="652" ht="15.85" customHeight="1" x14ac:dyDescent="0.3"/>
    <row r="653" ht="15.85" customHeight="1" x14ac:dyDescent="0.3"/>
    <row r="654" ht="15.85" customHeight="1" x14ac:dyDescent="0.3"/>
    <row r="655" ht="15.85" customHeight="1" x14ac:dyDescent="0.3"/>
    <row r="656" ht="15.85" customHeight="1" x14ac:dyDescent="0.3"/>
    <row r="657" ht="15.85" customHeight="1" x14ac:dyDescent="0.3"/>
    <row r="658" ht="15.85" customHeight="1" x14ac:dyDescent="0.3"/>
    <row r="659" ht="15.85" customHeight="1" x14ac:dyDescent="0.3"/>
    <row r="660" ht="15.85" customHeight="1" x14ac:dyDescent="0.3"/>
    <row r="661" ht="15.85" customHeight="1" x14ac:dyDescent="0.3"/>
    <row r="662" ht="15.85" customHeight="1" x14ac:dyDescent="0.3"/>
    <row r="663" ht="15.85" customHeight="1" x14ac:dyDescent="0.3"/>
    <row r="664" ht="15.85" customHeight="1" x14ac:dyDescent="0.3"/>
    <row r="665" ht="15.85" customHeight="1" x14ac:dyDescent="0.3"/>
    <row r="666" ht="15.85" customHeight="1" x14ac:dyDescent="0.3"/>
    <row r="667" ht="15.85" customHeight="1" x14ac:dyDescent="0.3"/>
    <row r="668" ht="15.85" customHeight="1" x14ac:dyDescent="0.3"/>
    <row r="669" ht="15.85" customHeight="1" x14ac:dyDescent="0.3"/>
    <row r="670" ht="15.85" customHeight="1" x14ac:dyDescent="0.3"/>
    <row r="671" ht="15.85" customHeight="1" x14ac:dyDescent="0.3"/>
    <row r="672" ht="15.85" customHeight="1" x14ac:dyDescent="0.3"/>
    <row r="673" ht="15.85" customHeight="1" x14ac:dyDescent="0.3"/>
    <row r="674" ht="15.85" customHeight="1" x14ac:dyDescent="0.3"/>
    <row r="675" ht="15.85" customHeight="1" x14ac:dyDescent="0.3"/>
    <row r="676" ht="15.85" customHeight="1" x14ac:dyDescent="0.3"/>
    <row r="677" ht="15.85" customHeight="1" x14ac:dyDescent="0.3"/>
    <row r="678" ht="15.85" customHeight="1" x14ac:dyDescent="0.3"/>
    <row r="679" ht="15.85" customHeight="1" x14ac:dyDescent="0.3"/>
    <row r="680" ht="15.85" customHeight="1" x14ac:dyDescent="0.3"/>
    <row r="681" ht="15.85" customHeight="1" x14ac:dyDescent="0.3"/>
    <row r="682" ht="15.85" customHeight="1" x14ac:dyDescent="0.3"/>
    <row r="683" ht="15.85" customHeight="1" x14ac:dyDescent="0.3"/>
    <row r="684" ht="15.85" customHeight="1" x14ac:dyDescent="0.3"/>
    <row r="685" ht="15.85" customHeight="1" x14ac:dyDescent="0.3"/>
    <row r="686" ht="15.85" customHeight="1" x14ac:dyDescent="0.3"/>
    <row r="687" ht="15.85" customHeight="1" x14ac:dyDescent="0.3"/>
    <row r="688" ht="15.85" customHeight="1" x14ac:dyDescent="0.3"/>
    <row r="689" ht="15.85" customHeight="1" x14ac:dyDescent="0.3"/>
    <row r="690" ht="15.85" customHeight="1" x14ac:dyDescent="0.3"/>
    <row r="691" ht="15.85" customHeight="1" x14ac:dyDescent="0.3"/>
    <row r="692" ht="15.85" customHeight="1" x14ac:dyDescent="0.3"/>
    <row r="693" ht="15.85" customHeight="1" x14ac:dyDescent="0.3"/>
    <row r="694" ht="15.85" customHeight="1" x14ac:dyDescent="0.3"/>
    <row r="695" ht="15.85" customHeight="1" x14ac:dyDescent="0.3"/>
    <row r="696" ht="15.85" customHeight="1" x14ac:dyDescent="0.3"/>
    <row r="697" ht="15.85" customHeight="1" x14ac:dyDescent="0.3"/>
    <row r="698" ht="15.85" customHeight="1" x14ac:dyDescent="0.3"/>
    <row r="699" ht="15.85" customHeight="1" x14ac:dyDescent="0.3"/>
    <row r="700" ht="15.85" customHeight="1" x14ac:dyDescent="0.3"/>
    <row r="701" ht="15.85" customHeight="1" x14ac:dyDescent="0.3"/>
    <row r="702" ht="15.85" customHeight="1" x14ac:dyDescent="0.3"/>
    <row r="703" ht="15.85" customHeight="1" x14ac:dyDescent="0.3"/>
    <row r="704" ht="15.85" customHeight="1" x14ac:dyDescent="0.3"/>
    <row r="705" ht="15.85" customHeight="1" x14ac:dyDescent="0.3"/>
    <row r="706" ht="15.85" customHeight="1" x14ac:dyDescent="0.3"/>
    <row r="707" ht="15.85" customHeight="1" x14ac:dyDescent="0.3"/>
    <row r="708" ht="15.85" customHeight="1" x14ac:dyDescent="0.3"/>
    <row r="709" ht="15.85" customHeight="1" x14ac:dyDescent="0.3"/>
    <row r="710" ht="15.85" customHeight="1" x14ac:dyDescent="0.3"/>
    <row r="711" ht="15.85" customHeight="1" x14ac:dyDescent="0.3"/>
    <row r="712" ht="15.85" customHeight="1" x14ac:dyDescent="0.3"/>
    <row r="713" ht="15.85" customHeight="1" x14ac:dyDescent="0.3"/>
    <row r="714" ht="15.85" customHeight="1" x14ac:dyDescent="0.3"/>
    <row r="715" ht="15.85" customHeight="1" x14ac:dyDescent="0.3"/>
    <row r="716" ht="15.85" customHeight="1" x14ac:dyDescent="0.3"/>
    <row r="717" ht="15.85" customHeight="1" x14ac:dyDescent="0.3"/>
    <row r="718" ht="15.85" customHeight="1" x14ac:dyDescent="0.3"/>
    <row r="719" ht="15.85" customHeight="1" x14ac:dyDescent="0.3"/>
    <row r="720" ht="15.85" customHeight="1" x14ac:dyDescent="0.3"/>
    <row r="721" ht="15.85" customHeight="1" x14ac:dyDescent="0.3"/>
    <row r="722" ht="15.85" customHeight="1" x14ac:dyDescent="0.3"/>
    <row r="723" ht="15.85" customHeight="1" x14ac:dyDescent="0.3"/>
    <row r="724" ht="15.85" customHeight="1" x14ac:dyDescent="0.3"/>
    <row r="725" ht="15.85" customHeight="1" x14ac:dyDescent="0.3"/>
    <row r="726" ht="15.85" customHeight="1" x14ac:dyDescent="0.3"/>
    <row r="727" ht="15.85" customHeight="1" x14ac:dyDescent="0.3"/>
    <row r="728" ht="15.85" customHeight="1" x14ac:dyDescent="0.3"/>
    <row r="729" ht="15.85" customHeight="1" x14ac:dyDescent="0.3"/>
    <row r="730" ht="15.85" customHeight="1" x14ac:dyDescent="0.3"/>
    <row r="731" ht="15.85" customHeight="1" x14ac:dyDescent="0.3"/>
    <row r="732" ht="15.85" customHeight="1" x14ac:dyDescent="0.3"/>
    <row r="733" ht="15.85" customHeight="1" x14ac:dyDescent="0.3"/>
    <row r="734" ht="15.85" customHeight="1" x14ac:dyDescent="0.3"/>
    <row r="735" ht="15.85" customHeight="1" x14ac:dyDescent="0.3"/>
    <row r="736" ht="15.85" customHeight="1" x14ac:dyDescent="0.3"/>
    <row r="737" ht="15.85" customHeight="1" x14ac:dyDescent="0.3"/>
    <row r="738" ht="15.85" customHeight="1" x14ac:dyDescent="0.3"/>
    <row r="739" ht="15.85" customHeight="1" x14ac:dyDescent="0.3"/>
    <row r="740" ht="15.85" customHeight="1" x14ac:dyDescent="0.3"/>
    <row r="741" ht="15.85" customHeight="1" x14ac:dyDescent="0.3"/>
    <row r="742" ht="15.85" customHeight="1" x14ac:dyDescent="0.3"/>
    <row r="743" ht="15.85" customHeight="1" x14ac:dyDescent="0.3"/>
    <row r="744" ht="15.85" customHeight="1" x14ac:dyDescent="0.3"/>
    <row r="745" ht="15.85" customHeight="1" x14ac:dyDescent="0.3"/>
    <row r="746" ht="15.85" customHeight="1" x14ac:dyDescent="0.3"/>
    <row r="747" ht="15.85" customHeight="1" x14ac:dyDescent="0.3"/>
    <row r="748" ht="15.85" customHeight="1" x14ac:dyDescent="0.3"/>
    <row r="749" ht="15.85" customHeight="1" x14ac:dyDescent="0.3"/>
    <row r="750" ht="15.85" customHeight="1" x14ac:dyDescent="0.3"/>
    <row r="751" ht="15.85" customHeight="1" x14ac:dyDescent="0.3"/>
    <row r="752" ht="15.85" customHeight="1" x14ac:dyDescent="0.3"/>
    <row r="753" ht="15.85" customHeight="1" x14ac:dyDescent="0.3"/>
    <row r="754" ht="15.85" customHeight="1" x14ac:dyDescent="0.3"/>
    <row r="755" ht="15.85" customHeight="1" x14ac:dyDescent="0.3"/>
    <row r="756" ht="15.85" customHeight="1" x14ac:dyDescent="0.3"/>
    <row r="757" ht="15.85" customHeight="1" x14ac:dyDescent="0.3"/>
    <row r="758" ht="15.85" customHeight="1" x14ac:dyDescent="0.3"/>
    <row r="759" ht="15.85" customHeight="1" x14ac:dyDescent="0.3"/>
    <row r="760" ht="15.85" customHeight="1" x14ac:dyDescent="0.3"/>
    <row r="761" ht="15.85" customHeight="1" x14ac:dyDescent="0.3"/>
    <row r="762" ht="15.85" customHeight="1" x14ac:dyDescent="0.3"/>
    <row r="763" ht="15.85" customHeight="1" x14ac:dyDescent="0.3"/>
    <row r="764" ht="15.85" customHeight="1" x14ac:dyDescent="0.3"/>
    <row r="765" ht="15.85" customHeight="1" x14ac:dyDescent="0.3"/>
    <row r="766" ht="15.85" customHeight="1" x14ac:dyDescent="0.3"/>
    <row r="767" ht="15.85" customHeight="1" x14ac:dyDescent="0.3"/>
    <row r="768" ht="15.85" customHeight="1" x14ac:dyDescent="0.3"/>
    <row r="769" ht="15.85" customHeight="1" x14ac:dyDescent="0.3"/>
    <row r="770" ht="15.85" customHeight="1" x14ac:dyDescent="0.3"/>
    <row r="771" ht="15.85" customHeight="1" x14ac:dyDescent="0.3"/>
    <row r="772" ht="15.85" customHeight="1" x14ac:dyDescent="0.3"/>
    <row r="773" ht="15.85" customHeight="1" x14ac:dyDescent="0.3"/>
    <row r="774" ht="15.85" customHeight="1" x14ac:dyDescent="0.3"/>
    <row r="775" ht="15.85" customHeight="1" x14ac:dyDescent="0.3"/>
    <row r="776" ht="15.85" customHeight="1" x14ac:dyDescent="0.3"/>
    <row r="777" ht="15.85" customHeight="1" x14ac:dyDescent="0.3"/>
    <row r="778" ht="15.85" customHeight="1" x14ac:dyDescent="0.3"/>
    <row r="779" ht="15.85" customHeight="1" x14ac:dyDescent="0.3"/>
    <row r="780" ht="15.85" customHeight="1" x14ac:dyDescent="0.3"/>
    <row r="781" ht="15.85" customHeight="1" x14ac:dyDescent="0.3"/>
    <row r="782" ht="15.85" customHeight="1" x14ac:dyDescent="0.3"/>
    <row r="783" ht="15.85" customHeight="1" x14ac:dyDescent="0.3"/>
    <row r="784" ht="15.85" customHeight="1" x14ac:dyDescent="0.3"/>
    <row r="785" ht="15.85" customHeight="1" x14ac:dyDescent="0.3"/>
    <row r="786" ht="15.85" customHeight="1" x14ac:dyDescent="0.3"/>
    <row r="787" ht="15.85" customHeight="1" x14ac:dyDescent="0.3"/>
    <row r="788" ht="15.85" customHeight="1" x14ac:dyDescent="0.3"/>
    <row r="789" ht="15.85" customHeight="1" x14ac:dyDescent="0.3"/>
    <row r="790" ht="15.85" customHeight="1" x14ac:dyDescent="0.3"/>
    <row r="791" ht="15.85" customHeight="1" x14ac:dyDescent="0.3"/>
    <row r="792" ht="15.85" customHeight="1" x14ac:dyDescent="0.3"/>
    <row r="793" ht="15.85" customHeight="1" x14ac:dyDescent="0.3"/>
    <row r="794" ht="15.85" customHeight="1" x14ac:dyDescent="0.3"/>
    <row r="795" ht="15.85" customHeight="1" x14ac:dyDescent="0.3"/>
    <row r="796" ht="15.85" customHeight="1" x14ac:dyDescent="0.3"/>
    <row r="797" ht="15.85" customHeight="1" x14ac:dyDescent="0.3"/>
    <row r="798" ht="15.85" customHeight="1" x14ac:dyDescent="0.3"/>
    <row r="799" ht="15.85" customHeight="1" x14ac:dyDescent="0.3"/>
    <row r="800" ht="15.85" customHeight="1" x14ac:dyDescent="0.3"/>
    <row r="801" ht="15.85" customHeight="1" x14ac:dyDescent="0.3"/>
    <row r="802" ht="15.85" customHeight="1" x14ac:dyDescent="0.3"/>
    <row r="803" ht="15.85" customHeight="1" x14ac:dyDescent="0.3"/>
    <row r="804" ht="15.85" customHeight="1" x14ac:dyDescent="0.3"/>
    <row r="805" ht="15.85" customHeight="1" x14ac:dyDescent="0.3"/>
    <row r="806" ht="15.85" customHeight="1" x14ac:dyDescent="0.3"/>
    <row r="807" ht="15.85" customHeight="1" x14ac:dyDescent="0.3"/>
    <row r="808" ht="15.85" customHeight="1" x14ac:dyDescent="0.3"/>
    <row r="809" ht="15.85" customHeight="1" x14ac:dyDescent="0.3"/>
    <row r="810" ht="15.85" customHeight="1" x14ac:dyDescent="0.3"/>
    <row r="811" ht="15.85" customHeight="1" x14ac:dyDescent="0.3"/>
    <row r="812" ht="15.85" customHeight="1" x14ac:dyDescent="0.3"/>
    <row r="813" ht="15.85" customHeight="1" x14ac:dyDescent="0.3"/>
    <row r="814" ht="15.85" customHeight="1" x14ac:dyDescent="0.3"/>
    <row r="815" ht="15.85" customHeight="1" x14ac:dyDescent="0.3"/>
    <row r="816" ht="15.85" customHeight="1" x14ac:dyDescent="0.3"/>
    <row r="817" ht="15.85" customHeight="1" x14ac:dyDescent="0.3"/>
    <row r="818" ht="15.85" customHeight="1" x14ac:dyDescent="0.3"/>
    <row r="819" ht="15.85" customHeight="1" x14ac:dyDescent="0.3"/>
    <row r="820" ht="15.85" customHeight="1" x14ac:dyDescent="0.3"/>
    <row r="821" ht="15.85" customHeight="1" x14ac:dyDescent="0.3"/>
    <row r="822" ht="15.85" customHeight="1" x14ac:dyDescent="0.3"/>
    <row r="823" ht="15.85" customHeight="1" x14ac:dyDescent="0.3"/>
    <row r="824" ht="15.85" customHeight="1" x14ac:dyDescent="0.3"/>
    <row r="825" ht="15.85" customHeight="1" x14ac:dyDescent="0.3"/>
    <row r="826" ht="15.85" customHeight="1" x14ac:dyDescent="0.3"/>
    <row r="827" ht="15.85" customHeight="1" x14ac:dyDescent="0.3"/>
    <row r="828" ht="15.85" customHeight="1" x14ac:dyDescent="0.3"/>
    <row r="829" ht="15.85" customHeight="1" x14ac:dyDescent="0.3"/>
    <row r="830" ht="15.85" customHeight="1" x14ac:dyDescent="0.3"/>
    <row r="831" ht="15.85" customHeight="1" x14ac:dyDescent="0.3"/>
    <row r="832" ht="15.85" customHeight="1" x14ac:dyDescent="0.3"/>
    <row r="833" ht="15.85" customHeight="1" x14ac:dyDescent="0.3"/>
    <row r="834" ht="15.85" customHeight="1" x14ac:dyDescent="0.3"/>
    <row r="835" ht="15.85" customHeight="1" x14ac:dyDescent="0.3"/>
    <row r="836" ht="15.85" customHeight="1" x14ac:dyDescent="0.3"/>
    <row r="837" ht="15.85" customHeight="1" x14ac:dyDescent="0.3"/>
    <row r="838" ht="15.85" customHeight="1" x14ac:dyDescent="0.3"/>
    <row r="839" ht="15.85" customHeight="1" x14ac:dyDescent="0.3"/>
    <row r="840" ht="15.85" customHeight="1" x14ac:dyDescent="0.3"/>
    <row r="841" ht="15.85" customHeight="1" x14ac:dyDescent="0.3"/>
    <row r="842" ht="15.85" customHeight="1" x14ac:dyDescent="0.3"/>
    <row r="843" ht="15.85" customHeight="1" x14ac:dyDescent="0.3"/>
    <row r="844" ht="15.85" customHeight="1" x14ac:dyDescent="0.3"/>
    <row r="845" ht="15.85" customHeight="1" x14ac:dyDescent="0.3"/>
    <row r="846" ht="15.85" customHeight="1" x14ac:dyDescent="0.3"/>
    <row r="847" ht="15.85" customHeight="1" x14ac:dyDescent="0.3"/>
    <row r="848" ht="15.85" customHeight="1" x14ac:dyDescent="0.3"/>
    <row r="849" ht="15.85" customHeight="1" x14ac:dyDescent="0.3"/>
    <row r="850" ht="15.85" customHeight="1" x14ac:dyDescent="0.3"/>
    <row r="851" ht="15.85" customHeight="1" x14ac:dyDescent="0.3"/>
    <row r="852" ht="15.85" customHeight="1" x14ac:dyDescent="0.3"/>
    <row r="853" ht="15.85" customHeight="1" x14ac:dyDescent="0.3"/>
    <row r="854" ht="15.85" customHeight="1" x14ac:dyDescent="0.3"/>
    <row r="855" ht="15.85" customHeight="1" x14ac:dyDescent="0.3"/>
    <row r="856" ht="15.85" customHeight="1" x14ac:dyDescent="0.3"/>
    <row r="857" ht="15.85" customHeight="1" x14ac:dyDescent="0.3"/>
    <row r="858" ht="15.85" customHeight="1" x14ac:dyDescent="0.3"/>
    <row r="859" ht="15.85" customHeight="1" x14ac:dyDescent="0.3"/>
    <row r="860" ht="15.85" customHeight="1" x14ac:dyDescent="0.3"/>
    <row r="861" ht="15.85" customHeight="1" x14ac:dyDescent="0.3"/>
    <row r="862" ht="15.85" customHeight="1" x14ac:dyDescent="0.3"/>
    <row r="863" ht="15.85" customHeight="1" x14ac:dyDescent="0.3"/>
    <row r="864" ht="15.85" customHeight="1" x14ac:dyDescent="0.3"/>
    <row r="865" ht="15.85" customHeight="1" x14ac:dyDescent="0.3"/>
    <row r="866" ht="15.85" customHeight="1" x14ac:dyDescent="0.3"/>
    <row r="867" ht="15.85" customHeight="1" x14ac:dyDescent="0.3"/>
    <row r="868" ht="15.85" customHeight="1" x14ac:dyDescent="0.3"/>
    <row r="869" ht="15.85" customHeight="1" x14ac:dyDescent="0.3"/>
    <row r="870" ht="15.85" customHeight="1" x14ac:dyDescent="0.3"/>
    <row r="871" ht="15.85" customHeight="1" x14ac:dyDescent="0.3"/>
    <row r="872" ht="15.85" customHeight="1" x14ac:dyDescent="0.3"/>
    <row r="873" ht="15.85" customHeight="1" x14ac:dyDescent="0.3"/>
    <row r="874" ht="15.85" customHeight="1" x14ac:dyDescent="0.3"/>
    <row r="875" ht="15.85" customHeight="1" x14ac:dyDescent="0.3"/>
    <row r="876" ht="15.85" customHeight="1" x14ac:dyDescent="0.3"/>
    <row r="877" ht="15.85" customHeight="1" x14ac:dyDescent="0.3"/>
    <row r="878" ht="15.85" customHeight="1" x14ac:dyDescent="0.3"/>
    <row r="879" ht="15.85" customHeight="1" x14ac:dyDescent="0.3"/>
    <row r="880" ht="15.85" customHeight="1" x14ac:dyDescent="0.3"/>
    <row r="881" ht="15.85" customHeight="1" x14ac:dyDescent="0.3"/>
    <row r="882" ht="15.85" customHeight="1" x14ac:dyDescent="0.3"/>
    <row r="883" ht="15.85" customHeight="1" x14ac:dyDescent="0.3"/>
    <row r="884" ht="15.85" customHeight="1" x14ac:dyDescent="0.3"/>
    <row r="885" ht="15.85" customHeight="1" x14ac:dyDescent="0.3"/>
    <row r="886" ht="15.85" customHeight="1" x14ac:dyDescent="0.3"/>
    <row r="887" ht="15.85" customHeight="1" x14ac:dyDescent="0.3"/>
    <row r="888" ht="15.85" customHeight="1" x14ac:dyDescent="0.3"/>
    <row r="889" ht="15.85" customHeight="1" x14ac:dyDescent="0.3"/>
    <row r="890" ht="15.85" customHeight="1" x14ac:dyDescent="0.3"/>
    <row r="891" ht="15.85" customHeight="1" x14ac:dyDescent="0.3"/>
    <row r="892" ht="15.85" customHeight="1" x14ac:dyDescent="0.3"/>
    <row r="893" ht="15.85" customHeight="1" x14ac:dyDescent="0.3"/>
    <row r="894" ht="15.85" customHeight="1" x14ac:dyDescent="0.3"/>
    <row r="895" ht="15.85" customHeight="1" x14ac:dyDescent="0.3"/>
    <row r="896" ht="15.85" customHeight="1" x14ac:dyDescent="0.3"/>
    <row r="897" ht="15.85" customHeight="1" x14ac:dyDescent="0.3"/>
    <row r="898" ht="15.85" customHeight="1" x14ac:dyDescent="0.3"/>
    <row r="899" ht="15.85" customHeight="1" x14ac:dyDescent="0.3"/>
    <row r="900" ht="15.85" customHeight="1" x14ac:dyDescent="0.3"/>
    <row r="901" ht="15.85" customHeight="1" x14ac:dyDescent="0.3"/>
    <row r="902" ht="15.85" customHeight="1" x14ac:dyDescent="0.3"/>
    <row r="903" ht="15.85" customHeight="1" x14ac:dyDescent="0.3"/>
    <row r="904" ht="15.85" customHeight="1" x14ac:dyDescent="0.3"/>
    <row r="905" ht="15.85" customHeight="1" x14ac:dyDescent="0.3"/>
    <row r="906" ht="15.85" customHeight="1" x14ac:dyDescent="0.3"/>
    <row r="907" ht="15.85" customHeight="1" x14ac:dyDescent="0.3"/>
    <row r="908" ht="15.85" customHeight="1" x14ac:dyDescent="0.3"/>
    <row r="909" ht="15.85" customHeight="1" x14ac:dyDescent="0.3"/>
    <row r="910" ht="15.85" customHeight="1" x14ac:dyDescent="0.3"/>
    <row r="911" ht="15.85" customHeight="1" x14ac:dyDescent="0.3"/>
    <row r="912" ht="15.85" customHeight="1" x14ac:dyDescent="0.3"/>
    <row r="913" ht="15.85" customHeight="1" x14ac:dyDescent="0.3"/>
    <row r="914" ht="15.85" customHeight="1" x14ac:dyDescent="0.3"/>
    <row r="915" ht="15.85" customHeight="1" x14ac:dyDescent="0.3"/>
    <row r="916" ht="15.85" customHeight="1" x14ac:dyDescent="0.3"/>
    <row r="917" ht="15.85" customHeight="1" x14ac:dyDescent="0.3"/>
    <row r="918" ht="15.85" customHeight="1" x14ac:dyDescent="0.3"/>
    <row r="919" ht="15.85" customHeight="1" x14ac:dyDescent="0.3"/>
    <row r="920" ht="15.85" customHeight="1" x14ac:dyDescent="0.3"/>
    <row r="921" ht="15.85" customHeight="1" x14ac:dyDescent="0.3"/>
    <row r="922" ht="15.85" customHeight="1" x14ac:dyDescent="0.3"/>
    <row r="923" ht="15.85" customHeight="1" x14ac:dyDescent="0.3"/>
    <row r="924" ht="15.85" customHeight="1" x14ac:dyDescent="0.3"/>
    <row r="925" ht="15.85" customHeight="1" x14ac:dyDescent="0.3"/>
    <row r="926" ht="15.85" customHeight="1" x14ac:dyDescent="0.3"/>
    <row r="927" ht="15.85" customHeight="1" x14ac:dyDescent="0.3"/>
    <row r="928" ht="15.85" customHeight="1" x14ac:dyDescent="0.3"/>
    <row r="929" ht="15.85" customHeight="1" x14ac:dyDescent="0.3"/>
    <row r="930" ht="15.85" customHeight="1" x14ac:dyDescent="0.3"/>
    <row r="931" ht="15.85" customHeight="1" x14ac:dyDescent="0.3"/>
    <row r="932" ht="15.85" customHeight="1" x14ac:dyDescent="0.3"/>
    <row r="933" ht="15.85" customHeight="1" x14ac:dyDescent="0.3"/>
    <row r="934" ht="15.85" customHeight="1" x14ac:dyDescent="0.3"/>
    <row r="935" ht="15.85" customHeight="1" x14ac:dyDescent="0.3"/>
    <row r="936" ht="15.85" customHeight="1" x14ac:dyDescent="0.3"/>
    <row r="937" ht="15.85" customHeight="1" x14ac:dyDescent="0.3"/>
    <row r="938" ht="15.85" customHeight="1" x14ac:dyDescent="0.3"/>
    <row r="939" ht="15.85" customHeight="1" x14ac:dyDescent="0.3"/>
    <row r="940" ht="15.85" customHeight="1" x14ac:dyDescent="0.3"/>
    <row r="941" ht="15.85" customHeight="1" x14ac:dyDescent="0.3"/>
    <row r="942" ht="15.85" customHeight="1" x14ac:dyDescent="0.3"/>
    <row r="943" ht="15.85" customHeight="1" x14ac:dyDescent="0.3"/>
    <row r="944" ht="15.85" customHeight="1" x14ac:dyDescent="0.3"/>
    <row r="945" ht="15.85" customHeight="1" x14ac:dyDescent="0.3"/>
    <row r="946" ht="15.85" customHeight="1" x14ac:dyDescent="0.3"/>
    <row r="947" ht="15.85" customHeight="1" x14ac:dyDescent="0.3"/>
    <row r="948" ht="15.85" customHeight="1" x14ac:dyDescent="0.3"/>
    <row r="949" ht="15.85" customHeight="1" x14ac:dyDescent="0.3"/>
    <row r="950" ht="15.85" customHeight="1" x14ac:dyDescent="0.3"/>
    <row r="951" ht="15.85" customHeight="1" x14ac:dyDescent="0.3"/>
    <row r="952" ht="15.85" customHeight="1" x14ac:dyDescent="0.3"/>
    <row r="953" ht="15.85" customHeight="1" x14ac:dyDescent="0.3"/>
    <row r="954" ht="15.85" customHeight="1" x14ac:dyDescent="0.3"/>
    <row r="955" ht="15.85" customHeight="1" x14ac:dyDescent="0.3"/>
    <row r="956" ht="15.85" customHeight="1" x14ac:dyDescent="0.3"/>
    <row r="957" ht="15.85" customHeight="1" x14ac:dyDescent="0.3"/>
    <row r="958" ht="15.85" customHeight="1" x14ac:dyDescent="0.3"/>
    <row r="959" ht="15.85" customHeight="1" x14ac:dyDescent="0.3"/>
    <row r="960" ht="15.85" customHeight="1" x14ac:dyDescent="0.3"/>
    <row r="961" ht="15.85" customHeight="1" x14ac:dyDescent="0.3"/>
    <row r="962" ht="15.85" customHeight="1" x14ac:dyDescent="0.3"/>
    <row r="963" ht="15.85" customHeight="1" x14ac:dyDescent="0.3"/>
    <row r="964" ht="15.85" customHeight="1" x14ac:dyDescent="0.3"/>
    <row r="965" ht="15.85" customHeight="1" x14ac:dyDescent="0.3"/>
    <row r="966" ht="15.85" customHeight="1" x14ac:dyDescent="0.3"/>
    <row r="967" ht="15.85" customHeight="1" x14ac:dyDescent="0.3"/>
    <row r="968" ht="15.85" customHeight="1" x14ac:dyDescent="0.3"/>
    <row r="969" ht="15.85" customHeight="1" x14ac:dyDescent="0.3"/>
    <row r="970" ht="15.85" customHeight="1" x14ac:dyDescent="0.3"/>
    <row r="971" ht="15.85" customHeight="1" x14ac:dyDescent="0.3"/>
    <row r="972" ht="15.85" customHeight="1" x14ac:dyDescent="0.3"/>
    <row r="973" ht="15.85" customHeight="1" x14ac:dyDescent="0.3"/>
    <row r="974" ht="15.85" customHeight="1" x14ac:dyDescent="0.3"/>
    <row r="975" ht="15.85" customHeight="1" x14ac:dyDescent="0.3"/>
    <row r="976" ht="15.85" customHeight="1" x14ac:dyDescent="0.3"/>
    <row r="977" ht="15.85" customHeight="1" x14ac:dyDescent="0.3"/>
    <row r="978" ht="15.85" customHeight="1" x14ac:dyDescent="0.3"/>
    <row r="979" ht="15.85" customHeight="1" x14ac:dyDescent="0.3"/>
    <row r="980" ht="15.85" customHeight="1" x14ac:dyDescent="0.3"/>
    <row r="981" ht="15.85" customHeight="1" x14ac:dyDescent="0.3"/>
    <row r="982" ht="15.85" customHeight="1" x14ac:dyDescent="0.3"/>
    <row r="983" ht="15.85" customHeight="1" x14ac:dyDescent="0.3"/>
    <row r="984" ht="15.85" customHeight="1" x14ac:dyDescent="0.3"/>
    <row r="985" ht="15.85" customHeight="1" x14ac:dyDescent="0.3"/>
    <row r="986" ht="15.85" customHeight="1" x14ac:dyDescent="0.3"/>
    <row r="987" ht="15.85" customHeight="1" x14ac:dyDescent="0.3"/>
    <row r="988" ht="15.85" customHeight="1" x14ac:dyDescent="0.3"/>
    <row r="989" ht="15.85" customHeight="1" x14ac:dyDescent="0.3"/>
    <row r="990" ht="15.85" customHeight="1" x14ac:dyDescent="0.3"/>
    <row r="991" ht="15.85" customHeight="1" x14ac:dyDescent="0.3"/>
    <row r="992" ht="15.85" customHeight="1" x14ac:dyDescent="0.3"/>
    <row r="993" ht="15.85" customHeight="1" x14ac:dyDescent="0.3"/>
    <row r="994" ht="15.85" customHeight="1" x14ac:dyDescent="0.3"/>
    <row r="995" ht="15.85" customHeight="1" x14ac:dyDescent="0.3"/>
    <row r="996" ht="15.85" customHeight="1" x14ac:dyDescent="0.3"/>
    <row r="997" ht="15.85" customHeight="1" x14ac:dyDescent="0.3"/>
    <row r="998" ht="15.85" customHeight="1" x14ac:dyDescent="0.3"/>
    <row r="999" ht="15.85" customHeight="1" x14ac:dyDescent="0.3"/>
    <row r="1000" ht="15.85" customHeight="1" x14ac:dyDescent="0.3"/>
    <row r="1001" ht="15.85" customHeight="1" x14ac:dyDescent="0.3"/>
    <row r="1002" ht="15.85" customHeight="1" x14ac:dyDescent="0.3"/>
    <row r="1003" ht="15.85" customHeight="1" x14ac:dyDescent="0.3"/>
    <row r="1004" ht="15.85" customHeight="1" x14ac:dyDescent="0.3"/>
  </sheetData>
  <mergeCells count="14">
    <mergeCell ref="R4:S4"/>
    <mergeCell ref="A1:AA1"/>
    <mergeCell ref="A2:AA2"/>
    <mergeCell ref="A3:AA3"/>
    <mergeCell ref="D4:E4"/>
    <mergeCell ref="F4:G4"/>
    <mergeCell ref="H4:I4"/>
    <mergeCell ref="J4:K4"/>
    <mergeCell ref="T4:U4"/>
    <mergeCell ref="L4:M4"/>
    <mergeCell ref="N4:O4"/>
    <mergeCell ref="A5:C5"/>
    <mergeCell ref="B82:C82"/>
    <mergeCell ref="P4:Q4"/>
  </mergeCells>
  <conditionalFormatting sqref="W6:W80">
    <cfRule type="cellIs" dxfId="3" priority="1" operator="lessThan">
      <formula>75</formula>
    </cfRule>
  </conditionalFormatting>
  <conditionalFormatting sqref="AA6:AA80">
    <cfRule type="cellIs" dxfId="2" priority="2" operator="lessThan">
      <formula>75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3"/>
  <sheetViews>
    <sheetView workbookViewId="0"/>
  </sheetViews>
  <sheetFormatPr defaultColWidth="14.44140625" defaultRowHeight="15.05" customHeight="1" x14ac:dyDescent="0.3"/>
  <cols>
    <col min="1" max="1" width="5.109375" customWidth="1"/>
    <col min="2" max="2" width="14.109375" customWidth="1"/>
    <col min="3" max="3" width="46.109375" customWidth="1"/>
    <col min="4" max="4" width="8.6640625" customWidth="1"/>
    <col min="5" max="5" width="12.6640625" customWidth="1"/>
    <col min="6" max="6" width="5.44140625" customWidth="1"/>
    <col min="7" max="7" width="12.6640625" customWidth="1"/>
    <col min="8" max="8" width="7.6640625" customWidth="1"/>
    <col min="9" max="9" width="12.6640625" customWidth="1"/>
    <col min="10" max="10" width="3" customWidth="1"/>
    <col min="12" max="12" width="3" customWidth="1"/>
    <col min="14" max="14" width="3" customWidth="1"/>
    <col min="16" max="16" width="3" customWidth="1"/>
    <col min="18" max="18" width="3" customWidth="1"/>
    <col min="20" max="20" width="3" customWidth="1"/>
    <col min="21" max="21" width="12.6640625" customWidth="1"/>
    <col min="22" max="22" width="5.6640625" customWidth="1"/>
    <col min="24" max="24" width="6.5546875" customWidth="1"/>
    <col min="25" max="25" width="18.33203125" customWidth="1"/>
    <col min="26" max="26" width="13.33203125" customWidth="1"/>
    <col min="27" max="27" width="19.44140625" customWidth="1"/>
  </cols>
  <sheetData>
    <row r="1" spans="1:27" x14ac:dyDescent="0.3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</row>
    <row r="2" spans="1:27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9"/>
    </row>
    <row r="3" spans="1:27" x14ac:dyDescent="0.3">
      <c r="A3" s="30" t="s">
        <v>608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2"/>
    </row>
    <row r="4" spans="1:27" ht="15.65" x14ac:dyDescent="0.3">
      <c r="A4" s="1" t="s">
        <v>3</v>
      </c>
      <c r="B4" s="1" t="s">
        <v>4</v>
      </c>
      <c r="C4" s="2" t="s">
        <v>5</v>
      </c>
      <c r="D4" s="23" t="s">
        <v>6</v>
      </c>
      <c r="E4" s="24"/>
      <c r="F4" s="23" t="s">
        <v>7</v>
      </c>
      <c r="G4" s="24"/>
      <c r="H4" s="23" t="s">
        <v>8</v>
      </c>
      <c r="I4" s="24"/>
      <c r="J4" s="23" t="s">
        <v>9</v>
      </c>
      <c r="K4" s="24"/>
      <c r="L4" s="23" t="s">
        <v>10</v>
      </c>
      <c r="M4" s="24"/>
      <c r="N4" s="23" t="s">
        <v>11</v>
      </c>
      <c r="O4" s="24"/>
      <c r="P4" s="23" t="s">
        <v>12</v>
      </c>
      <c r="Q4" s="24"/>
      <c r="R4" s="23" t="s">
        <v>13</v>
      </c>
      <c r="S4" s="24"/>
      <c r="T4" s="23" t="s">
        <v>14</v>
      </c>
      <c r="U4" s="24"/>
      <c r="V4" s="1" t="s">
        <v>15</v>
      </c>
      <c r="W4" s="1" t="s">
        <v>16</v>
      </c>
      <c r="X4" s="3" t="s">
        <v>17</v>
      </c>
      <c r="Y4" s="4" t="s">
        <v>18</v>
      </c>
      <c r="Z4" s="4" t="s">
        <v>19</v>
      </c>
      <c r="AA4" s="4" t="s">
        <v>20</v>
      </c>
    </row>
    <row r="5" spans="1:27" ht="22.55" customHeight="1" x14ac:dyDescent="0.3">
      <c r="A5" s="23" t="s">
        <v>21</v>
      </c>
      <c r="B5" s="25"/>
      <c r="C5" s="24"/>
      <c r="D5" s="5">
        <f ca="1">IFERROR(__xludf.DUMMYFUNCTION("IMPORTRANGE(""https://docs.google.com/spreadsheets/d/1rOGZhKHVnDGFqGTO7UNOJSkSJyQwVuEb2-yhWQit7lw/edit?gid=99713220#gid=99713220"", address(row($D3),column($D3),,,""DM&amp;GT-Q""))"),29)</f>
        <v>29</v>
      </c>
      <c r="E5" s="5" t="s">
        <v>22</v>
      </c>
      <c r="F5" s="5">
        <f ca="1">IFERROR(__xludf.DUMMYFUNCTION("IMPORTRANGE(""https://docs.google.com/spreadsheets/d/1rOGZhKHVnDGFqGTO7UNOJSkSJyQwVuEb2-yhWQit7lw/edit?gid=1654206091#gid=1654206091"", address(row($D3),column($D3),,,""UHV-Q""))"),17)</f>
        <v>17</v>
      </c>
      <c r="G5" s="5" t="s">
        <v>22</v>
      </c>
      <c r="H5" s="5">
        <f ca="1">IFERROR(__xludf.DUMMYFUNCTION("IMPORTRANGE(""https://docs.google.com/spreadsheets/d/1rOGZhKHVnDGFqGTO7UNOJSkSJyQwVuEb2-yhWQit7lw/edit?gid=1540132670#gid=1540132670"", address(row($D3),column($D3),,,""DL&amp;CO-Q""))"),23)</f>
        <v>23</v>
      </c>
      <c r="I5" s="5" t="s">
        <v>22</v>
      </c>
      <c r="J5" s="5">
        <f ca="1">IFERROR(__xludf.DUMMYFUNCTION("IMPORTRANGE(""https://docs.google.com/spreadsheets/d/1rOGZhKHVnDGFqGTO7UNOJSkSJyQwVuEb2-yhWQit7lw/edit?gid=1833881194#gid=1833881194"", address(row($D3),column($D3),,,""ADSA-Q""))"),42)</f>
        <v>42</v>
      </c>
      <c r="K5" s="5" t="s">
        <v>22</v>
      </c>
      <c r="L5" s="5">
        <f ca="1">IFERROR(__xludf.DUMMYFUNCTION("IMPORTRANGE(""https://docs.google.com/spreadsheets/d/1rOGZhKHVnDGFqGTO7UNOJSkSJyQwVuEb2-yhWQit7lw/edit?gid=1675789617#gid=1675789617"", address(row($D3),column($D3),,,""JAVA-Q""))"),14)</f>
        <v>14</v>
      </c>
      <c r="M5" s="5" t="s">
        <v>22</v>
      </c>
      <c r="N5" s="5">
        <f ca="1">IFERROR(__xludf.DUMMYFUNCTION("IMPORTRANGE(""https://docs.google.com/spreadsheets/d/1rOGZhKHVnDGFqGTO7UNOJSkSJyQwVuEb2-yhWQit7lw/edit?gid=1695357766#gid=1695357766"", address(row($D3),column($D3),,,""FOSS LAB-Q""))"),9)</f>
        <v>9</v>
      </c>
      <c r="O5" s="5" t="s">
        <v>22</v>
      </c>
      <c r="P5" s="5">
        <f ca="1">IFERROR(__xludf.DUMMYFUNCTION("IMPORTRANGE(""https://docs.google.com/spreadsheets/d/1rOGZhKHVnDGFqGTO7UNOJSkSJyQwVuEb2-yhWQit7lw/edit?gid=1247110859#gid=1247110859"", address(row($D3),column($D3),,,""PP-Q""))"),18)</f>
        <v>18</v>
      </c>
      <c r="Q5" s="5" t="s">
        <v>22</v>
      </c>
      <c r="R5" s="5">
        <f ca="1">IFERROR(__xludf.DUMMYFUNCTION("IMPORTRANGE(""https://docs.google.com/spreadsheets/d/1rOGZhKHVnDGFqGTO7UNOJSkSJyQwVuEb2-yhWQit7lw/edit?gid=675135389#gid=675135389"", address(row($D3),column($D3),,,""NPTEL-Q""))"),10)</f>
        <v>10</v>
      </c>
      <c r="S5" s="5" t="s">
        <v>22</v>
      </c>
      <c r="T5" s="6">
        <f ca="1">IFERROR(__xludf.DUMMYFUNCTION("IMPORTRANGE(""https://docs.google.com/spreadsheets/d/1rOGZhKHVnDGFqGTO7UNOJSkSJyQwVuEb2-yhWQit7lw/edit?gid=290696378#gid=290696378"", address(row($D3),column($D3),,,""CRT-Q""))"),0)</f>
        <v>0</v>
      </c>
      <c r="U5" s="5" t="s">
        <v>22</v>
      </c>
      <c r="V5" s="6">
        <f t="shared" ref="V5:V79" ca="1" si="0">SUM(D5,F5,H5,J5,L5,N5,P5,R5,T5)</f>
        <v>162</v>
      </c>
      <c r="W5" s="7" t="s">
        <v>22</v>
      </c>
      <c r="X5" s="4">
        <v>0</v>
      </c>
      <c r="Y5" s="4">
        <v>0</v>
      </c>
      <c r="Z5" s="4">
        <f t="shared" ref="Z5:Z79" ca="1" si="1">V5+Y5+X5</f>
        <v>162</v>
      </c>
      <c r="AA5" s="4" t="s">
        <v>22</v>
      </c>
    </row>
    <row r="6" spans="1:27" ht="17.25" customHeight="1" x14ac:dyDescent="0.35">
      <c r="A6" s="8">
        <v>1</v>
      </c>
      <c r="B6" s="9" t="s">
        <v>609</v>
      </c>
      <c r="C6" s="21" t="s">
        <v>610</v>
      </c>
      <c r="D6" s="5">
        <f ca="1">IFERROR(__xludf.DUMMYFUNCTION("IMPORTRANGE(""https://docs.google.com/spreadsheets/d/1rOGZhKHVnDGFqGTO7UNOJSkSJyQwVuEb2-yhWQit7lw/edit?gid=99713220#gid=99713220"", address(row($D4),column($D4),,,""DM&amp;GT-Q""))"),15)</f>
        <v>15</v>
      </c>
      <c r="E6" s="8">
        <f t="shared" ref="E6:E79" ca="1" si="2">D6/D$5*100</f>
        <v>51.724137931034484</v>
      </c>
      <c r="F6" s="5">
        <f ca="1">IFERROR(__xludf.DUMMYFUNCTION("IMPORTRANGE(""https://docs.google.com/spreadsheets/d/1rOGZhKHVnDGFqGTO7UNOJSkSJyQwVuEb2-yhWQit7lw/edit?gid=1654206091#gid=1654206091"", address(row($D4),column($D4),,,""UHV-Q""))"),5)</f>
        <v>5</v>
      </c>
      <c r="G6" s="8">
        <f t="shared" ref="G6:G79" ca="1" si="3">F6/F$5*100</f>
        <v>29.411764705882355</v>
      </c>
      <c r="H6" s="5">
        <f ca="1">IFERROR(__xludf.DUMMYFUNCTION("IMPORTRANGE(""https://docs.google.com/spreadsheets/d/1rOGZhKHVnDGFqGTO7UNOJSkSJyQwVuEb2-yhWQit7lw/edit?gid=1540132670#gid=1540132670"", address(row($D4),column($D4),,,""DL&amp;CO-Q""))"),7)</f>
        <v>7</v>
      </c>
      <c r="I6" s="8">
        <f t="shared" ref="I6:I79" ca="1" si="4">H6/H$5*100</f>
        <v>30.434782608695656</v>
      </c>
      <c r="J6" s="5">
        <f ca="1">IFERROR(__xludf.DUMMYFUNCTION("IMPORTRANGE(""https://docs.google.com/spreadsheets/d/1rOGZhKHVnDGFqGTO7UNOJSkSJyQwVuEb2-yhWQit7lw/edit?gid=1833881194#gid=1833881194"", address(row($D4),column($D4),,,""ADSA-Q""))"),14)</f>
        <v>14</v>
      </c>
      <c r="K6" s="8">
        <f t="shared" ref="K6:K79" ca="1" si="5">J6/J$5*100</f>
        <v>33.333333333333329</v>
      </c>
      <c r="L6" s="5">
        <f ca="1">IFERROR(__xludf.DUMMYFUNCTION("IMPORTRANGE(""https://docs.google.com/spreadsheets/d/1rOGZhKHVnDGFqGTO7UNOJSkSJyQwVuEb2-yhWQit7lw/edit?gid=1675789617#gid=1675789617"", address(row($D4),column($D4),,,""JAVA-Q""))"),6)</f>
        <v>6</v>
      </c>
      <c r="M6" s="8">
        <f t="shared" ref="M6:M79" ca="1" si="6">L6/L$5*100</f>
        <v>42.857142857142854</v>
      </c>
      <c r="N6" s="5">
        <f ca="1">IFERROR(__xludf.DUMMYFUNCTION("IMPORTRANGE(""https://docs.google.com/spreadsheets/d/1rOGZhKHVnDGFqGTO7UNOJSkSJyQwVuEb2-yhWQit7lw/edit?gid=1695357766#gid=1695357766"", address(row($D4),column($D4),,,""FOSS LAB-Q""))"),6)</f>
        <v>6</v>
      </c>
      <c r="O6" s="8">
        <f t="shared" ref="O6:O79" ca="1" si="7">N6/N$5*100</f>
        <v>66.666666666666657</v>
      </c>
      <c r="P6" s="5">
        <f ca="1">IFERROR(__xludf.DUMMYFUNCTION("IMPORTRANGE(""https://docs.google.com/spreadsheets/d/1rOGZhKHVnDGFqGTO7UNOJSkSJyQwVuEb2-yhWQit7lw/edit?gid=1247110859#gid=1247110859"", address(row($D4),column($D4),,,""PP-Q""))"),4)</f>
        <v>4</v>
      </c>
      <c r="Q6" s="8">
        <f t="shared" ref="Q6:Q79" ca="1" si="8">P6/P$5*100</f>
        <v>22.222222222222221</v>
      </c>
      <c r="R6" s="5">
        <f ca="1">IFERROR(__xludf.DUMMYFUNCTION("IMPORTRANGE(""https://docs.google.com/spreadsheets/d/1rOGZhKHVnDGFqGTO7UNOJSkSJyQwVuEb2-yhWQit7lw/edit?gid=675135389#gid=675135389"", address(row($D4),column($D4),,,""NPTEL-Q""))"),6)</f>
        <v>6</v>
      </c>
      <c r="S6" s="8">
        <f t="shared" ref="S6:S79" ca="1" si="9">R6/R$5*100</f>
        <v>60</v>
      </c>
      <c r="T6" s="6">
        <f ca="1">IFERROR(__xludf.DUMMYFUNCTION("IMPORTRANGE(""https://docs.google.com/spreadsheets/d/1rOGZhKHVnDGFqGTO7UNOJSkSJyQwVuEb2-yhWQit7lw/edit?gid=290696378#gid=290696378"", address(row($D4),column($D4),,,""CRT-Q""))"),0)</f>
        <v>0</v>
      </c>
      <c r="U6" s="8" t="e">
        <f t="shared" ref="U6:U79" ca="1" si="10">T6/T$5*100</f>
        <v>#DIV/0!</v>
      </c>
      <c r="V6" s="6">
        <f t="shared" ca="1" si="0"/>
        <v>63</v>
      </c>
      <c r="W6" s="4">
        <f t="shared" ref="W6:W79" ca="1" si="11">ROUND(V6/$V$5*100,0)</f>
        <v>39</v>
      </c>
      <c r="X6" s="4">
        <v>0</v>
      </c>
      <c r="Y6" s="4">
        <v>0</v>
      </c>
      <c r="Z6" s="4">
        <f t="shared" ca="1" si="1"/>
        <v>63</v>
      </c>
      <c r="AA6" s="10">
        <f t="shared" ref="AA6:AA79" ca="1" si="12">ROUND(Z6/$Z$5*100,0)</f>
        <v>39</v>
      </c>
    </row>
    <row r="7" spans="1:27" ht="17.25" customHeight="1" x14ac:dyDescent="0.35">
      <c r="A7" s="8">
        <v>2</v>
      </c>
      <c r="B7" s="9" t="s">
        <v>611</v>
      </c>
      <c r="C7" s="21" t="s">
        <v>612</v>
      </c>
      <c r="D7" s="5">
        <f ca="1">IFERROR(__xludf.DUMMYFUNCTION("IMPORTRANGE(""https://docs.google.com/spreadsheets/d/1rOGZhKHVnDGFqGTO7UNOJSkSJyQwVuEb2-yhWQit7lw/edit?gid=99713220#gid=99713220"", address(row($D5),column($D5),,,""DM&amp;GT-Q""))"),18)</f>
        <v>18</v>
      </c>
      <c r="E7" s="8">
        <f t="shared" ca="1" si="2"/>
        <v>62.068965517241381</v>
      </c>
      <c r="F7" s="5">
        <f ca="1">IFERROR(__xludf.DUMMYFUNCTION("IMPORTRANGE(""https://docs.google.com/spreadsheets/d/1rOGZhKHVnDGFqGTO7UNOJSkSJyQwVuEb2-yhWQit7lw/edit?gid=1654206091#gid=1654206091"", address(row($D5),column($D5),,,""UHV-Q""))"),7)</f>
        <v>7</v>
      </c>
      <c r="G7" s="8">
        <f t="shared" ca="1" si="3"/>
        <v>41.17647058823529</v>
      </c>
      <c r="H7" s="5">
        <f ca="1">IFERROR(__xludf.DUMMYFUNCTION("IMPORTRANGE(""https://docs.google.com/spreadsheets/d/1rOGZhKHVnDGFqGTO7UNOJSkSJyQwVuEb2-yhWQit7lw/edit?gid=1540132670#gid=1540132670"", address(row($D5),column($D5),,,""DL&amp;CO-Q""))"),6)</f>
        <v>6</v>
      </c>
      <c r="I7" s="8">
        <f t="shared" ca="1" si="4"/>
        <v>26.086956521739129</v>
      </c>
      <c r="J7" s="5">
        <f ca="1">IFERROR(__xludf.DUMMYFUNCTION("IMPORTRANGE(""https://docs.google.com/spreadsheets/d/1rOGZhKHVnDGFqGTO7UNOJSkSJyQwVuEb2-yhWQit7lw/edit?gid=1833881194#gid=1833881194"", address(row($D5),column($D5),,,""ADSA-Q""))"),21)</f>
        <v>21</v>
      </c>
      <c r="K7" s="8">
        <f t="shared" ca="1" si="5"/>
        <v>50</v>
      </c>
      <c r="L7" s="5">
        <f ca="1">IFERROR(__xludf.DUMMYFUNCTION("IMPORTRANGE(""https://docs.google.com/spreadsheets/d/1rOGZhKHVnDGFqGTO7UNOJSkSJyQwVuEb2-yhWQit7lw/edit?gid=1675789617#gid=1675789617"", address(row($D5),column($D5),,,""JAVA-Q""))"),6)</f>
        <v>6</v>
      </c>
      <c r="M7" s="8">
        <f t="shared" ca="1" si="6"/>
        <v>42.857142857142854</v>
      </c>
      <c r="N7" s="5">
        <f ca="1">IFERROR(__xludf.DUMMYFUNCTION("IMPORTRANGE(""https://docs.google.com/spreadsheets/d/1rOGZhKHVnDGFqGTO7UNOJSkSJyQwVuEb2-yhWQit7lw/edit?gid=1695357766#gid=1695357766"", address(row($D5),column($D5),,,""FOSS LAB-Q""))"),3)</f>
        <v>3</v>
      </c>
      <c r="O7" s="8">
        <f t="shared" ca="1" si="7"/>
        <v>33.333333333333329</v>
      </c>
      <c r="P7" s="5">
        <f ca="1">IFERROR(__xludf.DUMMYFUNCTION("IMPORTRANGE(""https://docs.google.com/spreadsheets/d/1rOGZhKHVnDGFqGTO7UNOJSkSJyQwVuEb2-yhWQit7lw/edit?gid=1247110859#gid=1247110859"", address(row($D5),column($D5),,,""PP-Q""))"),12)</f>
        <v>12</v>
      </c>
      <c r="Q7" s="8">
        <f t="shared" ca="1" si="8"/>
        <v>66.666666666666657</v>
      </c>
      <c r="R7" s="5">
        <f ca="1">IFERROR(__xludf.DUMMYFUNCTION("IMPORTRANGE(""https://docs.google.com/spreadsheets/d/1rOGZhKHVnDGFqGTO7UNOJSkSJyQwVuEb2-yhWQit7lw/edit?gid=675135389#gid=675135389"", address(row($D5),column($D5),,,""NPTEL-Q""))"),6)</f>
        <v>6</v>
      </c>
      <c r="S7" s="5">
        <f t="shared" ca="1" si="9"/>
        <v>60</v>
      </c>
      <c r="T7" s="6">
        <f ca="1">IFERROR(__xludf.DUMMYFUNCTION("IMPORTRANGE(""https://docs.google.com/spreadsheets/d/1rOGZhKHVnDGFqGTO7UNOJSkSJyQwVuEb2-yhWQit7lw/edit?gid=290696378#gid=290696378"", address(row($D5),column($D5),,,""CRT-Q""))"),0)</f>
        <v>0</v>
      </c>
      <c r="U7" s="8" t="e">
        <f t="shared" ca="1" si="10"/>
        <v>#DIV/0!</v>
      </c>
      <c r="V7" s="6">
        <f t="shared" ca="1" si="0"/>
        <v>79</v>
      </c>
      <c r="W7" s="4">
        <f t="shared" ca="1" si="11"/>
        <v>49</v>
      </c>
      <c r="X7" s="4">
        <v>0</v>
      </c>
      <c r="Y7" s="4">
        <v>0</v>
      </c>
      <c r="Z7" s="4">
        <f t="shared" ca="1" si="1"/>
        <v>79</v>
      </c>
      <c r="AA7" s="10">
        <f t="shared" ca="1" si="12"/>
        <v>49</v>
      </c>
    </row>
    <row r="8" spans="1:27" ht="17.25" customHeight="1" x14ac:dyDescent="0.35">
      <c r="A8" s="8">
        <v>3</v>
      </c>
      <c r="B8" s="9" t="s">
        <v>613</v>
      </c>
      <c r="C8" s="21" t="s">
        <v>614</v>
      </c>
      <c r="D8" s="5">
        <f ca="1">IFERROR(__xludf.DUMMYFUNCTION("IMPORTRANGE(""https://docs.google.com/spreadsheets/d/1rOGZhKHVnDGFqGTO7UNOJSkSJyQwVuEb2-yhWQit7lw/edit?gid=99713220#gid=99713220"", address(row($D6),column($D6),,,""DM&amp;GT-Q""))"),24)</f>
        <v>24</v>
      </c>
      <c r="E8" s="8">
        <f t="shared" ca="1" si="2"/>
        <v>82.758620689655174</v>
      </c>
      <c r="F8" s="5">
        <f ca="1">IFERROR(__xludf.DUMMYFUNCTION("IMPORTRANGE(""https://docs.google.com/spreadsheets/d/1rOGZhKHVnDGFqGTO7UNOJSkSJyQwVuEb2-yhWQit7lw/edit?gid=1654206091#gid=1654206091"", address(row($D6),column($D6),,,""UHV-Q""))"),12)</f>
        <v>12</v>
      </c>
      <c r="G8" s="8">
        <f t="shared" ca="1" si="3"/>
        <v>70.588235294117652</v>
      </c>
      <c r="H8" s="5">
        <f ca="1">IFERROR(__xludf.DUMMYFUNCTION("IMPORTRANGE(""https://docs.google.com/spreadsheets/d/1rOGZhKHVnDGFqGTO7UNOJSkSJyQwVuEb2-yhWQit7lw/edit?gid=1540132670#gid=1540132670"", address(row($D6),column($D6),,,""DL&amp;CO-Q""))"),10)</f>
        <v>10</v>
      </c>
      <c r="I8" s="8">
        <f t="shared" ca="1" si="4"/>
        <v>43.478260869565219</v>
      </c>
      <c r="J8" s="5">
        <f ca="1">IFERROR(__xludf.DUMMYFUNCTION("IMPORTRANGE(""https://docs.google.com/spreadsheets/d/1rOGZhKHVnDGFqGTO7UNOJSkSJyQwVuEb2-yhWQit7lw/edit?gid=1833881194#gid=1833881194"", address(row($D6),column($D6),,,""ADSA-Q""))"),29)</f>
        <v>29</v>
      </c>
      <c r="K8" s="8">
        <f t="shared" ca="1" si="5"/>
        <v>69.047619047619051</v>
      </c>
      <c r="L8" s="5">
        <f ca="1">IFERROR(__xludf.DUMMYFUNCTION("IMPORTRANGE(""https://docs.google.com/spreadsheets/d/1rOGZhKHVnDGFqGTO7UNOJSkSJyQwVuEb2-yhWQit7lw/edit?gid=1675789617#gid=1675789617"", address(row($D6),column($D6),,,""JAVA-Q""))"),12)</f>
        <v>12</v>
      </c>
      <c r="M8" s="8">
        <f t="shared" ca="1" si="6"/>
        <v>85.714285714285708</v>
      </c>
      <c r="N8" s="5">
        <f ca="1">IFERROR(__xludf.DUMMYFUNCTION("IMPORTRANGE(""https://docs.google.com/spreadsheets/d/1rOGZhKHVnDGFqGTO7UNOJSkSJyQwVuEb2-yhWQit7lw/edit?gid=1695357766#gid=1695357766"", address(row($D6),column($D6),,,""FOSS LAB-Q""))"),9)</f>
        <v>9</v>
      </c>
      <c r="O8" s="8">
        <f t="shared" ca="1" si="7"/>
        <v>100</v>
      </c>
      <c r="P8" s="5">
        <f ca="1">IFERROR(__xludf.DUMMYFUNCTION("IMPORTRANGE(""https://docs.google.com/spreadsheets/d/1rOGZhKHVnDGFqGTO7UNOJSkSJyQwVuEb2-yhWQit7lw/edit?gid=1247110859#gid=1247110859"", address(row($D6),column($D6),,,""PP-Q""))"),10)</f>
        <v>10</v>
      </c>
      <c r="Q8" s="8">
        <f t="shared" ca="1" si="8"/>
        <v>55.555555555555557</v>
      </c>
      <c r="R8" s="5">
        <f ca="1">IFERROR(__xludf.DUMMYFUNCTION("IMPORTRANGE(""https://docs.google.com/spreadsheets/d/1rOGZhKHVnDGFqGTO7UNOJSkSJyQwVuEb2-yhWQit7lw/edit?gid=675135389#gid=675135389"", address(row($D6),column($D6),,,""NPTEL-Q""))"),10)</f>
        <v>10</v>
      </c>
      <c r="S8" s="5">
        <f t="shared" ca="1" si="9"/>
        <v>100</v>
      </c>
      <c r="T8" s="6">
        <f ca="1">IFERROR(__xludf.DUMMYFUNCTION("IMPORTRANGE(""https://docs.google.com/spreadsheets/d/1rOGZhKHVnDGFqGTO7UNOJSkSJyQwVuEb2-yhWQit7lw/edit?gid=290696378#gid=290696378"", address(row($D6),column($D6),,,""CRT-Q""))"),0)</f>
        <v>0</v>
      </c>
      <c r="U8" s="8" t="e">
        <f t="shared" ca="1" si="10"/>
        <v>#DIV/0!</v>
      </c>
      <c r="V8" s="6">
        <f t="shared" ca="1" si="0"/>
        <v>116</v>
      </c>
      <c r="W8" s="4">
        <f t="shared" ca="1" si="11"/>
        <v>72</v>
      </c>
      <c r="X8" s="4">
        <v>0</v>
      </c>
      <c r="Y8" s="4">
        <v>0</v>
      </c>
      <c r="Z8" s="4">
        <f t="shared" ca="1" si="1"/>
        <v>116</v>
      </c>
      <c r="AA8" s="10">
        <f t="shared" ca="1" si="12"/>
        <v>72</v>
      </c>
    </row>
    <row r="9" spans="1:27" ht="17.25" customHeight="1" x14ac:dyDescent="0.35">
      <c r="A9" s="8">
        <v>4</v>
      </c>
      <c r="B9" s="9" t="s">
        <v>615</v>
      </c>
      <c r="C9" s="21" t="s">
        <v>616</v>
      </c>
      <c r="D9" s="5">
        <f ca="1">IFERROR(__xludf.DUMMYFUNCTION("IMPORTRANGE(""https://docs.google.com/spreadsheets/d/1rOGZhKHVnDGFqGTO7UNOJSkSJyQwVuEb2-yhWQit7lw/edit?gid=99713220#gid=99713220"", address(row($D7),column($D7),,,""DM&amp;GT-Q""))"),23)</f>
        <v>23</v>
      </c>
      <c r="E9" s="8">
        <f t="shared" ca="1" si="2"/>
        <v>79.310344827586206</v>
      </c>
      <c r="F9" s="5">
        <f ca="1">IFERROR(__xludf.DUMMYFUNCTION("IMPORTRANGE(""https://docs.google.com/spreadsheets/d/1rOGZhKHVnDGFqGTO7UNOJSkSJyQwVuEb2-yhWQit7lw/edit?gid=1654206091#gid=1654206091"", address(row($D7),column($D7),,,""UHV-Q""))"),12)</f>
        <v>12</v>
      </c>
      <c r="G9" s="8">
        <f t="shared" ca="1" si="3"/>
        <v>70.588235294117652</v>
      </c>
      <c r="H9" s="5">
        <f ca="1">IFERROR(__xludf.DUMMYFUNCTION("IMPORTRANGE(""https://docs.google.com/spreadsheets/d/1rOGZhKHVnDGFqGTO7UNOJSkSJyQwVuEb2-yhWQit7lw/edit?gid=1540132670#gid=1540132670"", address(row($D7),column($D7),,,""DL&amp;CO-Q""))"),12)</f>
        <v>12</v>
      </c>
      <c r="I9" s="8">
        <f t="shared" ca="1" si="4"/>
        <v>52.173913043478258</v>
      </c>
      <c r="J9" s="5">
        <f ca="1">IFERROR(__xludf.DUMMYFUNCTION("IMPORTRANGE(""https://docs.google.com/spreadsheets/d/1rOGZhKHVnDGFqGTO7UNOJSkSJyQwVuEb2-yhWQit7lw/edit?gid=1833881194#gid=1833881194"", address(row($D7),column($D7),,,""ADSA-Q""))"),30)</f>
        <v>30</v>
      </c>
      <c r="K9" s="8">
        <f t="shared" ca="1" si="5"/>
        <v>71.428571428571431</v>
      </c>
      <c r="L9" s="5">
        <f ca="1">IFERROR(__xludf.DUMMYFUNCTION("IMPORTRANGE(""https://docs.google.com/spreadsheets/d/1rOGZhKHVnDGFqGTO7UNOJSkSJyQwVuEb2-yhWQit7lw/edit?gid=1675789617#gid=1675789617"", address(row($D7),column($D7),,,""JAVA-Q""))"),12)</f>
        <v>12</v>
      </c>
      <c r="M9" s="8">
        <f t="shared" ca="1" si="6"/>
        <v>85.714285714285708</v>
      </c>
      <c r="N9" s="5">
        <f ca="1">IFERROR(__xludf.DUMMYFUNCTION("IMPORTRANGE(""https://docs.google.com/spreadsheets/d/1rOGZhKHVnDGFqGTO7UNOJSkSJyQwVuEb2-yhWQit7lw/edit?gid=1695357766#gid=1695357766"", address(row($D7),column($D7),,,""FOSS LAB-Q""))"),6)</f>
        <v>6</v>
      </c>
      <c r="O9" s="8">
        <f t="shared" ca="1" si="7"/>
        <v>66.666666666666657</v>
      </c>
      <c r="P9" s="5">
        <f ca="1">IFERROR(__xludf.DUMMYFUNCTION("IMPORTRANGE(""https://docs.google.com/spreadsheets/d/1rOGZhKHVnDGFqGTO7UNOJSkSJyQwVuEb2-yhWQit7lw/edit?gid=1247110859#gid=1247110859"", address(row($D7),column($D7),,,""PP-Q""))"),8)</f>
        <v>8</v>
      </c>
      <c r="Q9" s="8">
        <f t="shared" ca="1" si="8"/>
        <v>44.444444444444443</v>
      </c>
      <c r="R9" s="5">
        <f ca="1">IFERROR(__xludf.DUMMYFUNCTION("IMPORTRANGE(""https://docs.google.com/spreadsheets/d/1rOGZhKHVnDGFqGTO7UNOJSkSJyQwVuEb2-yhWQit7lw/edit?gid=675135389#gid=675135389"", address(row($D7),column($D7),,,""NPTEL-Q""))"),10)</f>
        <v>10</v>
      </c>
      <c r="S9" s="5">
        <f t="shared" ca="1" si="9"/>
        <v>100</v>
      </c>
      <c r="T9" s="6">
        <f ca="1">IFERROR(__xludf.DUMMYFUNCTION("IMPORTRANGE(""https://docs.google.com/spreadsheets/d/1rOGZhKHVnDGFqGTO7UNOJSkSJyQwVuEb2-yhWQit7lw/edit?gid=290696378#gid=290696378"", address(row($D7),column($D7),,,""CRT-Q""))"),0)</f>
        <v>0</v>
      </c>
      <c r="U9" s="8" t="e">
        <f t="shared" ca="1" si="10"/>
        <v>#DIV/0!</v>
      </c>
      <c r="V9" s="6">
        <f t="shared" ca="1" si="0"/>
        <v>113</v>
      </c>
      <c r="W9" s="4">
        <f t="shared" ca="1" si="11"/>
        <v>70</v>
      </c>
      <c r="X9" s="4">
        <v>0</v>
      </c>
      <c r="Y9" s="4">
        <v>0</v>
      </c>
      <c r="Z9" s="4">
        <f t="shared" ca="1" si="1"/>
        <v>113</v>
      </c>
      <c r="AA9" s="10">
        <f t="shared" ca="1" si="12"/>
        <v>70</v>
      </c>
    </row>
    <row r="10" spans="1:27" ht="17.25" customHeight="1" x14ac:dyDescent="0.35">
      <c r="A10" s="8">
        <v>5</v>
      </c>
      <c r="B10" s="9" t="s">
        <v>617</v>
      </c>
      <c r="C10" s="21" t="s">
        <v>618</v>
      </c>
      <c r="D10" s="5">
        <f ca="1">IFERROR(__xludf.DUMMYFUNCTION("IMPORTRANGE(""https://docs.google.com/spreadsheets/d/1rOGZhKHVnDGFqGTO7UNOJSkSJyQwVuEb2-yhWQit7lw/edit?gid=99713220#gid=99713220"", address(row($D8),column($D8),,,""DM&amp;GT-Q""))"),22)</f>
        <v>22</v>
      </c>
      <c r="E10" s="8">
        <f t="shared" ca="1" si="2"/>
        <v>75.862068965517238</v>
      </c>
      <c r="F10" s="5">
        <f ca="1">IFERROR(__xludf.DUMMYFUNCTION("IMPORTRANGE(""https://docs.google.com/spreadsheets/d/1rOGZhKHVnDGFqGTO7UNOJSkSJyQwVuEb2-yhWQit7lw/edit?gid=1654206091#gid=1654206091"", address(row($D8),column($D8),,,""UHV-Q""))"),8)</f>
        <v>8</v>
      </c>
      <c r="G10" s="8">
        <f t="shared" ca="1" si="3"/>
        <v>47.058823529411761</v>
      </c>
      <c r="H10" s="5">
        <f ca="1">IFERROR(__xludf.DUMMYFUNCTION("IMPORTRANGE(""https://docs.google.com/spreadsheets/d/1rOGZhKHVnDGFqGTO7UNOJSkSJyQwVuEb2-yhWQit7lw/edit?gid=1540132670#gid=1540132670"", address(row($D8),column($D8),,,""DL&amp;CO-Q""))"),11)</f>
        <v>11</v>
      </c>
      <c r="I10" s="8">
        <f t="shared" ca="1" si="4"/>
        <v>47.826086956521742</v>
      </c>
      <c r="J10" s="5">
        <f ca="1">IFERROR(__xludf.DUMMYFUNCTION("IMPORTRANGE(""https://docs.google.com/spreadsheets/d/1rOGZhKHVnDGFqGTO7UNOJSkSJyQwVuEb2-yhWQit7lw/edit?gid=1833881194#gid=1833881194"", address(row($D8),column($D8),,,""ADSA-Q""))"),31)</f>
        <v>31</v>
      </c>
      <c r="K10" s="8">
        <f t="shared" ca="1" si="5"/>
        <v>73.80952380952381</v>
      </c>
      <c r="L10" s="5">
        <f ca="1">IFERROR(__xludf.DUMMYFUNCTION("IMPORTRANGE(""https://docs.google.com/spreadsheets/d/1rOGZhKHVnDGFqGTO7UNOJSkSJyQwVuEb2-yhWQit7lw/edit?gid=1675789617#gid=1675789617"", address(row($D8),column($D8),,,""JAVA-Q""))"),10)</f>
        <v>10</v>
      </c>
      <c r="M10" s="8">
        <f t="shared" ca="1" si="6"/>
        <v>71.428571428571431</v>
      </c>
      <c r="N10" s="5">
        <f ca="1">IFERROR(__xludf.DUMMYFUNCTION("IMPORTRANGE(""https://docs.google.com/spreadsheets/d/1rOGZhKHVnDGFqGTO7UNOJSkSJyQwVuEb2-yhWQit7lw/edit?gid=1695357766#gid=1695357766"", address(row($D8),column($D8),,,""FOSS LAB-Q""))"),6)</f>
        <v>6</v>
      </c>
      <c r="O10" s="8">
        <f t="shared" ca="1" si="7"/>
        <v>66.666666666666657</v>
      </c>
      <c r="P10" s="5">
        <f ca="1">IFERROR(__xludf.DUMMYFUNCTION("IMPORTRANGE(""https://docs.google.com/spreadsheets/d/1rOGZhKHVnDGFqGTO7UNOJSkSJyQwVuEb2-yhWQit7lw/edit?gid=1247110859#gid=1247110859"", address(row($D8),column($D8),,,""PP-Q""))"),10)</f>
        <v>10</v>
      </c>
      <c r="Q10" s="8">
        <f t="shared" ca="1" si="8"/>
        <v>55.555555555555557</v>
      </c>
      <c r="R10" s="5">
        <f ca="1">IFERROR(__xludf.DUMMYFUNCTION("IMPORTRANGE(""https://docs.google.com/spreadsheets/d/1rOGZhKHVnDGFqGTO7UNOJSkSJyQwVuEb2-yhWQit7lw/edit?gid=675135389#gid=675135389"", address(row($D8),column($D8),,,""NPTEL-Q""))"),8)</f>
        <v>8</v>
      </c>
      <c r="S10" s="5">
        <f t="shared" ca="1" si="9"/>
        <v>80</v>
      </c>
      <c r="T10" s="6">
        <f ca="1">IFERROR(__xludf.DUMMYFUNCTION("IMPORTRANGE(""https://docs.google.com/spreadsheets/d/1rOGZhKHVnDGFqGTO7UNOJSkSJyQwVuEb2-yhWQit7lw/edit?gid=290696378#gid=290696378"", address(row($D8),column($D8),,,""CRT-Q""))"),0)</f>
        <v>0</v>
      </c>
      <c r="U10" s="8" t="e">
        <f t="shared" ca="1" si="10"/>
        <v>#DIV/0!</v>
      </c>
      <c r="V10" s="6">
        <f t="shared" ca="1" si="0"/>
        <v>106</v>
      </c>
      <c r="W10" s="4">
        <f t="shared" ca="1" si="11"/>
        <v>65</v>
      </c>
      <c r="X10" s="4">
        <v>0</v>
      </c>
      <c r="Y10" s="4">
        <v>0</v>
      </c>
      <c r="Z10" s="4">
        <f t="shared" ca="1" si="1"/>
        <v>106</v>
      </c>
      <c r="AA10" s="10">
        <f t="shared" ca="1" si="12"/>
        <v>65</v>
      </c>
    </row>
    <row r="11" spans="1:27" ht="17.25" customHeight="1" x14ac:dyDescent="0.35">
      <c r="A11" s="8">
        <v>6</v>
      </c>
      <c r="B11" s="9" t="s">
        <v>619</v>
      </c>
      <c r="C11" s="21" t="s">
        <v>620</v>
      </c>
      <c r="D11" s="5">
        <f ca="1">IFERROR(__xludf.DUMMYFUNCTION("IMPORTRANGE(""https://docs.google.com/spreadsheets/d/1rOGZhKHVnDGFqGTO7UNOJSkSJyQwVuEb2-yhWQit7lw/edit?gid=99713220#gid=99713220"", address(row($D9),column($D9),,,""DM&amp;GT-Q""))"),26)</f>
        <v>26</v>
      </c>
      <c r="E11" s="8">
        <f t="shared" ca="1" si="2"/>
        <v>89.65517241379311</v>
      </c>
      <c r="F11" s="5">
        <f ca="1">IFERROR(__xludf.DUMMYFUNCTION("IMPORTRANGE(""https://docs.google.com/spreadsheets/d/1rOGZhKHVnDGFqGTO7UNOJSkSJyQwVuEb2-yhWQit7lw/edit?gid=1654206091#gid=1654206091"", address(row($D9),column($D9),,,""UHV-Q""))"),11)</f>
        <v>11</v>
      </c>
      <c r="G11" s="8">
        <f t="shared" ca="1" si="3"/>
        <v>64.705882352941174</v>
      </c>
      <c r="H11" s="5">
        <f ca="1">IFERROR(__xludf.DUMMYFUNCTION("IMPORTRANGE(""https://docs.google.com/spreadsheets/d/1rOGZhKHVnDGFqGTO7UNOJSkSJyQwVuEb2-yhWQit7lw/edit?gid=1540132670#gid=1540132670"", address(row($D9),column($D9),,,""DL&amp;CO-Q""))"),11)</f>
        <v>11</v>
      </c>
      <c r="I11" s="8">
        <f t="shared" ca="1" si="4"/>
        <v>47.826086956521742</v>
      </c>
      <c r="J11" s="5">
        <f ca="1">IFERROR(__xludf.DUMMYFUNCTION("IMPORTRANGE(""https://docs.google.com/spreadsheets/d/1rOGZhKHVnDGFqGTO7UNOJSkSJyQwVuEb2-yhWQit7lw/edit?gid=1833881194#gid=1833881194"", address(row($D9),column($D9),,,""ADSA-Q""))"),32)</f>
        <v>32</v>
      </c>
      <c r="K11" s="8">
        <f t="shared" ca="1" si="5"/>
        <v>76.19047619047619</v>
      </c>
      <c r="L11" s="5">
        <f ca="1">IFERROR(__xludf.DUMMYFUNCTION("IMPORTRANGE(""https://docs.google.com/spreadsheets/d/1rOGZhKHVnDGFqGTO7UNOJSkSJyQwVuEb2-yhWQit7lw/edit?gid=1675789617#gid=1675789617"", address(row($D9),column($D9),,,""JAVA-Q""))"),12)</f>
        <v>12</v>
      </c>
      <c r="M11" s="8">
        <f t="shared" ca="1" si="6"/>
        <v>85.714285714285708</v>
      </c>
      <c r="N11" s="5">
        <f ca="1">IFERROR(__xludf.DUMMYFUNCTION("IMPORTRANGE(""https://docs.google.com/spreadsheets/d/1rOGZhKHVnDGFqGTO7UNOJSkSJyQwVuEb2-yhWQit7lw/edit?gid=1695357766#gid=1695357766"", address(row($D9),column($D9),,,""FOSS LAB-Q""))"),6)</f>
        <v>6</v>
      </c>
      <c r="O11" s="8">
        <f t="shared" ca="1" si="7"/>
        <v>66.666666666666657</v>
      </c>
      <c r="P11" s="5">
        <f ca="1">IFERROR(__xludf.DUMMYFUNCTION("IMPORTRANGE(""https://docs.google.com/spreadsheets/d/1rOGZhKHVnDGFqGTO7UNOJSkSJyQwVuEb2-yhWQit7lw/edit?gid=1247110859#gid=1247110859"", address(row($D9),column($D9),,,""PP-Q""))"),10)</f>
        <v>10</v>
      </c>
      <c r="Q11" s="8">
        <f t="shared" ca="1" si="8"/>
        <v>55.555555555555557</v>
      </c>
      <c r="R11" s="5">
        <f ca="1">IFERROR(__xludf.DUMMYFUNCTION("IMPORTRANGE(""https://docs.google.com/spreadsheets/d/1rOGZhKHVnDGFqGTO7UNOJSkSJyQwVuEb2-yhWQit7lw/edit?gid=675135389#gid=675135389"", address(row($D9),column($D9),,,""NPTEL-Q""))"),8)</f>
        <v>8</v>
      </c>
      <c r="S11" s="5">
        <f t="shared" ca="1" si="9"/>
        <v>80</v>
      </c>
      <c r="T11" s="6">
        <f ca="1">IFERROR(__xludf.DUMMYFUNCTION("IMPORTRANGE(""https://docs.google.com/spreadsheets/d/1rOGZhKHVnDGFqGTO7UNOJSkSJyQwVuEb2-yhWQit7lw/edit?gid=290696378#gid=290696378"", address(row($D9),column($D9),,,""CRT-Q""))"),0)</f>
        <v>0</v>
      </c>
      <c r="U11" s="8" t="e">
        <f t="shared" ca="1" si="10"/>
        <v>#DIV/0!</v>
      </c>
      <c r="V11" s="6">
        <f t="shared" ca="1" si="0"/>
        <v>116</v>
      </c>
      <c r="W11" s="4">
        <f t="shared" ca="1" si="11"/>
        <v>72</v>
      </c>
      <c r="X11" s="4">
        <v>0</v>
      </c>
      <c r="Y11" s="4">
        <v>0</v>
      </c>
      <c r="Z11" s="4">
        <f t="shared" ca="1" si="1"/>
        <v>116</v>
      </c>
      <c r="AA11" s="10">
        <f t="shared" ca="1" si="12"/>
        <v>72</v>
      </c>
    </row>
    <row r="12" spans="1:27" ht="17.25" customHeight="1" x14ac:dyDescent="0.35">
      <c r="A12" s="8">
        <v>7</v>
      </c>
      <c r="B12" s="9" t="s">
        <v>621</v>
      </c>
      <c r="C12" s="21" t="s">
        <v>622</v>
      </c>
      <c r="D12" s="5">
        <f ca="1">IFERROR(__xludf.DUMMYFUNCTION("IMPORTRANGE(""https://docs.google.com/spreadsheets/d/1rOGZhKHVnDGFqGTO7UNOJSkSJyQwVuEb2-yhWQit7lw/edit?gid=99713220#gid=99713220"", address(row($D10),column($D10),,,""DM&amp;GT-Q""))"),20)</f>
        <v>20</v>
      </c>
      <c r="E12" s="8">
        <f t="shared" ca="1" si="2"/>
        <v>68.965517241379317</v>
      </c>
      <c r="F12" s="5">
        <f ca="1">IFERROR(__xludf.DUMMYFUNCTION("IMPORTRANGE(""https://docs.google.com/spreadsheets/d/1rOGZhKHVnDGFqGTO7UNOJSkSJyQwVuEb2-yhWQit7lw/edit?gid=1654206091#gid=1654206091"", address(row($D10),column($D10),,,""UHV-Q""))"),8)</f>
        <v>8</v>
      </c>
      <c r="G12" s="8">
        <f t="shared" ca="1" si="3"/>
        <v>47.058823529411761</v>
      </c>
      <c r="H12" s="5">
        <f ca="1">IFERROR(__xludf.DUMMYFUNCTION("IMPORTRANGE(""https://docs.google.com/spreadsheets/d/1rOGZhKHVnDGFqGTO7UNOJSkSJyQwVuEb2-yhWQit7lw/edit?gid=1540132670#gid=1540132670"", address(row($D10),column($D10),,,""DL&amp;CO-Q""))"),11)</f>
        <v>11</v>
      </c>
      <c r="I12" s="8">
        <f t="shared" ca="1" si="4"/>
        <v>47.826086956521742</v>
      </c>
      <c r="J12" s="5">
        <f ca="1">IFERROR(__xludf.DUMMYFUNCTION("IMPORTRANGE(""https://docs.google.com/spreadsheets/d/1rOGZhKHVnDGFqGTO7UNOJSkSJyQwVuEb2-yhWQit7lw/edit?gid=1833881194#gid=1833881194"", address(row($D10),column($D10),,,""ADSA-Q""))"),28)</f>
        <v>28</v>
      </c>
      <c r="K12" s="8">
        <f t="shared" ca="1" si="5"/>
        <v>66.666666666666657</v>
      </c>
      <c r="L12" s="5">
        <f ca="1">IFERROR(__xludf.DUMMYFUNCTION("IMPORTRANGE(""https://docs.google.com/spreadsheets/d/1rOGZhKHVnDGFqGTO7UNOJSkSJyQwVuEb2-yhWQit7lw/edit?gid=1675789617#gid=1675789617"", address(row($D10),column($D10),,,""JAVA-Q""))"),10)</f>
        <v>10</v>
      </c>
      <c r="M12" s="8">
        <f t="shared" ca="1" si="6"/>
        <v>71.428571428571431</v>
      </c>
      <c r="N12" s="5">
        <f ca="1">IFERROR(__xludf.DUMMYFUNCTION("IMPORTRANGE(""https://docs.google.com/spreadsheets/d/1rOGZhKHVnDGFqGTO7UNOJSkSJyQwVuEb2-yhWQit7lw/edit?gid=1695357766#gid=1695357766"", address(row($D10),column($D10),,,""FOSS LAB-Q""))"),9)</f>
        <v>9</v>
      </c>
      <c r="O12" s="8">
        <f t="shared" ca="1" si="7"/>
        <v>100</v>
      </c>
      <c r="P12" s="5">
        <f ca="1">IFERROR(__xludf.DUMMYFUNCTION("IMPORTRANGE(""https://docs.google.com/spreadsheets/d/1rOGZhKHVnDGFqGTO7UNOJSkSJyQwVuEb2-yhWQit7lw/edit?gid=1247110859#gid=1247110859"", address(row($D10),column($D10),,,""PP-Q""))"),8)</f>
        <v>8</v>
      </c>
      <c r="Q12" s="8">
        <f t="shared" ca="1" si="8"/>
        <v>44.444444444444443</v>
      </c>
      <c r="R12" s="5">
        <f ca="1">IFERROR(__xludf.DUMMYFUNCTION("IMPORTRANGE(""https://docs.google.com/spreadsheets/d/1rOGZhKHVnDGFqGTO7UNOJSkSJyQwVuEb2-yhWQit7lw/edit?gid=675135389#gid=675135389"", address(row($D10),column($D10),,,""NPTEL-Q""))"),8)</f>
        <v>8</v>
      </c>
      <c r="S12" s="5">
        <f t="shared" ca="1" si="9"/>
        <v>80</v>
      </c>
      <c r="T12" s="6">
        <f ca="1">IFERROR(__xludf.DUMMYFUNCTION("IMPORTRANGE(""https://docs.google.com/spreadsheets/d/1rOGZhKHVnDGFqGTO7UNOJSkSJyQwVuEb2-yhWQit7lw/edit?gid=290696378#gid=290696378"", address(row($D10),column($D10),,,""CRT-Q""))"),0)</f>
        <v>0</v>
      </c>
      <c r="U12" s="8" t="e">
        <f t="shared" ca="1" si="10"/>
        <v>#DIV/0!</v>
      </c>
      <c r="V12" s="6">
        <f t="shared" ca="1" si="0"/>
        <v>102</v>
      </c>
      <c r="W12" s="4">
        <f t="shared" ca="1" si="11"/>
        <v>63</v>
      </c>
      <c r="X12" s="4">
        <v>0</v>
      </c>
      <c r="Y12" s="4">
        <v>0</v>
      </c>
      <c r="Z12" s="4">
        <f t="shared" ca="1" si="1"/>
        <v>102</v>
      </c>
      <c r="AA12" s="10">
        <f t="shared" ca="1" si="12"/>
        <v>63</v>
      </c>
    </row>
    <row r="13" spans="1:27" ht="17.25" customHeight="1" x14ac:dyDescent="0.35">
      <c r="A13" s="8">
        <v>8</v>
      </c>
      <c r="B13" s="9" t="s">
        <v>623</v>
      </c>
      <c r="C13" s="21" t="s">
        <v>624</v>
      </c>
      <c r="D13" s="5">
        <f ca="1">IFERROR(__xludf.DUMMYFUNCTION("IMPORTRANGE(""https://docs.google.com/spreadsheets/d/1rOGZhKHVnDGFqGTO7UNOJSkSJyQwVuEb2-yhWQit7lw/edit?gid=99713220#gid=99713220"", address(row($D11),column($D11),,,""DM&amp;GT-Q""))"),29)</f>
        <v>29</v>
      </c>
      <c r="E13" s="8">
        <f t="shared" ca="1" si="2"/>
        <v>100</v>
      </c>
      <c r="F13" s="5">
        <f ca="1">IFERROR(__xludf.DUMMYFUNCTION("IMPORTRANGE(""https://docs.google.com/spreadsheets/d/1rOGZhKHVnDGFqGTO7UNOJSkSJyQwVuEb2-yhWQit7lw/edit?gid=1654206091#gid=1654206091"", address(row($D11),column($D11),,,""UHV-Q""))"),17)</f>
        <v>17</v>
      </c>
      <c r="G13" s="8">
        <f t="shared" ca="1" si="3"/>
        <v>100</v>
      </c>
      <c r="H13" s="5">
        <f ca="1">IFERROR(__xludf.DUMMYFUNCTION("IMPORTRANGE(""https://docs.google.com/spreadsheets/d/1rOGZhKHVnDGFqGTO7UNOJSkSJyQwVuEb2-yhWQit7lw/edit?gid=1540132670#gid=1540132670"", address(row($D11),column($D11),,,""DL&amp;CO-Q""))"),21)</f>
        <v>21</v>
      </c>
      <c r="I13" s="8">
        <f t="shared" ca="1" si="4"/>
        <v>91.304347826086953</v>
      </c>
      <c r="J13" s="5">
        <f ca="1">IFERROR(__xludf.DUMMYFUNCTION("IMPORTRANGE(""https://docs.google.com/spreadsheets/d/1rOGZhKHVnDGFqGTO7UNOJSkSJyQwVuEb2-yhWQit7lw/edit?gid=1833881194#gid=1833881194"", address(row($D11),column($D11),,,""ADSA-Q""))"),38)</f>
        <v>38</v>
      </c>
      <c r="K13" s="8">
        <f t="shared" ca="1" si="5"/>
        <v>90.476190476190482</v>
      </c>
      <c r="L13" s="5">
        <f ca="1">IFERROR(__xludf.DUMMYFUNCTION("IMPORTRANGE(""https://docs.google.com/spreadsheets/d/1rOGZhKHVnDGFqGTO7UNOJSkSJyQwVuEb2-yhWQit7lw/edit?gid=1675789617#gid=1675789617"", address(row($D11),column($D11),,,""JAVA-Q""))"),12)</f>
        <v>12</v>
      </c>
      <c r="M13" s="8">
        <f t="shared" ca="1" si="6"/>
        <v>85.714285714285708</v>
      </c>
      <c r="N13" s="5">
        <f ca="1">IFERROR(__xludf.DUMMYFUNCTION("IMPORTRANGE(""https://docs.google.com/spreadsheets/d/1rOGZhKHVnDGFqGTO7UNOJSkSJyQwVuEb2-yhWQit7lw/edit?gid=1695357766#gid=1695357766"", address(row($D11),column($D11),,,""FOSS LAB-Q""))"),9)</f>
        <v>9</v>
      </c>
      <c r="O13" s="8">
        <f t="shared" ca="1" si="7"/>
        <v>100</v>
      </c>
      <c r="P13" s="5">
        <f ca="1">IFERROR(__xludf.DUMMYFUNCTION("IMPORTRANGE(""https://docs.google.com/spreadsheets/d/1rOGZhKHVnDGFqGTO7UNOJSkSJyQwVuEb2-yhWQit7lw/edit?gid=1247110859#gid=1247110859"", address(row($D11),column($D11),,,""PP-Q""))"),18)</f>
        <v>18</v>
      </c>
      <c r="Q13" s="8">
        <f t="shared" ca="1" si="8"/>
        <v>100</v>
      </c>
      <c r="R13" s="5">
        <f ca="1">IFERROR(__xludf.DUMMYFUNCTION("IMPORTRANGE(""https://docs.google.com/spreadsheets/d/1rOGZhKHVnDGFqGTO7UNOJSkSJyQwVuEb2-yhWQit7lw/edit?gid=675135389#gid=675135389"", address(row($D11),column($D11),,,""NPTEL-Q""))"),10)</f>
        <v>10</v>
      </c>
      <c r="S13" s="5">
        <f t="shared" ca="1" si="9"/>
        <v>100</v>
      </c>
      <c r="T13" s="6">
        <f ca="1">IFERROR(__xludf.DUMMYFUNCTION("IMPORTRANGE(""https://docs.google.com/spreadsheets/d/1rOGZhKHVnDGFqGTO7UNOJSkSJyQwVuEb2-yhWQit7lw/edit?gid=290696378#gid=290696378"", address(row($D11),column($D11),,,""CRT-Q""))"),0)</f>
        <v>0</v>
      </c>
      <c r="U13" s="8" t="e">
        <f t="shared" ca="1" si="10"/>
        <v>#DIV/0!</v>
      </c>
      <c r="V13" s="6">
        <f t="shared" ca="1" si="0"/>
        <v>154</v>
      </c>
      <c r="W13" s="4">
        <f t="shared" ca="1" si="11"/>
        <v>95</v>
      </c>
      <c r="X13" s="4">
        <v>0</v>
      </c>
      <c r="Y13" s="4">
        <v>0</v>
      </c>
      <c r="Z13" s="4">
        <f t="shared" ca="1" si="1"/>
        <v>154</v>
      </c>
      <c r="AA13" s="10">
        <f t="shared" ca="1" si="12"/>
        <v>95</v>
      </c>
    </row>
    <row r="14" spans="1:27" ht="17.25" customHeight="1" x14ac:dyDescent="0.35">
      <c r="A14" s="8">
        <v>9</v>
      </c>
      <c r="B14" s="9" t="s">
        <v>625</v>
      </c>
      <c r="C14" s="21" t="s">
        <v>626</v>
      </c>
      <c r="D14" s="5">
        <f ca="1">IFERROR(__xludf.DUMMYFUNCTION("IMPORTRANGE(""https://docs.google.com/spreadsheets/d/1rOGZhKHVnDGFqGTO7UNOJSkSJyQwVuEb2-yhWQit7lw/edit?gid=99713220#gid=99713220"", address(row($D12),column($D12),,,""DM&amp;GT-Q""))"),26)</f>
        <v>26</v>
      </c>
      <c r="E14" s="8">
        <f t="shared" ca="1" si="2"/>
        <v>89.65517241379311</v>
      </c>
      <c r="F14" s="5">
        <f ca="1">IFERROR(__xludf.DUMMYFUNCTION("IMPORTRANGE(""https://docs.google.com/spreadsheets/d/1rOGZhKHVnDGFqGTO7UNOJSkSJyQwVuEb2-yhWQit7lw/edit?gid=1654206091#gid=1654206091"", address(row($D12),column($D12),,,""UHV-Q""))"),12)</f>
        <v>12</v>
      </c>
      <c r="G14" s="8">
        <f t="shared" ca="1" si="3"/>
        <v>70.588235294117652</v>
      </c>
      <c r="H14" s="5">
        <f ca="1">IFERROR(__xludf.DUMMYFUNCTION("IMPORTRANGE(""https://docs.google.com/spreadsheets/d/1rOGZhKHVnDGFqGTO7UNOJSkSJyQwVuEb2-yhWQit7lw/edit?gid=1540132670#gid=1540132670"", address(row($D12),column($D12),,,""DL&amp;CO-Q""))"),17)</f>
        <v>17</v>
      </c>
      <c r="I14" s="8">
        <f t="shared" ca="1" si="4"/>
        <v>73.91304347826086</v>
      </c>
      <c r="J14" s="5">
        <f ca="1">IFERROR(__xludf.DUMMYFUNCTION("IMPORTRANGE(""https://docs.google.com/spreadsheets/d/1rOGZhKHVnDGFqGTO7UNOJSkSJyQwVuEb2-yhWQit7lw/edit?gid=1833881194#gid=1833881194"", address(row($D12),column($D12),,,""ADSA-Q""))"),34)</f>
        <v>34</v>
      </c>
      <c r="K14" s="8">
        <f t="shared" ca="1" si="5"/>
        <v>80.952380952380949</v>
      </c>
      <c r="L14" s="5">
        <f ca="1">IFERROR(__xludf.DUMMYFUNCTION("IMPORTRANGE(""https://docs.google.com/spreadsheets/d/1rOGZhKHVnDGFqGTO7UNOJSkSJyQwVuEb2-yhWQit7lw/edit?gid=1675789617#gid=1675789617"", address(row($D12),column($D12),,,""JAVA-Q""))"),10)</f>
        <v>10</v>
      </c>
      <c r="M14" s="8">
        <f t="shared" ca="1" si="6"/>
        <v>71.428571428571431</v>
      </c>
      <c r="N14" s="5">
        <f ca="1">IFERROR(__xludf.DUMMYFUNCTION("IMPORTRANGE(""https://docs.google.com/spreadsheets/d/1rOGZhKHVnDGFqGTO7UNOJSkSJyQwVuEb2-yhWQit7lw/edit?gid=1695357766#gid=1695357766"", address(row($D12),column($D12),,,""FOSS LAB-Q""))"),9)</f>
        <v>9</v>
      </c>
      <c r="O14" s="8">
        <f t="shared" ca="1" si="7"/>
        <v>100</v>
      </c>
      <c r="P14" s="5">
        <f ca="1">IFERROR(__xludf.DUMMYFUNCTION("IMPORTRANGE(""https://docs.google.com/spreadsheets/d/1rOGZhKHVnDGFqGTO7UNOJSkSJyQwVuEb2-yhWQit7lw/edit?gid=1247110859#gid=1247110859"", address(row($D12),column($D12),,,""PP-Q""))"),12)</f>
        <v>12</v>
      </c>
      <c r="Q14" s="8">
        <f t="shared" ca="1" si="8"/>
        <v>66.666666666666657</v>
      </c>
      <c r="R14" s="5">
        <f ca="1">IFERROR(__xludf.DUMMYFUNCTION("IMPORTRANGE(""https://docs.google.com/spreadsheets/d/1rOGZhKHVnDGFqGTO7UNOJSkSJyQwVuEb2-yhWQit7lw/edit?gid=675135389#gid=675135389"", address(row($D12),column($D12),,,""NPTEL-Q""))"),8)</f>
        <v>8</v>
      </c>
      <c r="S14" s="5">
        <f t="shared" ca="1" si="9"/>
        <v>80</v>
      </c>
      <c r="T14" s="6">
        <f ca="1">IFERROR(__xludf.DUMMYFUNCTION("IMPORTRANGE(""https://docs.google.com/spreadsheets/d/1rOGZhKHVnDGFqGTO7UNOJSkSJyQwVuEb2-yhWQit7lw/edit?gid=290696378#gid=290696378"", address(row($D12),column($D12),,,""CRT-Q""))"),0)</f>
        <v>0</v>
      </c>
      <c r="U14" s="8" t="e">
        <f t="shared" ca="1" si="10"/>
        <v>#DIV/0!</v>
      </c>
      <c r="V14" s="6">
        <f t="shared" ca="1" si="0"/>
        <v>128</v>
      </c>
      <c r="W14" s="4">
        <f t="shared" ca="1" si="11"/>
        <v>79</v>
      </c>
      <c r="X14" s="4">
        <v>0</v>
      </c>
      <c r="Y14" s="4">
        <v>0</v>
      </c>
      <c r="Z14" s="4">
        <f t="shared" ca="1" si="1"/>
        <v>128</v>
      </c>
      <c r="AA14" s="10">
        <f t="shared" ca="1" si="12"/>
        <v>79</v>
      </c>
    </row>
    <row r="15" spans="1:27" ht="17.25" customHeight="1" x14ac:dyDescent="0.35">
      <c r="A15" s="8">
        <v>10</v>
      </c>
      <c r="B15" s="9" t="s">
        <v>627</v>
      </c>
      <c r="C15" s="21" t="s">
        <v>628</v>
      </c>
      <c r="D15" s="5">
        <f ca="1">IFERROR(__xludf.DUMMYFUNCTION("IMPORTRANGE(""https://docs.google.com/spreadsheets/d/1rOGZhKHVnDGFqGTO7UNOJSkSJyQwVuEb2-yhWQit7lw/edit?gid=99713220#gid=99713220"", address(row($D13),column($D13),,,""DM&amp;GT-Q""))"),25)</f>
        <v>25</v>
      </c>
      <c r="E15" s="8">
        <f t="shared" ca="1" si="2"/>
        <v>86.206896551724128</v>
      </c>
      <c r="F15" s="5">
        <f ca="1">IFERROR(__xludf.DUMMYFUNCTION("IMPORTRANGE(""https://docs.google.com/spreadsheets/d/1rOGZhKHVnDGFqGTO7UNOJSkSJyQwVuEb2-yhWQit7lw/edit?gid=1654206091#gid=1654206091"", address(row($D13),column($D13),,,""UHV-Q""))"),14)</f>
        <v>14</v>
      </c>
      <c r="G15" s="8">
        <f t="shared" ca="1" si="3"/>
        <v>82.35294117647058</v>
      </c>
      <c r="H15" s="5">
        <f ca="1">IFERROR(__xludf.DUMMYFUNCTION("IMPORTRANGE(""https://docs.google.com/spreadsheets/d/1rOGZhKHVnDGFqGTO7UNOJSkSJyQwVuEb2-yhWQit7lw/edit?gid=1540132670#gid=1540132670"", address(row($D13),column($D13),,,""DL&amp;CO-Q""))"),13)</f>
        <v>13</v>
      </c>
      <c r="I15" s="8">
        <f t="shared" ca="1" si="4"/>
        <v>56.521739130434781</v>
      </c>
      <c r="J15" s="5">
        <f ca="1">IFERROR(__xludf.DUMMYFUNCTION("IMPORTRANGE(""https://docs.google.com/spreadsheets/d/1rOGZhKHVnDGFqGTO7UNOJSkSJyQwVuEb2-yhWQit7lw/edit?gid=1833881194#gid=1833881194"", address(row($D13),column($D13),,,""ADSA-Q""))"),34)</f>
        <v>34</v>
      </c>
      <c r="K15" s="8">
        <f t="shared" ca="1" si="5"/>
        <v>80.952380952380949</v>
      </c>
      <c r="L15" s="5">
        <f ca="1">IFERROR(__xludf.DUMMYFUNCTION("IMPORTRANGE(""https://docs.google.com/spreadsheets/d/1rOGZhKHVnDGFqGTO7UNOJSkSJyQwVuEb2-yhWQit7lw/edit?gid=1675789617#gid=1675789617"", address(row($D13),column($D13),,,""JAVA-Q""))"),10)</f>
        <v>10</v>
      </c>
      <c r="M15" s="8">
        <f t="shared" ca="1" si="6"/>
        <v>71.428571428571431</v>
      </c>
      <c r="N15" s="5">
        <f ca="1">IFERROR(__xludf.DUMMYFUNCTION("IMPORTRANGE(""https://docs.google.com/spreadsheets/d/1rOGZhKHVnDGFqGTO7UNOJSkSJyQwVuEb2-yhWQit7lw/edit?gid=1695357766#gid=1695357766"", address(row($D13),column($D13),,,""FOSS LAB-Q""))"),6)</f>
        <v>6</v>
      </c>
      <c r="O15" s="8">
        <f t="shared" ca="1" si="7"/>
        <v>66.666666666666657</v>
      </c>
      <c r="P15" s="5">
        <f ca="1">IFERROR(__xludf.DUMMYFUNCTION("IMPORTRANGE(""https://docs.google.com/spreadsheets/d/1rOGZhKHVnDGFqGTO7UNOJSkSJyQwVuEb2-yhWQit7lw/edit?gid=1247110859#gid=1247110859"", address(row($D13),column($D13),,,""PP-Q""))"),18)</f>
        <v>18</v>
      </c>
      <c r="Q15" s="8">
        <f t="shared" ca="1" si="8"/>
        <v>100</v>
      </c>
      <c r="R15" s="5">
        <f ca="1">IFERROR(__xludf.DUMMYFUNCTION("IMPORTRANGE(""https://docs.google.com/spreadsheets/d/1rOGZhKHVnDGFqGTO7UNOJSkSJyQwVuEb2-yhWQit7lw/edit?gid=675135389#gid=675135389"", address(row($D13),column($D13),,,""NPTEL-Q""))"),6)</f>
        <v>6</v>
      </c>
      <c r="S15" s="5">
        <f t="shared" ca="1" si="9"/>
        <v>60</v>
      </c>
      <c r="T15" s="6">
        <f ca="1">IFERROR(__xludf.DUMMYFUNCTION("IMPORTRANGE(""https://docs.google.com/spreadsheets/d/1rOGZhKHVnDGFqGTO7UNOJSkSJyQwVuEb2-yhWQit7lw/edit?gid=290696378#gid=290696378"", address(row($D13),column($D13),,,""CRT-Q""))"),0)</f>
        <v>0</v>
      </c>
      <c r="U15" s="8" t="e">
        <f t="shared" ca="1" si="10"/>
        <v>#DIV/0!</v>
      </c>
      <c r="V15" s="6">
        <f t="shared" ca="1" si="0"/>
        <v>126</v>
      </c>
      <c r="W15" s="4">
        <f t="shared" ca="1" si="11"/>
        <v>78</v>
      </c>
      <c r="X15" s="4">
        <v>0</v>
      </c>
      <c r="Y15" s="4">
        <v>0</v>
      </c>
      <c r="Z15" s="4">
        <f t="shared" ca="1" si="1"/>
        <v>126</v>
      </c>
      <c r="AA15" s="10">
        <f t="shared" ca="1" si="12"/>
        <v>78</v>
      </c>
    </row>
    <row r="16" spans="1:27" ht="17.25" customHeight="1" x14ac:dyDescent="0.35">
      <c r="A16" s="8">
        <v>11</v>
      </c>
      <c r="B16" s="9" t="s">
        <v>629</v>
      </c>
      <c r="C16" s="21" t="s">
        <v>630</v>
      </c>
      <c r="D16" s="5">
        <f ca="1">IFERROR(__xludf.DUMMYFUNCTION("IMPORTRANGE(""https://docs.google.com/spreadsheets/d/1rOGZhKHVnDGFqGTO7UNOJSkSJyQwVuEb2-yhWQit7lw/edit?gid=99713220#gid=99713220"", address(row($D14),column($D14),,,""DM&amp;GT-Q""))"),23)</f>
        <v>23</v>
      </c>
      <c r="E16" s="8">
        <f t="shared" ca="1" si="2"/>
        <v>79.310344827586206</v>
      </c>
      <c r="F16" s="5">
        <f ca="1">IFERROR(__xludf.DUMMYFUNCTION("IMPORTRANGE(""https://docs.google.com/spreadsheets/d/1rOGZhKHVnDGFqGTO7UNOJSkSJyQwVuEb2-yhWQit7lw/edit?gid=1654206091#gid=1654206091"", address(row($D14),column($D14),,,""UHV-Q""))"),12)</f>
        <v>12</v>
      </c>
      <c r="G16" s="8">
        <f t="shared" ca="1" si="3"/>
        <v>70.588235294117652</v>
      </c>
      <c r="H16" s="5">
        <f ca="1">IFERROR(__xludf.DUMMYFUNCTION("IMPORTRANGE(""https://docs.google.com/spreadsheets/d/1rOGZhKHVnDGFqGTO7UNOJSkSJyQwVuEb2-yhWQit7lw/edit?gid=1540132670#gid=1540132670"", address(row($D14),column($D14),,,""DL&amp;CO-Q""))"),15)</f>
        <v>15</v>
      </c>
      <c r="I16" s="8">
        <f t="shared" ca="1" si="4"/>
        <v>65.217391304347828</v>
      </c>
      <c r="J16" s="5">
        <f ca="1">IFERROR(__xludf.DUMMYFUNCTION("IMPORTRANGE(""https://docs.google.com/spreadsheets/d/1rOGZhKHVnDGFqGTO7UNOJSkSJyQwVuEb2-yhWQit7lw/edit?gid=1833881194#gid=1833881194"", address(row($D14),column($D14),,,""ADSA-Q""))"),27)</f>
        <v>27</v>
      </c>
      <c r="K16" s="8">
        <f t="shared" ca="1" si="5"/>
        <v>64.285714285714292</v>
      </c>
      <c r="L16" s="5">
        <f ca="1">IFERROR(__xludf.DUMMYFUNCTION("IMPORTRANGE(""https://docs.google.com/spreadsheets/d/1rOGZhKHVnDGFqGTO7UNOJSkSJyQwVuEb2-yhWQit7lw/edit?gid=1675789617#gid=1675789617"", address(row($D14),column($D14),,,""JAVA-Q""))"),8)</f>
        <v>8</v>
      </c>
      <c r="M16" s="8">
        <f t="shared" ca="1" si="6"/>
        <v>57.142857142857139</v>
      </c>
      <c r="N16" s="5">
        <f ca="1">IFERROR(__xludf.DUMMYFUNCTION("IMPORTRANGE(""https://docs.google.com/spreadsheets/d/1rOGZhKHVnDGFqGTO7UNOJSkSJyQwVuEb2-yhWQit7lw/edit?gid=1695357766#gid=1695357766"", address(row($D14),column($D14),,,""FOSS LAB-Q""))"),9)</f>
        <v>9</v>
      </c>
      <c r="O16" s="8">
        <f t="shared" ca="1" si="7"/>
        <v>100</v>
      </c>
      <c r="P16" s="5">
        <f ca="1">IFERROR(__xludf.DUMMYFUNCTION("IMPORTRANGE(""https://docs.google.com/spreadsheets/d/1rOGZhKHVnDGFqGTO7UNOJSkSJyQwVuEb2-yhWQit7lw/edit?gid=1247110859#gid=1247110859"", address(row($D14),column($D14),,,""PP-Q""))"),12)</f>
        <v>12</v>
      </c>
      <c r="Q16" s="8">
        <f t="shared" ca="1" si="8"/>
        <v>66.666666666666657</v>
      </c>
      <c r="R16" s="5">
        <f ca="1">IFERROR(__xludf.DUMMYFUNCTION("IMPORTRANGE(""https://docs.google.com/spreadsheets/d/1rOGZhKHVnDGFqGTO7UNOJSkSJyQwVuEb2-yhWQit7lw/edit?gid=675135389#gid=675135389"", address(row($D14),column($D14),,,""NPTEL-Q""))"),8)</f>
        <v>8</v>
      </c>
      <c r="S16" s="5">
        <f t="shared" ca="1" si="9"/>
        <v>80</v>
      </c>
      <c r="T16" s="6">
        <f ca="1">IFERROR(__xludf.DUMMYFUNCTION("IMPORTRANGE(""https://docs.google.com/spreadsheets/d/1rOGZhKHVnDGFqGTO7UNOJSkSJyQwVuEb2-yhWQit7lw/edit?gid=290696378#gid=290696378"", address(row($D14),column($D14),,,""CRT-Q""))"),0)</f>
        <v>0</v>
      </c>
      <c r="U16" s="8" t="e">
        <f t="shared" ca="1" si="10"/>
        <v>#DIV/0!</v>
      </c>
      <c r="V16" s="6">
        <f t="shared" ca="1" si="0"/>
        <v>114</v>
      </c>
      <c r="W16" s="4">
        <f t="shared" ca="1" si="11"/>
        <v>70</v>
      </c>
      <c r="X16" s="4">
        <v>0</v>
      </c>
      <c r="Y16" s="4">
        <v>0</v>
      </c>
      <c r="Z16" s="4">
        <f t="shared" ca="1" si="1"/>
        <v>114</v>
      </c>
      <c r="AA16" s="10">
        <f t="shared" ca="1" si="12"/>
        <v>70</v>
      </c>
    </row>
    <row r="17" spans="1:27" ht="17.25" customHeight="1" x14ac:dyDescent="0.35">
      <c r="A17" s="8">
        <v>12</v>
      </c>
      <c r="B17" s="9" t="s">
        <v>631</v>
      </c>
      <c r="C17" s="21" t="s">
        <v>632</v>
      </c>
      <c r="D17" s="5">
        <f ca="1">IFERROR(__xludf.DUMMYFUNCTION("IMPORTRANGE(""https://docs.google.com/spreadsheets/d/1rOGZhKHVnDGFqGTO7UNOJSkSJyQwVuEb2-yhWQit7lw/edit?gid=99713220#gid=99713220"", address(row($D15),column($D15),,,""DM&amp;GT-Q""))"),18)</f>
        <v>18</v>
      </c>
      <c r="E17" s="8">
        <f t="shared" ca="1" si="2"/>
        <v>62.068965517241381</v>
      </c>
      <c r="F17" s="5">
        <f ca="1">IFERROR(__xludf.DUMMYFUNCTION("IMPORTRANGE(""https://docs.google.com/spreadsheets/d/1rOGZhKHVnDGFqGTO7UNOJSkSJyQwVuEb2-yhWQit7lw/edit?gid=1654206091#gid=1654206091"", address(row($D15),column($D15),,,""UHV-Q""))"),4)</f>
        <v>4</v>
      </c>
      <c r="G17" s="8">
        <f t="shared" ca="1" si="3"/>
        <v>23.52941176470588</v>
      </c>
      <c r="H17" s="5">
        <f ca="1">IFERROR(__xludf.DUMMYFUNCTION("IMPORTRANGE(""https://docs.google.com/spreadsheets/d/1rOGZhKHVnDGFqGTO7UNOJSkSJyQwVuEb2-yhWQit7lw/edit?gid=1540132670#gid=1540132670"", address(row($D15),column($D15),,,""DL&amp;CO-Q""))"),5)</f>
        <v>5</v>
      </c>
      <c r="I17" s="8">
        <f t="shared" ca="1" si="4"/>
        <v>21.739130434782609</v>
      </c>
      <c r="J17" s="5">
        <f ca="1">IFERROR(__xludf.DUMMYFUNCTION("IMPORTRANGE(""https://docs.google.com/spreadsheets/d/1rOGZhKHVnDGFqGTO7UNOJSkSJyQwVuEb2-yhWQit7lw/edit?gid=1833881194#gid=1833881194"", address(row($D15),column($D15),,,""ADSA-Q""))"),23)</f>
        <v>23</v>
      </c>
      <c r="K17" s="8">
        <f t="shared" ca="1" si="5"/>
        <v>54.761904761904766</v>
      </c>
      <c r="L17" s="5">
        <f ca="1">IFERROR(__xludf.DUMMYFUNCTION("IMPORTRANGE(""https://docs.google.com/spreadsheets/d/1rOGZhKHVnDGFqGTO7UNOJSkSJyQwVuEb2-yhWQit7lw/edit?gid=1675789617#gid=1675789617"", address(row($D15),column($D15),,,""JAVA-Q""))"),8)</f>
        <v>8</v>
      </c>
      <c r="M17" s="8">
        <f t="shared" ca="1" si="6"/>
        <v>57.142857142857139</v>
      </c>
      <c r="N17" s="5">
        <f ca="1">IFERROR(__xludf.DUMMYFUNCTION("IMPORTRANGE(""https://docs.google.com/spreadsheets/d/1rOGZhKHVnDGFqGTO7UNOJSkSJyQwVuEb2-yhWQit7lw/edit?gid=1695357766#gid=1695357766"", address(row($D15),column($D15),,,""FOSS LAB-Q""))"),9)</f>
        <v>9</v>
      </c>
      <c r="O17" s="8">
        <f t="shared" ca="1" si="7"/>
        <v>100</v>
      </c>
      <c r="P17" s="5">
        <f ca="1">IFERROR(__xludf.DUMMYFUNCTION("IMPORTRANGE(""https://docs.google.com/spreadsheets/d/1rOGZhKHVnDGFqGTO7UNOJSkSJyQwVuEb2-yhWQit7lw/edit?gid=1247110859#gid=1247110859"", address(row($D15),column($D15),,,""PP-Q""))"),6)</f>
        <v>6</v>
      </c>
      <c r="Q17" s="8">
        <f t="shared" ca="1" si="8"/>
        <v>33.333333333333329</v>
      </c>
      <c r="R17" s="5">
        <f ca="1">IFERROR(__xludf.DUMMYFUNCTION("IMPORTRANGE(""https://docs.google.com/spreadsheets/d/1rOGZhKHVnDGFqGTO7UNOJSkSJyQwVuEb2-yhWQit7lw/edit?gid=675135389#gid=675135389"", address(row($D15),column($D15),,,""NPTEL-Q""))"),8)</f>
        <v>8</v>
      </c>
      <c r="S17" s="5">
        <f t="shared" ca="1" si="9"/>
        <v>80</v>
      </c>
      <c r="T17" s="6">
        <f ca="1">IFERROR(__xludf.DUMMYFUNCTION("IMPORTRANGE(""https://docs.google.com/spreadsheets/d/1rOGZhKHVnDGFqGTO7UNOJSkSJyQwVuEb2-yhWQit7lw/edit?gid=290696378#gid=290696378"", address(row($D15),column($D15),,,""CRT-Q""))"),0)</f>
        <v>0</v>
      </c>
      <c r="U17" s="8" t="e">
        <f t="shared" ca="1" si="10"/>
        <v>#DIV/0!</v>
      </c>
      <c r="V17" s="6">
        <f t="shared" ca="1" si="0"/>
        <v>81</v>
      </c>
      <c r="W17" s="4">
        <f t="shared" ca="1" si="11"/>
        <v>50</v>
      </c>
      <c r="X17" s="4">
        <v>0</v>
      </c>
      <c r="Y17" s="4">
        <v>0</v>
      </c>
      <c r="Z17" s="4">
        <f t="shared" ca="1" si="1"/>
        <v>81</v>
      </c>
      <c r="AA17" s="10">
        <f t="shared" ca="1" si="12"/>
        <v>50</v>
      </c>
    </row>
    <row r="18" spans="1:27" ht="17.25" customHeight="1" x14ac:dyDescent="0.35">
      <c r="A18" s="8">
        <v>13</v>
      </c>
      <c r="B18" s="9" t="s">
        <v>633</v>
      </c>
      <c r="C18" s="21" t="s">
        <v>634</v>
      </c>
      <c r="D18" s="5">
        <f ca="1">IFERROR(__xludf.DUMMYFUNCTION("IMPORTRANGE(""https://docs.google.com/spreadsheets/d/1rOGZhKHVnDGFqGTO7UNOJSkSJyQwVuEb2-yhWQit7lw/edit?gid=99713220#gid=99713220"", address(row($D16),column($D16),,,""DM&amp;GT-Q""))"),22)</f>
        <v>22</v>
      </c>
      <c r="E18" s="8">
        <f t="shared" ca="1" si="2"/>
        <v>75.862068965517238</v>
      </c>
      <c r="F18" s="5">
        <f ca="1">IFERROR(__xludf.DUMMYFUNCTION("IMPORTRANGE(""https://docs.google.com/spreadsheets/d/1rOGZhKHVnDGFqGTO7UNOJSkSJyQwVuEb2-yhWQit7lw/edit?gid=1654206091#gid=1654206091"", address(row($D16),column($D16),,,""UHV-Q""))"),14)</f>
        <v>14</v>
      </c>
      <c r="G18" s="8">
        <f t="shared" ca="1" si="3"/>
        <v>82.35294117647058</v>
      </c>
      <c r="H18" s="5">
        <f ca="1">IFERROR(__xludf.DUMMYFUNCTION("IMPORTRANGE(""https://docs.google.com/spreadsheets/d/1rOGZhKHVnDGFqGTO7UNOJSkSJyQwVuEb2-yhWQit7lw/edit?gid=1540132670#gid=1540132670"", address(row($D16),column($D16),,,""DL&amp;CO-Q""))"),13)</f>
        <v>13</v>
      </c>
      <c r="I18" s="8">
        <f t="shared" ca="1" si="4"/>
        <v>56.521739130434781</v>
      </c>
      <c r="J18" s="5">
        <f ca="1">IFERROR(__xludf.DUMMYFUNCTION("IMPORTRANGE(""https://docs.google.com/spreadsheets/d/1rOGZhKHVnDGFqGTO7UNOJSkSJyQwVuEb2-yhWQit7lw/edit?gid=1833881194#gid=1833881194"", address(row($D16),column($D16),,,""ADSA-Q""))"),33)</f>
        <v>33</v>
      </c>
      <c r="K18" s="8">
        <f t="shared" ca="1" si="5"/>
        <v>78.571428571428569</v>
      </c>
      <c r="L18" s="5">
        <f ca="1">IFERROR(__xludf.DUMMYFUNCTION("IMPORTRANGE(""https://docs.google.com/spreadsheets/d/1rOGZhKHVnDGFqGTO7UNOJSkSJyQwVuEb2-yhWQit7lw/edit?gid=1675789617#gid=1675789617"", address(row($D16),column($D16),,,""JAVA-Q""))"),10)</f>
        <v>10</v>
      </c>
      <c r="M18" s="8">
        <f t="shared" ca="1" si="6"/>
        <v>71.428571428571431</v>
      </c>
      <c r="N18" s="5">
        <f ca="1">IFERROR(__xludf.DUMMYFUNCTION("IMPORTRANGE(""https://docs.google.com/spreadsheets/d/1rOGZhKHVnDGFqGTO7UNOJSkSJyQwVuEb2-yhWQit7lw/edit?gid=1695357766#gid=1695357766"", address(row($D16),column($D16),,,""FOSS LAB-Q""))"),6)</f>
        <v>6</v>
      </c>
      <c r="O18" s="8">
        <f t="shared" ca="1" si="7"/>
        <v>66.666666666666657</v>
      </c>
      <c r="P18" s="5">
        <f ca="1">IFERROR(__xludf.DUMMYFUNCTION("IMPORTRANGE(""https://docs.google.com/spreadsheets/d/1rOGZhKHVnDGFqGTO7UNOJSkSJyQwVuEb2-yhWQit7lw/edit?gid=1247110859#gid=1247110859"", address(row($D16),column($D16),,,""PP-Q""))"),12)</f>
        <v>12</v>
      </c>
      <c r="Q18" s="8">
        <f t="shared" ca="1" si="8"/>
        <v>66.666666666666657</v>
      </c>
      <c r="R18" s="5">
        <f ca="1">IFERROR(__xludf.DUMMYFUNCTION("IMPORTRANGE(""https://docs.google.com/spreadsheets/d/1rOGZhKHVnDGFqGTO7UNOJSkSJyQwVuEb2-yhWQit7lw/edit?gid=675135389#gid=675135389"", address(row($D16),column($D16),,,""NPTEL-Q""))"),8)</f>
        <v>8</v>
      </c>
      <c r="S18" s="5">
        <f t="shared" ca="1" si="9"/>
        <v>80</v>
      </c>
      <c r="T18" s="6">
        <f ca="1">IFERROR(__xludf.DUMMYFUNCTION("IMPORTRANGE(""https://docs.google.com/spreadsheets/d/1rOGZhKHVnDGFqGTO7UNOJSkSJyQwVuEb2-yhWQit7lw/edit?gid=290696378#gid=290696378"", address(row($D16),column($D16),,,""CRT-Q""))"),0)</f>
        <v>0</v>
      </c>
      <c r="U18" s="8" t="e">
        <f t="shared" ca="1" si="10"/>
        <v>#DIV/0!</v>
      </c>
      <c r="V18" s="6">
        <f t="shared" ca="1" si="0"/>
        <v>118</v>
      </c>
      <c r="W18" s="4">
        <f t="shared" ca="1" si="11"/>
        <v>73</v>
      </c>
      <c r="X18" s="4">
        <v>0</v>
      </c>
      <c r="Y18" s="4">
        <v>0</v>
      </c>
      <c r="Z18" s="4">
        <f t="shared" ca="1" si="1"/>
        <v>118</v>
      </c>
      <c r="AA18" s="10">
        <f t="shared" ca="1" si="12"/>
        <v>73</v>
      </c>
    </row>
    <row r="19" spans="1:27" ht="17.25" customHeight="1" x14ac:dyDescent="0.35">
      <c r="A19" s="8">
        <v>14</v>
      </c>
      <c r="B19" s="9" t="s">
        <v>635</v>
      </c>
      <c r="C19" s="21" t="s">
        <v>636</v>
      </c>
      <c r="D19" s="5">
        <f ca="1">IFERROR(__xludf.DUMMYFUNCTION("IMPORTRANGE(""https://docs.google.com/spreadsheets/d/1rOGZhKHVnDGFqGTO7UNOJSkSJyQwVuEb2-yhWQit7lw/edit?gid=99713220#gid=99713220"", address(row($D17),column($D17),,,""DM&amp;GT-Q""))"),20)</f>
        <v>20</v>
      </c>
      <c r="E19" s="8">
        <f t="shared" ca="1" si="2"/>
        <v>68.965517241379317</v>
      </c>
      <c r="F19" s="5">
        <f ca="1">IFERROR(__xludf.DUMMYFUNCTION("IMPORTRANGE(""https://docs.google.com/spreadsheets/d/1rOGZhKHVnDGFqGTO7UNOJSkSJyQwVuEb2-yhWQit7lw/edit?gid=1654206091#gid=1654206091"", address(row($D17),column($D17),,,""UHV-Q""))"),11)</f>
        <v>11</v>
      </c>
      <c r="G19" s="8">
        <f t="shared" ca="1" si="3"/>
        <v>64.705882352941174</v>
      </c>
      <c r="H19" s="5">
        <f ca="1">IFERROR(__xludf.DUMMYFUNCTION("IMPORTRANGE(""https://docs.google.com/spreadsheets/d/1rOGZhKHVnDGFqGTO7UNOJSkSJyQwVuEb2-yhWQit7lw/edit?gid=1540132670#gid=1540132670"", address(row($D17),column($D17),,,""DL&amp;CO-Q""))"),9)</f>
        <v>9</v>
      </c>
      <c r="I19" s="8">
        <f t="shared" ca="1" si="4"/>
        <v>39.130434782608695</v>
      </c>
      <c r="J19" s="5">
        <f ca="1">IFERROR(__xludf.DUMMYFUNCTION("IMPORTRANGE(""https://docs.google.com/spreadsheets/d/1rOGZhKHVnDGFqGTO7UNOJSkSJyQwVuEb2-yhWQit7lw/edit?gid=1833881194#gid=1833881194"", address(row($D17),column($D17),,,""ADSA-Q""))"),26)</f>
        <v>26</v>
      </c>
      <c r="K19" s="8">
        <f t="shared" ca="1" si="5"/>
        <v>61.904761904761905</v>
      </c>
      <c r="L19" s="5">
        <f ca="1">IFERROR(__xludf.DUMMYFUNCTION("IMPORTRANGE(""https://docs.google.com/spreadsheets/d/1rOGZhKHVnDGFqGTO7UNOJSkSJyQwVuEb2-yhWQit7lw/edit?gid=1675789617#gid=1675789617"", address(row($D17),column($D17),,,""JAVA-Q""))"),10)</f>
        <v>10</v>
      </c>
      <c r="M19" s="8">
        <f t="shared" ca="1" si="6"/>
        <v>71.428571428571431</v>
      </c>
      <c r="N19" s="5">
        <f ca="1">IFERROR(__xludf.DUMMYFUNCTION("IMPORTRANGE(""https://docs.google.com/spreadsheets/d/1rOGZhKHVnDGFqGTO7UNOJSkSJyQwVuEb2-yhWQit7lw/edit?gid=1695357766#gid=1695357766"", address(row($D17),column($D17),,,""FOSS LAB-Q""))"),3)</f>
        <v>3</v>
      </c>
      <c r="O19" s="8">
        <f t="shared" ca="1" si="7"/>
        <v>33.333333333333329</v>
      </c>
      <c r="P19" s="5">
        <f ca="1">IFERROR(__xludf.DUMMYFUNCTION("IMPORTRANGE(""https://docs.google.com/spreadsheets/d/1rOGZhKHVnDGFqGTO7UNOJSkSJyQwVuEb2-yhWQit7lw/edit?gid=1247110859#gid=1247110859"", address(row($D17),column($D17),,,""PP-Q""))"),10)</f>
        <v>10</v>
      </c>
      <c r="Q19" s="8">
        <f t="shared" ca="1" si="8"/>
        <v>55.555555555555557</v>
      </c>
      <c r="R19" s="5">
        <f ca="1">IFERROR(__xludf.DUMMYFUNCTION("IMPORTRANGE(""https://docs.google.com/spreadsheets/d/1rOGZhKHVnDGFqGTO7UNOJSkSJyQwVuEb2-yhWQit7lw/edit?gid=675135389#gid=675135389"", address(row($D17),column($D17),,,""NPTEL-Q""))"),8)</f>
        <v>8</v>
      </c>
      <c r="S19" s="5">
        <f t="shared" ca="1" si="9"/>
        <v>80</v>
      </c>
      <c r="T19" s="6">
        <f ca="1">IFERROR(__xludf.DUMMYFUNCTION("IMPORTRANGE(""https://docs.google.com/spreadsheets/d/1rOGZhKHVnDGFqGTO7UNOJSkSJyQwVuEb2-yhWQit7lw/edit?gid=290696378#gid=290696378"", address(row($D17),column($D17),,,""CRT-Q""))"),0)</f>
        <v>0</v>
      </c>
      <c r="U19" s="8" t="e">
        <f t="shared" ca="1" si="10"/>
        <v>#DIV/0!</v>
      </c>
      <c r="V19" s="6">
        <f t="shared" ca="1" si="0"/>
        <v>97</v>
      </c>
      <c r="W19" s="4">
        <f t="shared" ca="1" si="11"/>
        <v>60</v>
      </c>
      <c r="X19" s="4">
        <v>0</v>
      </c>
      <c r="Y19" s="4">
        <v>0</v>
      </c>
      <c r="Z19" s="4">
        <f t="shared" ca="1" si="1"/>
        <v>97</v>
      </c>
      <c r="AA19" s="10">
        <f t="shared" ca="1" si="12"/>
        <v>60</v>
      </c>
    </row>
    <row r="20" spans="1:27" ht="17.25" customHeight="1" x14ac:dyDescent="0.35">
      <c r="A20" s="8">
        <v>15</v>
      </c>
      <c r="B20" s="9" t="s">
        <v>637</v>
      </c>
      <c r="C20" s="21" t="s">
        <v>638</v>
      </c>
      <c r="D20" s="5">
        <f ca="1">IFERROR(__xludf.DUMMYFUNCTION("IMPORTRANGE(""https://docs.google.com/spreadsheets/d/1rOGZhKHVnDGFqGTO7UNOJSkSJyQwVuEb2-yhWQit7lw/edit?gid=99713220#gid=99713220"", address(row($D18),column($D18),,,""DM&amp;GT-Q""))"),26)</f>
        <v>26</v>
      </c>
      <c r="E20" s="8">
        <f t="shared" ca="1" si="2"/>
        <v>89.65517241379311</v>
      </c>
      <c r="F20" s="5">
        <f ca="1">IFERROR(__xludf.DUMMYFUNCTION("IMPORTRANGE(""https://docs.google.com/spreadsheets/d/1rOGZhKHVnDGFqGTO7UNOJSkSJyQwVuEb2-yhWQit7lw/edit?gid=1654206091#gid=1654206091"", address(row($D18),column($D18),,,""UHV-Q""))"),15)</f>
        <v>15</v>
      </c>
      <c r="G20" s="8">
        <f t="shared" ca="1" si="3"/>
        <v>88.235294117647058</v>
      </c>
      <c r="H20" s="5">
        <f ca="1">IFERROR(__xludf.DUMMYFUNCTION("IMPORTRANGE(""https://docs.google.com/spreadsheets/d/1rOGZhKHVnDGFqGTO7UNOJSkSJyQwVuEb2-yhWQit7lw/edit?gid=1540132670#gid=1540132670"", address(row($D18),column($D18),,,""DL&amp;CO-Q""))"),21)</f>
        <v>21</v>
      </c>
      <c r="I20" s="8">
        <f t="shared" ca="1" si="4"/>
        <v>91.304347826086953</v>
      </c>
      <c r="J20" s="5">
        <f ca="1">IFERROR(__xludf.DUMMYFUNCTION("IMPORTRANGE(""https://docs.google.com/spreadsheets/d/1rOGZhKHVnDGFqGTO7UNOJSkSJyQwVuEb2-yhWQit7lw/edit?gid=1833881194#gid=1833881194"", address(row($D18),column($D18),,,""ADSA-Q""))"),36)</f>
        <v>36</v>
      </c>
      <c r="K20" s="8">
        <f t="shared" ca="1" si="5"/>
        <v>85.714285714285708</v>
      </c>
      <c r="L20" s="5">
        <f ca="1">IFERROR(__xludf.DUMMYFUNCTION("IMPORTRANGE(""https://docs.google.com/spreadsheets/d/1rOGZhKHVnDGFqGTO7UNOJSkSJyQwVuEb2-yhWQit7lw/edit?gid=1675789617#gid=1675789617"", address(row($D18),column($D18),,,""JAVA-Q""))"),10)</f>
        <v>10</v>
      </c>
      <c r="M20" s="8">
        <f t="shared" ca="1" si="6"/>
        <v>71.428571428571431</v>
      </c>
      <c r="N20" s="5">
        <f ca="1">IFERROR(__xludf.DUMMYFUNCTION("IMPORTRANGE(""https://docs.google.com/spreadsheets/d/1rOGZhKHVnDGFqGTO7UNOJSkSJyQwVuEb2-yhWQit7lw/edit?gid=1695357766#gid=1695357766"", address(row($D18),column($D18),,,""FOSS LAB-Q""))"),6)</f>
        <v>6</v>
      </c>
      <c r="O20" s="8">
        <f t="shared" ca="1" si="7"/>
        <v>66.666666666666657</v>
      </c>
      <c r="P20" s="5">
        <f ca="1">IFERROR(__xludf.DUMMYFUNCTION("IMPORTRANGE(""https://docs.google.com/spreadsheets/d/1rOGZhKHVnDGFqGTO7UNOJSkSJyQwVuEb2-yhWQit7lw/edit?gid=1247110859#gid=1247110859"", address(row($D18),column($D18),,,""PP-Q""))"),16)</f>
        <v>16</v>
      </c>
      <c r="Q20" s="8">
        <f t="shared" ca="1" si="8"/>
        <v>88.888888888888886</v>
      </c>
      <c r="R20" s="5">
        <f ca="1">IFERROR(__xludf.DUMMYFUNCTION("IMPORTRANGE(""https://docs.google.com/spreadsheets/d/1rOGZhKHVnDGFqGTO7UNOJSkSJyQwVuEb2-yhWQit7lw/edit?gid=675135389#gid=675135389"", address(row($D18),column($D18),,,""NPTEL-Q""))"),10)</f>
        <v>10</v>
      </c>
      <c r="S20" s="5">
        <f t="shared" ca="1" si="9"/>
        <v>100</v>
      </c>
      <c r="T20" s="6">
        <f ca="1">IFERROR(__xludf.DUMMYFUNCTION("IMPORTRANGE(""https://docs.google.com/spreadsheets/d/1rOGZhKHVnDGFqGTO7UNOJSkSJyQwVuEb2-yhWQit7lw/edit?gid=290696378#gid=290696378"", address(row($D18),column($D18),,,""CRT-Q""))"),0)</f>
        <v>0</v>
      </c>
      <c r="U20" s="8" t="e">
        <f t="shared" ca="1" si="10"/>
        <v>#DIV/0!</v>
      </c>
      <c r="V20" s="6">
        <f t="shared" ca="1" si="0"/>
        <v>140</v>
      </c>
      <c r="W20" s="4">
        <f t="shared" ca="1" si="11"/>
        <v>86</v>
      </c>
      <c r="X20" s="4">
        <v>0</v>
      </c>
      <c r="Y20" s="4">
        <v>0</v>
      </c>
      <c r="Z20" s="4">
        <f t="shared" ca="1" si="1"/>
        <v>140</v>
      </c>
      <c r="AA20" s="10">
        <f t="shared" ca="1" si="12"/>
        <v>86</v>
      </c>
    </row>
    <row r="21" spans="1:27" ht="15.85" customHeight="1" x14ac:dyDescent="0.35">
      <c r="A21" s="8">
        <v>16</v>
      </c>
      <c r="B21" s="9" t="s">
        <v>639</v>
      </c>
      <c r="C21" s="21" t="s">
        <v>640</v>
      </c>
      <c r="D21" s="5">
        <f ca="1">IFERROR(__xludf.DUMMYFUNCTION("IMPORTRANGE(""https://docs.google.com/spreadsheets/d/1rOGZhKHVnDGFqGTO7UNOJSkSJyQwVuEb2-yhWQit7lw/edit?gid=99713220#gid=99713220"", address(row($D19),column($D19),,,""DM&amp;GT-Q""))"),22)</f>
        <v>22</v>
      </c>
      <c r="E21" s="8">
        <f t="shared" ca="1" si="2"/>
        <v>75.862068965517238</v>
      </c>
      <c r="F21" s="5">
        <f ca="1">IFERROR(__xludf.DUMMYFUNCTION("IMPORTRANGE(""https://docs.google.com/spreadsheets/d/1rOGZhKHVnDGFqGTO7UNOJSkSJyQwVuEb2-yhWQit7lw/edit?gid=1654206091#gid=1654206091"", address(row($D19),column($D19),,,""UHV-Q""))"),11)</f>
        <v>11</v>
      </c>
      <c r="G21" s="8">
        <f t="shared" ca="1" si="3"/>
        <v>64.705882352941174</v>
      </c>
      <c r="H21" s="5">
        <f ca="1">IFERROR(__xludf.DUMMYFUNCTION("IMPORTRANGE(""https://docs.google.com/spreadsheets/d/1rOGZhKHVnDGFqGTO7UNOJSkSJyQwVuEb2-yhWQit7lw/edit?gid=1540132670#gid=1540132670"", address(row($D19),column($D19),,,""DL&amp;CO-Q""))"),10)</f>
        <v>10</v>
      </c>
      <c r="I21" s="8">
        <f t="shared" ca="1" si="4"/>
        <v>43.478260869565219</v>
      </c>
      <c r="J21" s="5">
        <f ca="1">IFERROR(__xludf.DUMMYFUNCTION("IMPORTRANGE(""https://docs.google.com/spreadsheets/d/1rOGZhKHVnDGFqGTO7UNOJSkSJyQwVuEb2-yhWQit7lw/edit?gid=1833881194#gid=1833881194"", address(row($D19),column($D19),,,""ADSA-Q""))"),28)</f>
        <v>28</v>
      </c>
      <c r="K21" s="8">
        <f t="shared" ca="1" si="5"/>
        <v>66.666666666666657</v>
      </c>
      <c r="L21" s="5">
        <f ca="1">IFERROR(__xludf.DUMMYFUNCTION("IMPORTRANGE(""https://docs.google.com/spreadsheets/d/1rOGZhKHVnDGFqGTO7UNOJSkSJyQwVuEb2-yhWQit7lw/edit?gid=1675789617#gid=1675789617"", address(row($D19),column($D19),,,""JAVA-Q""))"),10)</f>
        <v>10</v>
      </c>
      <c r="M21" s="8">
        <f t="shared" ca="1" si="6"/>
        <v>71.428571428571431</v>
      </c>
      <c r="N21" s="5">
        <f ca="1">IFERROR(__xludf.DUMMYFUNCTION("IMPORTRANGE(""https://docs.google.com/spreadsheets/d/1rOGZhKHVnDGFqGTO7UNOJSkSJyQwVuEb2-yhWQit7lw/edit?gid=1695357766#gid=1695357766"", address(row($D19),column($D19),,,""FOSS LAB-Q""))"),9)</f>
        <v>9</v>
      </c>
      <c r="O21" s="8">
        <f t="shared" ca="1" si="7"/>
        <v>100</v>
      </c>
      <c r="P21" s="5">
        <f ca="1">IFERROR(__xludf.DUMMYFUNCTION("IMPORTRANGE(""https://docs.google.com/spreadsheets/d/1rOGZhKHVnDGFqGTO7UNOJSkSJyQwVuEb2-yhWQit7lw/edit?gid=1247110859#gid=1247110859"", address(row($D19),column($D19),,,""PP-Q""))"),16)</f>
        <v>16</v>
      </c>
      <c r="Q21" s="8">
        <f t="shared" ca="1" si="8"/>
        <v>88.888888888888886</v>
      </c>
      <c r="R21" s="5">
        <f ca="1">IFERROR(__xludf.DUMMYFUNCTION("IMPORTRANGE(""https://docs.google.com/spreadsheets/d/1rOGZhKHVnDGFqGTO7UNOJSkSJyQwVuEb2-yhWQit7lw/edit?gid=675135389#gid=675135389"", address(row($D19),column($D19),,,""NPTEL-Q""))"),8)</f>
        <v>8</v>
      </c>
      <c r="S21" s="5">
        <f t="shared" ca="1" si="9"/>
        <v>80</v>
      </c>
      <c r="T21" s="6">
        <f ca="1">IFERROR(__xludf.DUMMYFUNCTION("IMPORTRANGE(""https://docs.google.com/spreadsheets/d/1rOGZhKHVnDGFqGTO7UNOJSkSJyQwVuEb2-yhWQit7lw/edit?gid=290696378#gid=290696378"", address(row($D19),column($D19),,,""CRT-Q""))"),0)</f>
        <v>0</v>
      </c>
      <c r="U21" s="8" t="e">
        <f t="shared" ca="1" si="10"/>
        <v>#DIV/0!</v>
      </c>
      <c r="V21" s="6">
        <f t="shared" ca="1" si="0"/>
        <v>114</v>
      </c>
      <c r="W21" s="4">
        <f t="shared" ca="1" si="11"/>
        <v>70</v>
      </c>
      <c r="X21" s="4">
        <v>0</v>
      </c>
      <c r="Y21" s="4">
        <v>0</v>
      </c>
      <c r="Z21" s="4">
        <f t="shared" ca="1" si="1"/>
        <v>114</v>
      </c>
      <c r="AA21" s="10">
        <f t="shared" ca="1" si="12"/>
        <v>70</v>
      </c>
    </row>
    <row r="22" spans="1:27" ht="15.85" customHeight="1" x14ac:dyDescent="0.35">
      <c r="A22" s="8">
        <v>17</v>
      </c>
      <c r="B22" s="9" t="s">
        <v>641</v>
      </c>
      <c r="C22" s="21" t="s">
        <v>642</v>
      </c>
      <c r="D22" s="5">
        <f ca="1">IFERROR(__xludf.DUMMYFUNCTION("IMPORTRANGE(""https://docs.google.com/spreadsheets/d/1rOGZhKHVnDGFqGTO7UNOJSkSJyQwVuEb2-yhWQit7lw/edit?gid=99713220#gid=99713220"", address(row($D20),column($D20),,,""DM&amp;GT-Q""))"),16)</f>
        <v>16</v>
      </c>
      <c r="E22" s="8">
        <f t="shared" ca="1" si="2"/>
        <v>55.172413793103445</v>
      </c>
      <c r="F22" s="5">
        <f ca="1">IFERROR(__xludf.DUMMYFUNCTION("IMPORTRANGE(""https://docs.google.com/spreadsheets/d/1rOGZhKHVnDGFqGTO7UNOJSkSJyQwVuEb2-yhWQit7lw/edit?gid=1654206091#gid=1654206091"", address(row($D20),column($D20),,,""UHV-Q""))"),5)</f>
        <v>5</v>
      </c>
      <c r="G22" s="8">
        <f t="shared" ca="1" si="3"/>
        <v>29.411764705882355</v>
      </c>
      <c r="H22" s="5">
        <f ca="1">IFERROR(__xludf.DUMMYFUNCTION("IMPORTRANGE(""https://docs.google.com/spreadsheets/d/1rOGZhKHVnDGFqGTO7UNOJSkSJyQwVuEb2-yhWQit7lw/edit?gid=1540132670#gid=1540132670"", address(row($D20),column($D20),,,""DL&amp;CO-Q""))"),8)</f>
        <v>8</v>
      </c>
      <c r="I22" s="8">
        <f t="shared" ca="1" si="4"/>
        <v>34.782608695652172</v>
      </c>
      <c r="J22" s="5">
        <f ca="1">IFERROR(__xludf.DUMMYFUNCTION("IMPORTRANGE(""https://docs.google.com/spreadsheets/d/1rOGZhKHVnDGFqGTO7UNOJSkSJyQwVuEb2-yhWQit7lw/edit?gid=1833881194#gid=1833881194"", address(row($D20),column($D20),,,""ADSA-Q""))"),22)</f>
        <v>22</v>
      </c>
      <c r="K22" s="8">
        <f t="shared" ca="1" si="5"/>
        <v>52.380952380952387</v>
      </c>
      <c r="L22" s="5">
        <f ca="1">IFERROR(__xludf.DUMMYFUNCTION("IMPORTRANGE(""https://docs.google.com/spreadsheets/d/1rOGZhKHVnDGFqGTO7UNOJSkSJyQwVuEb2-yhWQit7lw/edit?gid=1675789617#gid=1675789617"", address(row($D20),column($D20),,,""JAVA-Q""))"),8)</f>
        <v>8</v>
      </c>
      <c r="M22" s="8">
        <f t="shared" ca="1" si="6"/>
        <v>57.142857142857139</v>
      </c>
      <c r="N22" s="5">
        <f ca="1">IFERROR(__xludf.DUMMYFUNCTION("IMPORTRANGE(""https://docs.google.com/spreadsheets/d/1rOGZhKHVnDGFqGTO7UNOJSkSJyQwVuEb2-yhWQit7lw/edit?gid=1695357766#gid=1695357766"", address(row($D20),column($D20),,,""FOSS LAB-Q""))"),6)</f>
        <v>6</v>
      </c>
      <c r="O22" s="8">
        <f t="shared" ca="1" si="7"/>
        <v>66.666666666666657</v>
      </c>
      <c r="P22" s="5">
        <f ca="1">IFERROR(__xludf.DUMMYFUNCTION("IMPORTRANGE(""https://docs.google.com/spreadsheets/d/1rOGZhKHVnDGFqGTO7UNOJSkSJyQwVuEb2-yhWQit7lw/edit?gid=1247110859#gid=1247110859"", address(row($D20),column($D20),,,""PP-Q""))"),6)</f>
        <v>6</v>
      </c>
      <c r="Q22" s="8">
        <f t="shared" ca="1" si="8"/>
        <v>33.333333333333329</v>
      </c>
      <c r="R22" s="5">
        <f ca="1">IFERROR(__xludf.DUMMYFUNCTION("IMPORTRANGE(""https://docs.google.com/spreadsheets/d/1rOGZhKHVnDGFqGTO7UNOJSkSJyQwVuEb2-yhWQit7lw/edit?gid=675135389#gid=675135389"", address(row($D20),column($D20),,,""NPTEL-Q""))"),8)</f>
        <v>8</v>
      </c>
      <c r="S22" s="5">
        <f t="shared" ca="1" si="9"/>
        <v>80</v>
      </c>
      <c r="T22" s="6">
        <f ca="1">IFERROR(__xludf.DUMMYFUNCTION("IMPORTRANGE(""https://docs.google.com/spreadsheets/d/1rOGZhKHVnDGFqGTO7UNOJSkSJyQwVuEb2-yhWQit7lw/edit?gid=290696378#gid=290696378"", address(row($D20),column($D20),,,""CRT-Q""))"),0)</f>
        <v>0</v>
      </c>
      <c r="U22" s="8" t="e">
        <f t="shared" ca="1" si="10"/>
        <v>#DIV/0!</v>
      </c>
      <c r="V22" s="6">
        <f t="shared" ca="1" si="0"/>
        <v>79</v>
      </c>
      <c r="W22" s="4">
        <f t="shared" ca="1" si="11"/>
        <v>49</v>
      </c>
      <c r="X22" s="4">
        <v>0</v>
      </c>
      <c r="Y22" s="4">
        <v>0</v>
      </c>
      <c r="Z22" s="4">
        <f t="shared" ca="1" si="1"/>
        <v>79</v>
      </c>
      <c r="AA22" s="10">
        <f t="shared" ca="1" si="12"/>
        <v>49</v>
      </c>
    </row>
    <row r="23" spans="1:27" ht="15.85" customHeight="1" x14ac:dyDescent="0.35">
      <c r="A23" s="8">
        <v>18</v>
      </c>
      <c r="B23" s="9" t="s">
        <v>643</v>
      </c>
      <c r="C23" s="21" t="s">
        <v>644</v>
      </c>
      <c r="D23" s="5">
        <f ca="1">IFERROR(__xludf.DUMMYFUNCTION("IMPORTRANGE(""https://docs.google.com/spreadsheets/d/1rOGZhKHVnDGFqGTO7UNOJSkSJyQwVuEb2-yhWQit7lw/edit?gid=99713220#gid=99713220"", address(row($D21),column($D21),,,""DM&amp;GT-Q""))"),23)</f>
        <v>23</v>
      </c>
      <c r="E23" s="8">
        <f t="shared" ca="1" si="2"/>
        <v>79.310344827586206</v>
      </c>
      <c r="F23" s="5">
        <f ca="1">IFERROR(__xludf.DUMMYFUNCTION("IMPORTRANGE(""https://docs.google.com/spreadsheets/d/1rOGZhKHVnDGFqGTO7UNOJSkSJyQwVuEb2-yhWQit7lw/edit?gid=1654206091#gid=1654206091"", address(row($D21),column($D21),,,""UHV-Q""))"),10)</f>
        <v>10</v>
      </c>
      <c r="G23" s="8">
        <f t="shared" ca="1" si="3"/>
        <v>58.82352941176471</v>
      </c>
      <c r="H23" s="5">
        <f ca="1">IFERROR(__xludf.DUMMYFUNCTION("IMPORTRANGE(""https://docs.google.com/spreadsheets/d/1rOGZhKHVnDGFqGTO7UNOJSkSJyQwVuEb2-yhWQit7lw/edit?gid=1540132670#gid=1540132670"", address(row($D21),column($D21),,,""DL&amp;CO-Q""))"),9)</f>
        <v>9</v>
      </c>
      <c r="I23" s="8">
        <f t="shared" ca="1" si="4"/>
        <v>39.130434782608695</v>
      </c>
      <c r="J23" s="5">
        <f ca="1">IFERROR(__xludf.DUMMYFUNCTION("IMPORTRANGE(""https://docs.google.com/spreadsheets/d/1rOGZhKHVnDGFqGTO7UNOJSkSJyQwVuEb2-yhWQit7lw/edit?gid=1833881194#gid=1833881194"", address(row($D21),column($D21),,,""ADSA-Q""))"),32)</f>
        <v>32</v>
      </c>
      <c r="K23" s="8">
        <f t="shared" ca="1" si="5"/>
        <v>76.19047619047619</v>
      </c>
      <c r="L23" s="5">
        <f ca="1">IFERROR(__xludf.DUMMYFUNCTION("IMPORTRANGE(""https://docs.google.com/spreadsheets/d/1rOGZhKHVnDGFqGTO7UNOJSkSJyQwVuEb2-yhWQit7lw/edit?gid=1675789617#gid=1675789617"", address(row($D21),column($D21),,,""JAVA-Q""))"),10)</f>
        <v>10</v>
      </c>
      <c r="M23" s="8">
        <f t="shared" ca="1" si="6"/>
        <v>71.428571428571431</v>
      </c>
      <c r="N23" s="5">
        <f ca="1">IFERROR(__xludf.DUMMYFUNCTION("IMPORTRANGE(""https://docs.google.com/spreadsheets/d/1rOGZhKHVnDGFqGTO7UNOJSkSJyQwVuEb2-yhWQit7lw/edit?gid=1695357766#gid=1695357766"", address(row($D21),column($D21),,,""FOSS LAB-Q""))"),9)</f>
        <v>9</v>
      </c>
      <c r="O23" s="8">
        <f t="shared" ca="1" si="7"/>
        <v>100</v>
      </c>
      <c r="P23" s="5">
        <f ca="1">IFERROR(__xludf.DUMMYFUNCTION("IMPORTRANGE(""https://docs.google.com/spreadsheets/d/1rOGZhKHVnDGFqGTO7UNOJSkSJyQwVuEb2-yhWQit7lw/edit?gid=1247110859#gid=1247110859"", address(row($D21),column($D21),,,""PP-Q""))"),10)</f>
        <v>10</v>
      </c>
      <c r="Q23" s="8">
        <f t="shared" ca="1" si="8"/>
        <v>55.555555555555557</v>
      </c>
      <c r="R23" s="5">
        <f ca="1">IFERROR(__xludf.DUMMYFUNCTION("IMPORTRANGE(""https://docs.google.com/spreadsheets/d/1rOGZhKHVnDGFqGTO7UNOJSkSJyQwVuEb2-yhWQit7lw/edit?gid=675135389#gid=675135389"", address(row($D21),column($D21),,,""NPTEL-Q""))"),8)</f>
        <v>8</v>
      </c>
      <c r="S23" s="5">
        <f t="shared" ca="1" si="9"/>
        <v>80</v>
      </c>
      <c r="T23" s="6">
        <f ca="1">IFERROR(__xludf.DUMMYFUNCTION("IMPORTRANGE(""https://docs.google.com/spreadsheets/d/1rOGZhKHVnDGFqGTO7UNOJSkSJyQwVuEb2-yhWQit7lw/edit?gid=290696378#gid=290696378"", address(row($D21),column($D21),,,""CRT-Q""))"),0)</f>
        <v>0</v>
      </c>
      <c r="U23" s="8" t="e">
        <f t="shared" ca="1" si="10"/>
        <v>#DIV/0!</v>
      </c>
      <c r="V23" s="6">
        <f t="shared" ca="1" si="0"/>
        <v>111</v>
      </c>
      <c r="W23" s="4">
        <f t="shared" ca="1" si="11"/>
        <v>69</v>
      </c>
      <c r="X23" s="4">
        <v>0</v>
      </c>
      <c r="Y23" s="4">
        <v>0</v>
      </c>
      <c r="Z23" s="4">
        <f t="shared" ca="1" si="1"/>
        <v>111</v>
      </c>
      <c r="AA23" s="10">
        <f t="shared" ca="1" si="12"/>
        <v>69</v>
      </c>
    </row>
    <row r="24" spans="1:27" ht="15.85" customHeight="1" x14ac:dyDescent="0.35">
      <c r="A24" s="8">
        <v>19</v>
      </c>
      <c r="B24" s="9" t="s">
        <v>645</v>
      </c>
      <c r="C24" s="21" t="s">
        <v>646</v>
      </c>
      <c r="D24" s="5">
        <f ca="1">IFERROR(__xludf.DUMMYFUNCTION("IMPORTRANGE(""https://docs.google.com/spreadsheets/d/1rOGZhKHVnDGFqGTO7UNOJSkSJyQwVuEb2-yhWQit7lw/edit?gid=99713220#gid=99713220"", address(row($D22),column($D22),,,""DM&amp;GT-Q""))"),26)</f>
        <v>26</v>
      </c>
      <c r="E24" s="8">
        <f t="shared" ca="1" si="2"/>
        <v>89.65517241379311</v>
      </c>
      <c r="F24" s="5">
        <f ca="1">IFERROR(__xludf.DUMMYFUNCTION("IMPORTRANGE(""https://docs.google.com/spreadsheets/d/1rOGZhKHVnDGFqGTO7UNOJSkSJyQwVuEb2-yhWQit7lw/edit?gid=1654206091#gid=1654206091"", address(row($D22),column($D22),,,""UHV-Q""))"),16)</f>
        <v>16</v>
      </c>
      <c r="G24" s="8">
        <f t="shared" ca="1" si="3"/>
        <v>94.117647058823522</v>
      </c>
      <c r="H24" s="5">
        <f ca="1">IFERROR(__xludf.DUMMYFUNCTION("IMPORTRANGE(""https://docs.google.com/spreadsheets/d/1rOGZhKHVnDGFqGTO7UNOJSkSJyQwVuEb2-yhWQit7lw/edit?gid=1540132670#gid=1540132670"", address(row($D22),column($D22),,,""DL&amp;CO-Q""))"),21)</f>
        <v>21</v>
      </c>
      <c r="I24" s="8">
        <f t="shared" ca="1" si="4"/>
        <v>91.304347826086953</v>
      </c>
      <c r="J24" s="5">
        <f ca="1">IFERROR(__xludf.DUMMYFUNCTION("IMPORTRANGE(""https://docs.google.com/spreadsheets/d/1rOGZhKHVnDGFqGTO7UNOJSkSJyQwVuEb2-yhWQit7lw/edit?gid=1833881194#gid=1833881194"", address(row($D22),column($D22),,,""ADSA-Q""))"),40)</f>
        <v>40</v>
      </c>
      <c r="K24" s="8">
        <f t="shared" ca="1" si="5"/>
        <v>95.238095238095227</v>
      </c>
      <c r="L24" s="5">
        <f ca="1">IFERROR(__xludf.DUMMYFUNCTION("IMPORTRANGE(""https://docs.google.com/spreadsheets/d/1rOGZhKHVnDGFqGTO7UNOJSkSJyQwVuEb2-yhWQit7lw/edit?gid=1675789617#gid=1675789617"", address(row($D22),column($D22),,,""JAVA-Q""))"),14)</f>
        <v>14</v>
      </c>
      <c r="M24" s="8">
        <f t="shared" ca="1" si="6"/>
        <v>100</v>
      </c>
      <c r="N24" s="5">
        <f ca="1">IFERROR(__xludf.DUMMYFUNCTION("IMPORTRANGE(""https://docs.google.com/spreadsheets/d/1rOGZhKHVnDGFqGTO7UNOJSkSJyQwVuEb2-yhWQit7lw/edit?gid=1695357766#gid=1695357766"", address(row($D22),column($D22),,,""FOSS LAB-Q""))"),9)</f>
        <v>9</v>
      </c>
      <c r="O24" s="8">
        <f t="shared" ca="1" si="7"/>
        <v>100</v>
      </c>
      <c r="P24" s="5">
        <f ca="1">IFERROR(__xludf.DUMMYFUNCTION("IMPORTRANGE(""https://docs.google.com/spreadsheets/d/1rOGZhKHVnDGFqGTO7UNOJSkSJyQwVuEb2-yhWQit7lw/edit?gid=1247110859#gid=1247110859"", address(row($D22),column($D22),,,""PP-Q""))"),18)</f>
        <v>18</v>
      </c>
      <c r="Q24" s="8">
        <f t="shared" ca="1" si="8"/>
        <v>100</v>
      </c>
      <c r="R24" s="5">
        <f ca="1">IFERROR(__xludf.DUMMYFUNCTION("IMPORTRANGE(""https://docs.google.com/spreadsheets/d/1rOGZhKHVnDGFqGTO7UNOJSkSJyQwVuEb2-yhWQit7lw/edit?gid=675135389#gid=675135389"", address(row($D22),column($D22),,,""NPTEL-Q""))"),10)</f>
        <v>10</v>
      </c>
      <c r="S24" s="5">
        <f t="shared" ca="1" si="9"/>
        <v>100</v>
      </c>
      <c r="T24" s="6">
        <f ca="1">IFERROR(__xludf.DUMMYFUNCTION("IMPORTRANGE(""https://docs.google.com/spreadsheets/d/1rOGZhKHVnDGFqGTO7UNOJSkSJyQwVuEb2-yhWQit7lw/edit?gid=290696378#gid=290696378"", address(row($D22),column($D22),,,""CRT-Q""))"),0)</f>
        <v>0</v>
      </c>
      <c r="U24" s="8" t="e">
        <f t="shared" ca="1" si="10"/>
        <v>#DIV/0!</v>
      </c>
      <c r="V24" s="6">
        <f t="shared" ca="1" si="0"/>
        <v>154</v>
      </c>
      <c r="W24" s="4">
        <f t="shared" ca="1" si="11"/>
        <v>95</v>
      </c>
      <c r="X24" s="4">
        <v>0</v>
      </c>
      <c r="Y24" s="4">
        <v>0</v>
      </c>
      <c r="Z24" s="4">
        <f t="shared" ca="1" si="1"/>
        <v>154</v>
      </c>
      <c r="AA24" s="10">
        <f t="shared" ca="1" si="12"/>
        <v>95</v>
      </c>
    </row>
    <row r="25" spans="1:27" ht="15.85" customHeight="1" x14ac:dyDescent="0.35">
      <c r="A25" s="8">
        <v>20</v>
      </c>
      <c r="B25" s="9" t="s">
        <v>647</v>
      </c>
      <c r="C25" s="21" t="s">
        <v>648</v>
      </c>
      <c r="D25" s="5">
        <f ca="1">IFERROR(__xludf.DUMMYFUNCTION("IMPORTRANGE(""https://docs.google.com/spreadsheets/d/1rOGZhKHVnDGFqGTO7UNOJSkSJyQwVuEb2-yhWQit7lw/edit?gid=99713220#gid=99713220"", address(row($D23),column($D23),,,""DM&amp;GT-Q""))"),25)</f>
        <v>25</v>
      </c>
      <c r="E25" s="8">
        <f t="shared" ca="1" si="2"/>
        <v>86.206896551724128</v>
      </c>
      <c r="F25" s="5">
        <f ca="1">IFERROR(__xludf.DUMMYFUNCTION("IMPORTRANGE(""https://docs.google.com/spreadsheets/d/1rOGZhKHVnDGFqGTO7UNOJSkSJyQwVuEb2-yhWQit7lw/edit?gid=1654206091#gid=1654206091"", address(row($D23),column($D23),,,""UHV-Q""))"),14)</f>
        <v>14</v>
      </c>
      <c r="G25" s="8">
        <f t="shared" ca="1" si="3"/>
        <v>82.35294117647058</v>
      </c>
      <c r="H25" s="5">
        <f ca="1">IFERROR(__xludf.DUMMYFUNCTION("IMPORTRANGE(""https://docs.google.com/spreadsheets/d/1rOGZhKHVnDGFqGTO7UNOJSkSJyQwVuEb2-yhWQit7lw/edit?gid=1540132670#gid=1540132670"", address(row($D23),column($D23),,,""DL&amp;CO-Q""))"),20)</f>
        <v>20</v>
      </c>
      <c r="I25" s="8">
        <f t="shared" ca="1" si="4"/>
        <v>86.956521739130437</v>
      </c>
      <c r="J25" s="5">
        <f ca="1">IFERROR(__xludf.DUMMYFUNCTION("IMPORTRANGE(""https://docs.google.com/spreadsheets/d/1rOGZhKHVnDGFqGTO7UNOJSkSJyQwVuEb2-yhWQit7lw/edit?gid=1833881194#gid=1833881194"", address(row($D23),column($D23),,,""ADSA-Q""))"),36)</f>
        <v>36</v>
      </c>
      <c r="K25" s="8">
        <f t="shared" ca="1" si="5"/>
        <v>85.714285714285708</v>
      </c>
      <c r="L25" s="5">
        <f ca="1">IFERROR(__xludf.DUMMYFUNCTION("IMPORTRANGE(""https://docs.google.com/spreadsheets/d/1rOGZhKHVnDGFqGTO7UNOJSkSJyQwVuEb2-yhWQit7lw/edit?gid=1675789617#gid=1675789617"", address(row($D23),column($D23),,,""JAVA-Q""))"),8)</f>
        <v>8</v>
      </c>
      <c r="M25" s="8">
        <f t="shared" ca="1" si="6"/>
        <v>57.142857142857139</v>
      </c>
      <c r="N25" s="5">
        <f ca="1">IFERROR(__xludf.DUMMYFUNCTION("IMPORTRANGE(""https://docs.google.com/spreadsheets/d/1rOGZhKHVnDGFqGTO7UNOJSkSJyQwVuEb2-yhWQit7lw/edit?gid=1695357766#gid=1695357766"", address(row($D23),column($D23),,,""FOSS LAB-Q""))"),6)</f>
        <v>6</v>
      </c>
      <c r="O25" s="8">
        <f t="shared" ca="1" si="7"/>
        <v>66.666666666666657</v>
      </c>
      <c r="P25" s="5">
        <f ca="1">IFERROR(__xludf.DUMMYFUNCTION("IMPORTRANGE(""https://docs.google.com/spreadsheets/d/1rOGZhKHVnDGFqGTO7UNOJSkSJyQwVuEb2-yhWQit7lw/edit?gid=1247110859#gid=1247110859"", address(row($D23),column($D23),,,""PP-Q""))"),16)</f>
        <v>16</v>
      </c>
      <c r="Q25" s="8">
        <f t="shared" ca="1" si="8"/>
        <v>88.888888888888886</v>
      </c>
      <c r="R25" s="5">
        <f ca="1">IFERROR(__xludf.DUMMYFUNCTION("IMPORTRANGE(""https://docs.google.com/spreadsheets/d/1rOGZhKHVnDGFqGTO7UNOJSkSJyQwVuEb2-yhWQit7lw/edit?gid=675135389#gid=675135389"", address(row($D23),column($D23),,,""NPTEL-Q""))"),8)</f>
        <v>8</v>
      </c>
      <c r="S25" s="5">
        <f t="shared" ca="1" si="9"/>
        <v>80</v>
      </c>
      <c r="T25" s="6">
        <f ca="1">IFERROR(__xludf.DUMMYFUNCTION("IMPORTRANGE(""https://docs.google.com/spreadsheets/d/1rOGZhKHVnDGFqGTO7UNOJSkSJyQwVuEb2-yhWQit7lw/edit?gid=290696378#gid=290696378"", address(row($D23),column($D23),,,""CRT-Q""))"),0)</f>
        <v>0</v>
      </c>
      <c r="U25" s="8" t="e">
        <f t="shared" ca="1" si="10"/>
        <v>#DIV/0!</v>
      </c>
      <c r="V25" s="6">
        <f t="shared" ca="1" si="0"/>
        <v>133</v>
      </c>
      <c r="W25" s="4">
        <f t="shared" ca="1" si="11"/>
        <v>82</v>
      </c>
      <c r="X25" s="4">
        <v>0</v>
      </c>
      <c r="Y25" s="4">
        <v>0</v>
      </c>
      <c r="Z25" s="4">
        <f t="shared" ca="1" si="1"/>
        <v>133</v>
      </c>
      <c r="AA25" s="10">
        <f t="shared" ca="1" si="12"/>
        <v>82</v>
      </c>
    </row>
    <row r="26" spans="1:27" ht="15.85" customHeight="1" x14ac:dyDescent="0.35">
      <c r="A26" s="8">
        <v>21</v>
      </c>
      <c r="B26" s="9" t="s">
        <v>649</v>
      </c>
      <c r="C26" s="21" t="s">
        <v>650</v>
      </c>
      <c r="D26" s="5">
        <f ca="1">IFERROR(__xludf.DUMMYFUNCTION("IMPORTRANGE(""https://docs.google.com/spreadsheets/d/1rOGZhKHVnDGFqGTO7UNOJSkSJyQwVuEb2-yhWQit7lw/edit?gid=99713220#gid=99713220"", address(row($D24),column($D24),,,""DM&amp;GT-Q""))"),26)</f>
        <v>26</v>
      </c>
      <c r="E26" s="8">
        <f t="shared" ca="1" si="2"/>
        <v>89.65517241379311</v>
      </c>
      <c r="F26" s="5">
        <f ca="1">IFERROR(__xludf.DUMMYFUNCTION("IMPORTRANGE(""https://docs.google.com/spreadsheets/d/1rOGZhKHVnDGFqGTO7UNOJSkSJyQwVuEb2-yhWQit7lw/edit?gid=1654206091#gid=1654206091"", address(row($D24),column($D24),,,""UHV-Q""))"),14)</f>
        <v>14</v>
      </c>
      <c r="G26" s="8">
        <f t="shared" ca="1" si="3"/>
        <v>82.35294117647058</v>
      </c>
      <c r="H26" s="5">
        <f ca="1">IFERROR(__xludf.DUMMYFUNCTION("IMPORTRANGE(""https://docs.google.com/spreadsheets/d/1rOGZhKHVnDGFqGTO7UNOJSkSJyQwVuEb2-yhWQit7lw/edit?gid=1540132670#gid=1540132670"", address(row($D24),column($D24),,,""DL&amp;CO-Q""))"),20)</f>
        <v>20</v>
      </c>
      <c r="I26" s="8">
        <f t="shared" ca="1" si="4"/>
        <v>86.956521739130437</v>
      </c>
      <c r="J26" s="5">
        <f ca="1">IFERROR(__xludf.DUMMYFUNCTION("IMPORTRANGE(""https://docs.google.com/spreadsheets/d/1rOGZhKHVnDGFqGTO7UNOJSkSJyQwVuEb2-yhWQit7lw/edit?gid=1833881194#gid=1833881194"", address(row($D24),column($D24),,,""ADSA-Q""))"),32)</f>
        <v>32</v>
      </c>
      <c r="K26" s="8">
        <f t="shared" ca="1" si="5"/>
        <v>76.19047619047619</v>
      </c>
      <c r="L26" s="5">
        <f ca="1">IFERROR(__xludf.DUMMYFUNCTION("IMPORTRANGE(""https://docs.google.com/spreadsheets/d/1rOGZhKHVnDGFqGTO7UNOJSkSJyQwVuEb2-yhWQit7lw/edit?gid=1675789617#gid=1675789617"", address(row($D24),column($D24),,,""JAVA-Q""))"),12)</f>
        <v>12</v>
      </c>
      <c r="M26" s="8">
        <f t="shared" ca="1" si="6"/>
        <v>85.714285714285708</v>
      </c>
      <c r="N26" s="5">
        <f ca="1">IFERROR(__xludf.DUMMYFUNCTION("IMPORTRANGE(""https://docs.google.com/spreadsheets/d/1rOGZhKHVnDGFqGTO7UNOJSkSJyQwVuEb2-yhWQit7lw/edit?gid=1695357766#gid=1695357766"", address(row($D24),column($D24),,,""FOSS LAB-Q""))"),9)</f>
        <v>9</v>
      </c>
      <c r="O26" s="8">
        <f t="shared" ca="1" si="7"/>
        <v>100</v>
      </c>
      <c r="P26" s="5">
        <f ca="1">IFERROR(__xludf.DUMMYFUNCTION("IMPORTRANGE(""https://docs.google.com/spreadsheets/d/1rOGZhKHVnDGFqGTO7UNOJSkSJyQwVuEb2-yhWQit7lw/edit?gid=1247110859#gid=1247110859"", address(row($D24),column($D24),,,""PP-Q""))"),14)</f>
        <v>14</v>
      </c>
      <c r="Q26" s="8">
        <f t="shared" ca="1" si="8"/>
        <v>77.777777777777786</v>
      </c>
      <c r="R26" s="5">
        <f ca="1">IFERROR(__xludf.DUMMYFUNCTION("IMPORTRANGE(""https://docs.google.com/spreadsheets/d/1rOGZhKHVnDGFqGTO7UNOJSkSJyQwVuEb2-yhWQit7lw/edit?gid=675135389#gid=675135389"", address(row($D24),column($D24),,,""NPTEL-Q""))"),10)</f>
        <v>10</v>
      </c>
      <c r="S26" s="5">
        <f t="shared" ca="1" si="9"/>
        <v>100</v>
      </c>
      <c r="T26" s="6">
        <f ca="1">IFERROR(__xludf.DUMMYFUNCTION("IMPORTRANGE(""https://docs.google.com/spreadsheets/d/1rOGZhKHVnDGFqGTO7UNOJSkSJyQwVuEb2-yhWQit7lw/edit?gid=290696378#gid=290696378"", address(row($D24),column($D24),,,""CRT-Q""))"),0)</f>
        <v>0</v>
      </c>
      <c r="U26" s="8" t="e">
        <f t="shared" ca="1" si="10"/>
        <v>#DIV/0!</v>
      </c>
      <c r="V26" s="6">
        <f t="shared" ca="1" si="0"/>
        <v>137</v>
      </c>
      <c r="W26" s="4">
        <f t="shared" ca="1" si="11"/>
        <v>85</v>
      </c>
      <c r="X26" s="4">
        <v>0</v>
      </c>
      <c r="Y26" s="4">
        <v>0</v>
      </c>
      <c r="Z26" s="4">
        <f t="shared" ca="1" si="1"/>
        <v>137</v>
      </c>
      <c r="AA26" s="10">
        <f t="shared" ca="1" si="12"/>
        <v>85</v>
      </c>
    </row>
    <row r="27" spans="1:27" ht="15.85" customHeight="1" x14ac:dyDescent="0.35">
      <c r="A27" s="8">
        <v>22</v>
      </c>
      <c r="B27" s="9" t="s">
        <v>651</v>
      </c>
      <c r="C27" s="21" t="s">
        <v>652</v>
      </c>
      <c r="D27" s="5">
        <f ca="1">IFERROR(__xludf.DUMMYFUNCTION("IMPORTRANGE(""https://docs.google.com/spreadsheets/d/1rOGZhKHVnDGFqGTO7UNOJSkSJyQwVuEb2-yhWQit7lw/edit?gid=99713220#gid=99713220"", address(row($D25),column($D25),,,""DM&amp;GT-Q""))"),21)</f>
        <v>21</v>
      </c>
      <c r="E27" s="8">
        <f t="shared" ca="1" si="2"/>
        <v>72.41379310344827</v>
      </c>
      <c r="F27" s="5">
        <f ca="1">IFERROR(__xludf.DUMMYFUNCTION("IMPORTRANGE(""https://docs.google.com/spreadsheets/d/1rOGZhKHVnDGFqGTO7UNOJSkSJyQwVuEb2-yhWQit7lw/edit?gid=1654206091#gid=1654206091"", address(row($D25),column($D25),,,""UHV-Q""))"),9)</f>
        <v>9</v>
      </c>
      <c r="G27" s="8">
        <f t="shared" ca="1" si="3"/>
        <v>52.941176470588239</v>
      </c>
      <c r="H27" s="5">
        <f ca="1">IFERROR(__xludf.DUMMYFUNCTION("IMPORTRANGE(""https://docs.google.com/spreadsheets/d/1rOGZhKHVnDGFqGTO7UNOJSkSJyQwVuEb2-yhWQit7lw/edit?gid=1540132670#gid=1540132670"", address(row($D25),column($D25),,,""DL&amp;CO-Q""))"),9)</f>
        <v>9</v>
      </c>
      <c r="I27" s="8">
        <f t="shared" ca="1" si="4"/>
        <v>39.130434782608695</v>
      </c>
      <c r="J27" s="5">
        <f ca="1">IFERROR(__xludf.DUMMYFUNCTION("IMPORTRANGE(""https://docs.google.com/spreadsheets/d/1rOGZhKHVnDGFqGTO7UNOJSkSJyQwVuEb2-yhWQit7lw/edit?gid=1833881194#gid=1833881194"", address(row($D25),column($D25),,,""ADSA-Q""))"),22)</f>
        <v>22</v>
      </c>
      <c r="K27" s="8">
        <f t="shared" ca="1" si="5"/>
        <v>52.380952380952387</v>
      </c>
      <c r="L27" s="5">
        <f ca="1">IFERROR(__xludf.DUMMYFUNCTION("IMPORTRANGE(""https://docs.google.com/spreadsheets/d/1rOGZhKHVnDGFqGTO7UNOJSkSJyQwVuEb2-yhWQit7lw/edit?gid=1675789617#gid=1675789617"", address(row($D25),column($D25),,,""JAVA-Q""))"),10)</f>
        <v>10</v>
      </c>
      <c r="M27" s="8">
        <f t="shared" ca="1" si="6"/>
        <v>71.428571428571431</v>
      </c>
      <c r="N27" s="5">
        <f ca="1">IFERROR(__xludf.DUMMYFUNCTION("IMPORTRANGE(""https://docs.google.com/spreadsheets/d/1rOGZhKHVnDGFqGTO7UNOJSkSJyQwVuEb2-yhWQit7lw/edit?gid=1695357766#gid=1695357766"", address(row($D25),column($D25),,,""FOSS LAB-Q""))"),6)</f>
        <v>6</v>
      </c>
      <c r="O27" s="8">
        <f t="shared" ca="1" si="7"/>
        <v>66.666666666666657</v>
      </c>
      <c r="P27" s="5">
        <f ca="1">IFERROR(__xludf.DUMMYFUNCTION("IMPORTRANGE(""https://docs.google.com/spreadsheets/d/1rOGZhKHVnDGFqGTO7UNOJSkSJyQwVuEb2-yhWQit7lw/edit?gid=1247110859#gid=1247110859"", address(row($D25),column($D25),,,""PP-Q""))"),8)</f>
        <v>8</v>
      </c>
      <c r="Q27" s="8">
        <f t="shared" ca="1" si="8"/>
        <v>44.444444444444443</v>
      </c>
      <c r="R27" s="5">
        <f ca="1">IFERROR(__xludf.DUMMYFUNCTION("IMPORTRANGE(""https://docs.google.com/spreadsheets/d/1rOGZhKHVnDGFqGTO7UNOJSkSJyQwVuEb2-yhWQit7lw/edit?gid=675135389#gid=675135389"", address(row($D25),column($D25),,,""NPTEL-Q""))"),10)</f>
        <v>10</v>
      </c>
      <c r="S27" s="5">
        <f t="shared" ca="1" si="9"/>
        <v>100</v>
      </c>
      <c r="T27" s="6">
        <f ca="1">IFERROR(__xludf.DUMMYFUNCTION("IMPORTRANGE(""https://docs.google.com/spreadsheets/d/1rOGZhKHVnDGFqGTO7UNOJSkSJyQwVuEb2-yhWQit7lw/edit?gid=290696378#gid=290696378"", address(row($D25),column($D25),,,""CRT-Q""))"),0)</f>
        <v>0</v>
      </c>
      <c r="U27" s="8" t="e">
        <f t="shared" ca="1" si="10"/>
        <v>#DIV/0!</v>
      </c>
      <c r="V27" s="6">
        <f t="shared" ca="1" si="0"/>
        <v>95</v>
      </c>
      <c r="W27" s="4">
        <f t="shared" ca="1" si="11"/>
        <v>59</v>
      </c>
      <c r="X27" s="4">
        <v>0</v>
      </c>
      <c r="Y27" s="4">
        <v>0</v>
      </c>
      <c r="Z27" s="4">
        <f t="shared" ca="1" si="1"/>
        <v>95</v>
      </c>
      <c r="AA27" s="10">
        <f t="shared" ca="1" si="12"/>
        <v>59</v>
      </c>
    </row>
    <row r="28" spans="1:27" ht="15.85" customHeight="1" x14ac:dyDescent="0.35">
      <c r="A28" s="8">
        <v>23</v>
      </c>
      <c r="B28" s="9" t="s">
        <v>653</v>
      </c>
      <c r="C28" s="21" t="s">
        <v>654</v>
      </c>
      <c r="D28" s="5">
        <f ca="1">IFERROR(__xludf.DUMMYFUNCTION("IMPORTRANGE(""https://docs.google.com/spreadsheets/d/1rOGZhKHVnDGFqGTO7UNOJSkSJyQwVuEb2-yhWQit7lw/edit?gid=99713220#gid=99713220"", address(row($D26),column($D26),,,""DM&amp;GT-Q""))"),23)</f>
        <v>23</v>
      </c>
      <c r="E28" s="8">
        <f t="shared" ca="1" si="2"/>
        <v>79.310344827586206</v>
      </c>
      <c r="F28" s="5">
        <f ca="1">IFERROR(__xludf.DUMMYFUNCTION("IMPORTRANGE(""https://docs.google.com/spreadsheets/d/1rOGZhKHVnDGFqGTO7UNOJSkSJyQwVuEb2-yhWQit7lw/edit?gid=1654206091#gid=1654206091"", address(row($D26),column($D26),,,""UHV-Q""))"),13)</f>
        <v>13</v>
      </c>
      <c r="G28" s="8">
        <f t="shared" ca="1" si="3"/>
        <v>76.470588235294116</v>
      </c>
      <c r="H28" s="5">
        <f ca="1">IFERROR(__xludf.DUMMYFUNCTION("IMPORTRANGE(""https://docs.google.com/spreadsheets/d/1rOGZhKHVnDGFqGTO7UNOJSkSJyQwVuEb2-yhWQit7lw/edit?gid=1540132670#gid=1540132670"", address(row($D26),column($D26),,,""DL&amp;CO-Q""))"),14)</f>
        <v>14</v>
      </c>
      <c r="I28" s="8">
        <f t="shared" ca="1" si="4"/>
        <v>60.869565217391312</v>
      </c>
      <c r="J28" s="5">
        <f ca="1">IFERROR(__xludf.DUMMYFUNCTION("IMPORTRANGE(""https://docs.google.com/spreadsheets/d/1rOGZhKHVnDGFqGTO7UNOJSkSJyQwVuEb2-yhWQit7lw/edit?gid=1833881194#gid=1833881194"", address(row($D26),column($D26),,,""ADSA-Q""))"),28)</f>
        <v>28</v>
      </c>
      <c r="K28" s="8">
        <f t="shared" ca="1" si="5"/>
        <v>66.666666666666657</v>
      </c>
      <c r="L28" s="5">
        <f ca="1">IFERROR(__xludf.DUMMYFUNCTION("IMPORTRANGE(""https://docs.google.com/spreadsheets/d/1rOGZhKHVnDGFqGTO7UNOJSkSJyQwVuEb2-yhWQit7lw/edit?gid=1675789617#gid=1675789617"", address(row($D26),column($D26),,,""JAVA-Q""))"),10)</f>
        <v>10</v>
      </c>
      <c r="M28" s="8">
        <f t="shared" ca="1" si="6"/>
        <v>71.428571428571431</v>
      </c>
      <c r="N28" s="5">
        <f ca="1">IFERROR(__xludf.DUMMYFUNCTION("IMPORTRANGE(""https://docs.google.com/spreadsheets/d/1rOGZhKHVnDGFqGTO7UNOJSkSJyQwVuEb2-yhWQit7lw/edit?gid=1695357766#gid=1695357766"", address(row($D26),column($D26),,,""FOSS LAB-Q""))"),6)</f>
        <v>6</v>
      </c>
      <c r="O28" s="8">
        <f t="shared" ca="1" si="7"/>
        <v>66.666666666666657</v>
      </c>
      <c r="P28" s="5">
        <f ca="1">IFERROR(__xludf.DUMMYFUNCTION("IMPORTRANGE(""https://docs.google.com/spreadsheets/d/1rOGZhKHVnDGFqGTO7UNOJSkSJyQwVuEb2-yhWQit7lw/edit?gid=1247110859#gid=1247110859"", address(row($D26),column($D26),,,""PP-Q""))"),16)</f>
        <v>16</v>
      </c>
      <c r="Q28" s="8">
        <f t="shared" ca="1" si="8"/>
        <v>88.888888888888886</v>
      </c>
      <c r="R28" s="5">
        <f ca="1">IFERROR(__xludf.DUMMYFUNCTION("IMPORTRANGE(""https://docs.google.com/spreadsheets/d/1rOGZhKHVnDGFqGTO7UNOJSkSJyQwVuEb2-yhWQit7lw/edit?gid=675135389#gid=675135389"", address(row($D26),column($D26),,,""NPTEL-Q""))"),8)</f>
        <v>8</v>
      </c>
      <c r="S28" s="5">
        <f t="shared" ca="1" si="9"/>
        <v>80</v>
      </c>
      <c r="T28" s="6">
        <f ca="1">IFERROR(__xludf.DUMMYFUNCTION("IMPORTRANGE(""https://docs.google.com/spreadsheets/d/1rOGZhKHVnDGFqGTO7UNOJSkSJyQwVuEb2-yhWQit7lw/edit?gid=290696378#gid=290696378"", address(row($D26),column($D26),,,""CRT-Q""))"),0)</f>
        <v>0</v>
      </c>
      <c r="U28" s="8" t="e">
        <f t="shared" ca="1" si="10"/>
        <v>#DIV/0!</v>
      </c>
      <c r="V28" s="6">
        <f t="shared" ca="1" si="0"/>
        <v>118</v>
      </c>
      <c r="W28" s="4">
        <f t="shared" ca="1" si="11"/>
        <v>73</v>
      </c>
      <c r="X28" s="4">
        <v>0</v>
      </c>
      <c r="Y28" s="4">
        <v>0</v>
      </c>
      <c r="Z28" s="4">
        <f t="shared" ca="1" si="1"/>
        <v>118</v>
      </c>
      <c r="AA28" s="10">
        <f t="shared" ca="1" si="12"/>
        <v>73</v>
      </c>
    </row>
    <row r="29" spans="1:27" ht="15.85" customHeight="1" x14ac:dyDescent="0.35">
      <c r="A29" s="8">
        <v>24</v>
      </c>
      <c r="B29" s="9" t="s">
        <v>655</v>
      </c>
      <c r="C29" s="21" t="s">
        <v>656</v>
      </c>
      <c r="D29" s="5">
        <f ca="1">IFERROR(__xludf.DUMMYFUNCTION("IMPORTRANGE(""https://docs.google.com/spreadsheets/d/1rOGZhKHVnDGFqGTO7UNOJSkSJyQwVuEb2-yhWQit7lw/edit?gid=99713220#gid=99713220"", address(row($D27),column($D27),,,""DM&amp;GT-Q""))"),24)</f>
        <v>24</v>
      </c>
      <c r="E29" s="8">
        <f t="shared" ca="1" si="2"/>
        <v>82.758620689655174</v>
      </c>
      <c r="F29" s="5">
        <f ca="1">IFERROR(__xludf.DUMMYFUNCTION("IMPORTRANGE(""https://docs.google.com/spreadsheets/d/1rOGZhKHVnDGFqGTO7UNOJSkSJyQwVuEb2-yhWQit7lw/edit?gid=1654206091#gid=1654206091"", address(row($D27),column($D27),,,""UHV-Q""))"),13)</f>
        <v>13</v>
      </c>
      <c r="G29" s="8">
        <f t="shared" ca="1" si="3"/>
        <v>76.470588235294116</v>
      </c>
      <c r="H29" s="5">
        <f ca="1">IFERROR(__xludf.DUMMYFUNCTION("IMPORTRANGE(""https://docs.google.com/spreadsheets/d/1rOGZhKHVnDGFqGTO7UNOJSkSJyQwVuEb2-yhWQit7lw/edit?gid=1540132670#gid=1540132670"", address(row($D27),column($D27),,,""DL&amp;CO-Q""))"),19)</f>
        <v>19</v>
      </c>
      <c r="I29" s="8">
        <f t="shared" ca="1" si="4"/>
        <v>82.608695652173907</v>
      </c>
      <c r="J29" s="5">
        <f ca="1">IFERROR(__xludf.DUMMYFUNCTION("IMPORTRANGE(""https://docs.google.com/spreadsheets/d/1rOGZhKHVnDGFqGTO7UNOJSkSJyQwVuEb2-yhWQit7lw/edit?gid=1833881194#gid=1833881194"", address(row($D27),column($D27),,,""ADSA-Q""))"),34)</f>
        <v>34</v>
      </c>
      <c r="K29" s="8">
        <f t="shared" ca="1" si="5"/>
        <v>80.952380952380949</v>
      </c>
      <c r="L29" s="5">
        <f ca="1">IFERROR(__xludf.DUMMYFUNCTION("IMPORTRANGE(""https://docs.google.com/spreadsheets/d/1rOGZhKHVnDGFqGTO7UNOJSkSJyQwVuEb2-yhWQit7lw/edit?gid=1675789617#gid=1675789617"", address(row($D27),column($D27),,,""JAVA-Q""))"),10)</f>
        <v>10</v>
      </c>
      <c r="M29" s="8">
        <f t="shared" ca="1" si="6"/>
        <v>71.428571428571431</v>
      </c>
      <c r="N29" s="5">
        <f ca="1">IFERROR(__xludf.DUMMYFUNCTION("IMPORTRANGE(""https://docs.google.com/spreadsheets/d/1rOGZhKHVnDGFqGTO7UNOJSkSJyQwVuEb2-yhWQit7lw/edit?gid=1695357766#gid=1695357766"", address(row($D27),column($D27),,,""FOSS LAB-Q""))"),9)</f>
        <v>9</v>
      </c>
      <c r="O29" s="8">
        <f t="shared" ca="1" si="7"/>
        <v>100</v>
      </c>
      <c r="P29" s="5">
        <f ca="1">IFERROR(__xludf.DUMMYFUNCTION("IMPORTRANGE(""https://docs.google.com/spreadsheets/d/1rOGZhKHVnDGFqGTO7UNOJSkSJyQwVuEb2-yhWQit7lw/edit?gid=1247110859#gid=1247110859"", address(row($D27),column($D27),,,""PP-Q""))"),12)</f>
        <v>12</v>
      </c>
      <c r="Q29" s="8">
        <f t="shared" ca="1" si="8"/>
        <v>66.666666666666657</v>
      </c>
      <c r="R29" s="5">
        <f ca="1">IFERROR(__xludf.DUMMYFUNCTION("IMPORTRANGE(""https://docs.google.com/spreadsheets/d/1rOGZhKHVnDGFqGTO7UNOJSkSJyQwVuEb2-yhWQit7lw/edit?gid=675135389#gid=675135389"", address(row($D27),column($D27),,,""NPTEL-Q""))"),8)</f>
        <v>8</v>
      </c>
      <c r="S29" s="5">
        <f t="shared" ca="1" si="9"/>
        <v>80</v>
      </c>
      <c r="T29" s="6">
        <f ca="1">IFERROR(__xludf.DUMMYFUNCTION("IMPORTRANGE(""https://docs.google.com/spreadsheets/d/1rOGZhKHVnDGFqGTO7UNOJSkSJyQwVuEb2-yhWQit7lw/edit?gid=290696378#gid=290696378"", address(row($D27),column($D27),,,""CRT-Q""))"),0)</f>
        <v>0</v>
      </c>
      <c r="U29" s="8" t="e">
        <f t="shared" ca="1" si="10"/>
        <v>#DIV/0!</v>
      </c>
      <c r="V29" s="6">
        <f t="shared" ca="1" si="0"/>
        <v>129</v>
      </c>
      <c r="W29" s="4">
        <f t="shared" ca="1" si="11"/>
        <v>80</v>
      </c>
      <c r="X29" s="4">
        <v>0</v>
      </c>
      <c r="Y29" s="4">
        <v>0</v>
      </c>
      <c r="Z29" s="4">
        <f t="shared" ca="1" si="1"/>
        <v>129</v>
      </c>
      <c r="AA29" s="10">
        <f t="shared" ca="1" si="12"/>
        <v>80</v>
      </c>
    </row>
    <row r="30" spans="1:27" ht="15.85" customHeight="1" x14ac:dyDescent="0.35">
      <c r="A30" s="8">
        <v>25</v>
      </c>
      <c r="B30" s="9" t="s">
        <v>657</v>
      </c>
      <c r="C30" s="21" t="s">
        <v>658</v>
      </c>
      <c r="D30" s="5">
        <f ca="1">IFERROR(__xludf.DUMMYFUNCTION("IMPORTRANGE(""https://docs.google.com/spreadsheets/d/1rOGZhKHVnDGFqGTO7UNOJSkSJyQwVuEb2-yhWQit7lw/edit?gid=99713220#gid=99713220"", address(row($D28),column($D28),,,""DM&amp;GT-Q""))"),23)</f>
        <v>23</v>
      </c>
      <c r="E30" s="8">
        <f t="shared" ca="1" si="2"/>
        <v>79.310344827586206</v>
      </c>
      <c r="F30" s="5">
        <f ca="1">IFERROR(__xludf.DUMMYFUNCTION("IMPORTRANGE(""https://docs.google.com/spreadsheets/d/1rOGZhKHVnDGFqGTO7UNOJSkSJyQwVuEb2-yhWQit7lw/edit?gid=1654206091#gid=1654206091"", address(row($D28),column($D28),,,""UHV-Q""))"),9)</f>
        <v>9</v>
      </c>
      <c r="G30" s="8">
        <f t="shared" ca="1" si="3"/>
        <v>52.941176470588239</v>
      </c>
      <c r="H30" s="5">
        <f ca="1">IFERROR(__xludf.DUMMYFUNCTION("IMPORTRANGE(""https://docs.google.com/spreadsheets/d/1rOGZhKHVnDGFqGTO7UNOJSkSJyQwVuEb2-yhWQit7lw/edit?gid=1540132670#gid=1540132670"", address(row($D28),column($D28),,,""DL&amp;CO-Q""))"),14)</f>
        <v>14</v>
      </c>
      <c r="I30" s="8">
        <f t="shared" ca="1" si="4"/>
        <v>60.869565217391312</v>
      </c>
      <c r="J30" s="5">
        <f ca="1">IFERROR(__xludf.DUMMYFUNCTION("IMPORTRANGE(""https://docs.google.com/spreadsheets/d/1rOGZhKHVnDGFqGTO7UNOJSkSJyQwVuEb2-yhWQit7lw/edit?gid=1833881194#gid=1833881194"", address(row($D28),column($D28),,,""ADSA-Q""))"),32)</f>
        <v>32</v>
      </c>
      <c r="K30" s="8">
        <f t="shared" ca="1" si="5"/>
        <v>76.19047619047619</v>
      </c>
      <c r="L30" s="5">
        <f ca="1">IFERROR(__xludf.DUMMYFUNCTION("IMPORTRANGE(""https://docs.google.com/spreadsheets/d/1rOGZhKHVnDGFqGTO7UNOJSkSJyQwVuEb2-yhWQit7lw/edit?gid=1675789617#gid=1675789617"", address(row($D28),column($D28),,,""JAVA-Q""))"),8)</f>
        <v>8</v>
      </c>
      <c r="M30" s="8">
        <f t="shared" ca="1" si="6"/>
        <v>57.142857142857139</v>
      </c>
      <c r="N30" s="5">
        <f ca="1">IFERROR(__xludf.DUMMYFUNCTION("IMPORTRANGE(""https://docs.google.com/spreadsheets/d/1rOGZhKHVnDGFqGTO7UNOJSkSJyQwVuEb2-yhWQit7lw/edit?gid=1695357766#gid=1695357766"", address(row($D28),column($D28),,,""FOSS LAB-Q""))"),6)</f>
        <v>6</v>
      </c>
      <c r="O30" s="8">
        <f t="shared" ca="1" si="7"/>
        <v>66.666666666666657</v>
      </c>
      <c r="P30" s="5">
        <f ca="1">IFERROR(__xludf.DUMMYFUNCTION("IMPORTRANGE(""https://docs.google.com/spreadsheets/d/1rOGZhKHVnDGFqGTO7UNOJSkSJyQwVuEb2-yhWQit7lw/edit?gid=1247110859#gid=1247110859"", address(row($D28),column($D28),,,""PP-Q""))"),10)</f>
        <v>10</v>
      </c>
      <c r="Q30" s="8">
        <f t="shared" ca="1" si="8"/>
        <v>55.555555555555557</v>
      </c>
      <c r="R30" s="5">
        <f ca="1">IFERROR(__xludf.DUMMYFUNCTION("IMPORTRANGE(""https://docs.google.com/spreadsheets/d/1rOGZhKHVnDGFqGTO7UNOJSkSJyQwVuEb2-yhWQit7lw/edit?gid=675135389#gid=675135389"", address(row($D28),column($D28),,,""NPTEL-Q""))"),8)</f>
        <v>8</v>
      </c>
      <c r="S30" s="5">
        <f t="shared" ca="1" si="9"/>
        <v>80</v>
      </c>
      <c r="T30" s="6">
        <f ca="1">IFERROR(__xludf.DUMMYFUNCTION("IMPORTRANGE(""https://docs.google.com/spreadsheets/d/1rOGZhKHVnDGFqGTO7UNOJSkSJyQwVuEb2-yhWQit7lw/edit?gid=290696378#gid=290696378"", address(row($D28),column($D28),,,""CRT-Q""))"),0)</f>
        <v>0</v>
      </c>
      <c r="U30" s="8" t="e">
        <f t="shared" ca="1" si="10"/>
        <v>#DIV/0!</v>
      </c>
      <c r="V30" s="6">
        <f t="shared" ca="1" si="0"/>
        <v>110</v>
      </c>
      <c r="W30" s="4">
        <f t="shared" ca="1" si="11"/>
        <v>68</v>
      </c>
      <c r="X30" s="4">
        <v>0</v>
      </c>
      <c r="Y30" s="4">
        <v>0</v>
      </c>
      <c r="Z30" s="4">
        <f t="shared" ca="1" si="1"/>
        <v>110</v>
      </c>
      <c r="AA30" s="10">
        <f t="shared" ca="1" si="12"/>
        <v>68</v>
      </c>
    </row>
    <row r="31" spans="1:27" ht="15.85" customHeight="1" x14ac:dyDescent="0.35">
      <c r="A31" s="8">
        <v>26</v>
      </c>
      <c r="B31" s="9" t="s">
        <v>659</v>
      </c>
      <c r="C31" s="21" t="s">
        <v>660</v>
      </c>
      <c r="D31" s="5">
        <f ca="1">IFERROR(__xludf.DUMMYFUNCTION("IMPORTRANGE(""https://docs.google.com/spreadsheets/d/1rOGZhKHVnDGFqGTO7UNOJSkSJyQwVuEb2-yhWQit7lw/edit?gid=99713220#gid=99713220"", address(row($D29),column($D29),,,""DM&amp;GT-Q""))"),22)</f>
        <v>22</v>
      </c>
      <c r="E31" s="8">
        <f t="shared" ca="1" si="2"/>
        <v>75.862068965517238</v>
      </c>
      <c r="F31" s="5">
        <f ca="1">IFERROR(__xludf.DUMMYFUNCTION("IMPORTRANGE(""https://docs.google.com/spreadsheets/d/1rOGZhKHVnDGFqGTO7UNOJSkSJyQwVuEb2-yhWQit7lw/edit?gid=1654206091#gid=1654206091"", address(row($D29),column($D29),,,""UHV-Q""))"),7)</f>
        <v>7</v>
      </c>
      <c r="G31" s="8">
        <f t="shared" ca="1" si="3"/>
        <v>41.17647058823529</v>
      </c>
      <c r="H31" s="5">
        <f ca="1">IFERROR(__xludf.DUMMYFUNCTION("IMPORTRANGE(""https://docs.google.com/spreadsheets/d/1rOGZhKHVnDGFqGTO7UNOJSkSJyQwVuEb2-yhWQit7lw/edit?gid=1540132670#gid=1540132670"", address(row($D29),column($D29),,,""DL&amp;CO-Q""))"),10)</f>
        <v>10</v>
      </c>
      <c r="I31" s="8">
        <f t="shared" ca="1" si="4"/>
        <v>43.478260869565219</v>
      </c>
      <c r="J31" s="5">
        <f ca="1">IFERROR(__xludf.DUMMYFUNCTION("IMPORTRANGE(""https://docs.google.com/spreadsheets/d/1rOGZhKHVnDGFqGTO7UNOJSkSJyQwVuEb2-yhWQit7lw/edit?gid=1833881194#gid=1833881194"", address(row($D29),column($D29),,,""ADSA-Q""))"),27)</f>
        <v>27</v>
      </c>
      <c r="K31" s="8">
        <f t="shared" ca="1" si="5"/>
        <v>64.285714285714292</v>
      </c>
      <c r="L31" s="5">
        <f ca="1">IFERROR(__xludf.DUMMYFUNCTION("IMPORTRANGE(""https://docs.google.com/spreadsheets/d/1rOGZhKHVnDGFqGTO7UNOJSkSJyQwVuEb2-yhWQit7lw/edit?gid=1675789617#gid=1675789617"", address(row($D29),column($D29),,,""JAVA-Q""))"),10)</f>
        <v>10</v>
      </c>
      <c r="M31" s="8">
        <f t="shared" ca="1" si="6"/>
        <v>71.428571428571431</v>
      </c>
      <c r="N31" s="5">
        <f ca="1">IFERROR(__xludf.DUMMYFUNCTION("IMPORTRANGE(""https://docs.google.com/spreadsheets/d/1rOGZhKHVnDGFqGTO7UNOJSkSJyQwVuEb2-yhWQit7lw/edit?gid=1695357766#gid=1695357766"", address(row($D29),column($D29),,,""FOSS LAB-Q""))"),9)</f>
        <v>9</v>
      </c>
      <c r="O31" s="8">
        <f t="shared" ca="1" si="7"/>
        <v>100</v>
      </c>
      <c r="P31" s="5">
        <f ca="1">IFERROR(__xludf.DUMMYFUNCTION("IMPORTRANGE(""https://docs.google.com/spreadsheets/d/1rOGZhKHVnDGFqGTO7UNOJSkSJyQwVuEb2-yhWQit7lw/edit?gid=1247110859#gid=1247110859"", address(row($D29),column($D29),,,""PP-Q""))"),10)</f>
        <v>10</v>
      </c>
      <c r="Q31" s="8">
        <f t="shared" ca="1" si="8"/>
        <v>55.555555555555557</v>
      </c>
      <c r="R31" s="5">
        <f ca="1">IFERROR(__xludf.DUMMYFUNCTION("IMPORTRANGE(""https://docs.google.com/spreadsheets/d/1rOGZhKHVnDGFqGTO7UNOJSkSJyQwVuEb2-yhWQit7lw/edit?gid=675135389#gid=675135389"", address(row($D29),column($D29),,,""NPTEL-Q""))"),8)</f>
        <v>8</v>
      </c>
      <c r="S31" s="5">
        <f t="shared" ca="1" si="9"/>
        <v>80</v>
      </c>
      <c r="T31" s="6">
        <f ca="1">IFERROR(__xludf.DUMMYFUNCTION("IMPORTRANGE(""https://docs.google.com/spreadsheets/d/1rOGZhKHVnDGFqGTO7UNOJSkSJyQwVuEb2-yhWQit7lw/edit?gid=290696378#gid=290696378"", address(row($D29),column($D29),,,""CRT-Q""))"),0)</f>
        <v>0</v>
      </c>
      <c r="U31" s="8" t="e">
        <f t="shared" ca="1" si="10"/>
        <v>#DIV/0!</v>
      </c>
      <c r="V31" s="6">
        <f t="shared" ca="1" si="0"/>
        <v>103</v>
      </c>
      <c r="W31" s="4">
        <f t="shared" ca="1" si="11"/>
        <v>64</v>
      </c>
      <c r="X31" s="4">
        <v>0</v>
      </c>
      <c r="Y31" s="4">
        <v>0</v>
      </c>
      <c r="Z31" s="4">
        <f t="shared" ca="1" si="1"/>
        <v>103</v>
      </c>
      <c r="AA31" s="10">
        <f t="shared" ca="1" si="12"/>
        <v>64</v>
      </c>
    </row>
    <row r="32" spans="1:27" ht="15.85" customHeight="1" x14ac:dyDescent="0.35">
      <c r="A32" s="8">
        <v>27</v>
      </c>
      <c r="B32" s="9" t="s">
        <v>661</v>
      </c>
      <c r="C32" s="21" t="s">
        <v>662</v>
      </c>
      <c r="D32" s="5">
        <f ca="1">IFERROR(__xludf.DUMMYFUNCTION("IMPORTRANGE(""https://docs.google.com/spreadsheets/d/1rOGZhKHVnDGFqGTO7UNOJSkSJyQwVuEb2-yhWQit7lw/edit?gid=99713220#gid=99713220"", address(row($D30),column($D30),,,""DM&amp;GT-Q""))"),22)</f>
        <v>22</v>
      </c>
      <c r="E32" s="8">
        <f t="shared" ca="1" si="2"/>
        <v>75.862068965517238</v>
      </c>
      <c r="F32" s="5">
        <f ca="1">IFERROR(__xludf.DUMMYFUNCTION("IMPORTRANGE(""https://docs.google.com/spreadsheets/d/1rOGZhKHVnDGFqGTO7UNOJSkSJyQwVuEb2-yhWQit7lw/edit?gid=1654206091#gid=1654206091"", address(row($D30),column($D30),,,""UHV-Q""))"),12)</f>
        <v>12</v>
      </c>
      <c r="G32" s="8">
        <f t="shared" ca="1" si="3"/>
        <v>70.588235294117652</v>
      </c>
      <c r="H32" s="5">
        <f ca="1">IFERROR(__xludf.DUMMYFUNCTION("IMPORTRANGE(""https://docs.google.com/spreadsheets/d/1rOGZhKHVnDGFqGTO7UNOJSkSJyQwVuEb2-yhWQit7lw/edit?gid=1540132670#gid=1540132670"", address(row($D30),column($D30),,,""DL&amp;CO-Q""))"),14)</f>
        <v>14</v>
      </c>
      <c r="I32" s="8">
        <f t="shared" ca="1" si="4"/>
        <v>60.869565217391312</v>
      </c>
      <c r="J32" s="5">
        <f ca="1">IFERROR(__xludf.DUMMYFUNCTION("IMPORTRANGE(""https://docs.google.com/spreadsheets/d/1rOGZhKHVnDGFqGTO7UNOJSkSJyQwVuEb2-yhWQit7lw/edit?gid=1833881194#gid=1833881194"", address(row($D30),column($D30),,,""ADSA-Q""))"),30)</f>
        <v>30</v>
      </c>
      <c r="K32" s="8">
        <f t="shared" ca="1" si="5"/>
        <v>71.428571428571431</v>
      </c>
      <c r="L32" s="5">
        <f ca="1">IFERROR(__xludf.DUMMYFUNCTION("IMPORTRANGE(""https://docs.google.com/spreadsheets/d/1rOGZhKHVnDGFqGTO7UNOJSkSJyQwVuEb2-yhWQit7lw/edit?gid=1675789617#gid=1675789617"", address(row($D30),column($D30),,,""JAVA-Q""))"),10)</f>
        <v>10</v>
      </c>
      <c r="M32" s="8">
        <f t="shared" ca="1" si="6"/>
        <v>71.428571428571431</v>
      </c>
      <c r="N32" s="5">
        <f ca="1">IFERROR(__xludf.DUMMYFUNCTION("IMPORTRANGE(""https://docs.google.com/spreadsheets/d/1rOGZhKHVnDGFqGTO7UNOJSkSJyQwVuEb2-yhWQit7lw/edit?gid=1695357766#gid=1695357766"", address(row($D30),column($D30),,,""FOSS LAB-Q""))"),9)</f>
        <v>9</v>
      </c>
      <c r="O32" s="8">
        <f t="shared" ca="1" si="7"/>
        <v>100</v>
      </c>
      <c r="P32" s="5">
        <f ca="1">IFERROR(__xludf.DUMMYFUNCTION("IMPORTRANGE(""https://docs.google.com/spreadsheets/d/1rOGZhKHVnDGFqGTO7UNOJSkSJyQwVuEb2-yhWQit7lw/edit?gid=1247110859#gid=1247110859"", address(row($D30),column($D30),,,""PP-Q""))"),14)</f>
        <v>14</v>
      </c>
      <c r="Q32" s="8">
        <f t="shared" ca="1" si="8"/>
        <v>77.777777777777786</v>
      </c>
      <c r="R32" s="5">
        <f ca="1">IFERROR(__xludf.DUMMYFUNCTION("IMPORTRANGE(""https://docs.google.com/spreadsheets/d/1rOGZhKHVnDGFqGTO7UNOJSkSJyQwVuEb2-yhWQit7lw/edit?gid=675135389#gid=675135389"", address(row($D30),column($D30),,,""NPTEL-Q""))"),10)</f>
        <v>10</v>
      </c>
      <c r="S32" s="5">
        <f t="shared" ca="1" si="9"/>
        <v>100</v>
      </c>
      <c r="T32" s="6">
        <f ca="1">IFERROR(__xludf.DUMMYFUNCTION("IMPORTRANGE(""https://docs.google.com/spreadsheets/d/1rOGZhKHVnDGFqGTO7UNOJSkSJyQwVuEb2-yhWQit7lw/edit?gid=290696378#gid=290696378"", address(row($D30),column($D30),,,""CRT-Q""))"),0)</f>
        <v>0</v>
      </c>
      <c r="U32" s="8" t="e">
        <f t="shared" ca="1" si="10"/>
        <v>#DIV/0!</v>
      </c>
      <c r="V32" s="6">
        <f t="shared" ca="1" si="0"/>
        <v>121</v>
      </c>
      <c r="W32" s="4">
        <f t="shared" ca="1" si="11"/>
        <v>75</v>
      </c>
      <c r="X32" s="4">
        <v>0</v>
      </c>
      <c r="Y32" s="4">
        <v>0</v>
      </c>
      <c r="Z32" s="4">
        <f t="shared" ca="1" si="1"/>
        <v>121</v>
      </c>
      <c r="AA32" s="10">
        <f t="shared" ca="1" si="12"/>
        <v>75</v>
      </c>
    </row>
    <row r="33" spans="1:27" ht="15.85" customHeight="1" x14ac:dyDescent="0.35">
      <c r="A33" s="8">
        <v>28</v>
      </c>
      <c r="B33" s="9" t="s">
        <v>663</v>
      </c>
      <c r="C33" s="21" t="s">
        <v>664</v>
      </c>
      <c r="D33" s="5">
        <f ca="1">IFERROR(__xludf.DUMMYFUNCTION("IMPORTRANGE(""https://docs.google.com/spreadsheets/d/1rOGZhKHVnDGFqGTO7UNOJSkSJyQwVuEb2-yhWQit7lw/edit?gid=99713220#gid=99713220"", address(row($D31),column($D31),,,""DM&amp;GT-Q""))"),26)</f>
        <v>26</v>
      </c>
      <c r="E33" s="8">
        <f t="shared" ca="1" si="2"/>
        <v>89.65517241379311</v>
      </c>
      <c r="F33" s="5">
        <f ca="1">IFERROR(__xludf.DUMMYFUNCTION("IMPORTRANGE(""https://docs.google.com/spreadsheets/d/1rOGZhKHVnDGFqGTO7UNOJSkSJyQwVuEb2-yhWQit7lw/edit?gid=1654206091#gid=1654206091"", address(row($D31),column($D31),,,""UHV-Q""))"),13)</f>
        <v>13</v>
      </c>
      <c r="G33" s="8">
        <f t="shared" ca="1" si="3"/>
        <v>76.470588235294116</v>
      </c>
      <c r="H33" s="5">
        <f ca="1">IFERROR(__xludf.DUMMYFUNCTION("IMPORTRANGE(""https://docs.google.com/spreadsheets/d/1rOGZhKHVnDGFqGTO7UNOJSkSJyQwVuEb2-yhWQit7lw/edit?gid=1540132670#gid=1540132670"", address(row($D31),column($D31),,,""DL&amp;CO-Q""))"),14)</f>
        <v>14</v>
      </c>
      <c r="I33" s="8">
        <f t="shared" ca="1" si="4"/>
        <v>60.869565217391312</v>
      </c>
      <c r="J33" s="5">
        <f ca="1">IFERROR(__xludf.DUMMYFUNCTION("IMPORTRANGE(""https://docs.google.com/spreadsheets/d/1rOGZhKHVnDGFqGTO7UNOJSkSJyQwVuEb2-yhWQit7lw/edit?gid=1833881194#gid=1833881194"", address(row($D31),column($D31),,,""ADSA-Q""))"),40)</f>
        <v>40</v>
      </c>
      <c r="K33" s="8">
        <f t="shared" ca="1" si="5"/>
        <v>95.238095238095227</v>
      </c>
      <c r="L33" s="5">
        <f ca="1">IFERROR(__xludf.DUMMYFUNCTION("IMPORTRANGE(""https://docs.google.com/spreadsheets/d/1rOGZhKHVnDGFqGTO7UNOJSkSJyQwVuEb2-yhWQit7lw/edit?gid=1675789617#gid=1675789617"", address(row($D31),column($D31),,,""JAVA-Q""))"),14)</f>
        <v>14</v>
      </c>
      <c r="M33" s="8">
        <f t="shared" ca="1" si="6"/>
        <v>100</v>
      </c>
      <c r="N33" s="5">
        <f ca="1">IFERROR(__xludf.DUMMYFUNCTION("IMPORTRANGE(""https://docs.google.com/spreadsheets/d/1rOGZhKHVnDGFqGTO7UNOJSkSJyQwVuEb2-yhWQit7lw/edit?gid=1695357766#gid=1695357766"", address(row($D31),column($D31),,,""FOSS LAB-Q""))"),9)</f>
        <v>9</v>
      </c>
      <c r="O33" s="8">
        <f t="shared" ca="1" si="7"/>
        <v>100</v>
      </c>
      <c r="P33" s="5">
        <f ca="1">IFERROR(__xludf.DUMMYFUNCTION("IMPORTRANGE(""https://docs.google.com/spreadsheets/d/1rOGZhKHVnDGFqGTO7UNOJSkSJyQwVuEb2-yhWQit7lw/edit?gid=1247110859#gid=1247110859"", address(row($D31),column($D31),,,""PP-Q""))"),14)</f>
        <v>14</v>
      </c>
      <c r="Q33" s="8">
        <f t="shared" ca="1" si="8"/>
        <v>77.777777777777786</v>
      </c>
      <c r="R33" s="5">
        <f ca="1">IFERROR(__xludf.DUMMYFUNCTION("IMPORTRANGE(""https://docs.google.com/spreadsheets/d/1rOGZhKHVnDGFqGTO7UNOJSkSJyQwVuEb2-yhWQit7lw/edit?gid=675135389#gid=675135389"", address(row($D31),column($D31),,,""NPTEL-Q""))"),10)</f>
        <v>10</v>
      </c>
      <c r="S33" s="5">
        <f t="shared" ca="1" si="9"/>
        <v>100</v>
      </c>
      <c r="T33" s="6">
        <f ca="1">IFERROR(__xludf.DUMMYFUNCTION("IMPORTRANGE(""https://docs.google.com/spreadsheets/d/1rOGZhKHVnDGFqGTO7UNOJSkSJyQwVuEb2-yhWQit7lw/edit?gid=290696378#gid=290696378"", address(row($D31),column($D31),,,""CRT-Q""))"),0)</f>
        <v>0</v>
      </c>
      <c r="U33" s="8" t="e">
        <f t="shared" ca="1" si="10"/>
        <v>#DIV/0!</v>
      </c>
      <c r="V33" s="6">
        <f t="shared" ca="1" si="0"/>
        <v>140</v>
      </c>
      <c r="W33" s="4">
        <f t="shared" ca="1" si="11"/>
        <v>86</v>
      </c>
      <c r="X33" s="4">
        <v>0</v>
      </c>
      <c r="Y33" s="4">
        <v>0</v>
      </c>
      <c r="Z33" s="4">
        <f t="shared" ca="1" si="1"/>
        <v>140</v>
      </c>
      <c r="AA33" s="10">
        <f t="shared" ca="1" si="12"/>
        <v>86</v>
      </c>
    </row>
    <row r="34" spans="1:27" ht="15.85" customHeight="1" x14ac:dyDescent="0.35">
      <c r="A34" s="8">
        <v>29</v>
      </c>
      <c r="B34" s="9" t="s">
        <v>665</v>
      </c>
      <c r="C34" s="21" t="s">
        <v>666</v>
      </c>
      <c r="D34" s="5">
        <f ca="1">IFERROR(__xludf.DUMMYFUNCTION("IMPORTRANGE(""https://docs.google.com/spreadsheets/d/1rOGZhKHVnDGFqGTO7UNOJSkSJyQwVuEb2-yhWQit7lw/edit?gid=99713220#gid=99713220"", address(row($D32),column($D32),,,""DM&amp;GT-Q""))"),25)</f>
        <v>25</v>
      </c>
      <c r="E34" s="8">
        <f t="shared" ca="1" si="2"/>
        <v>86.206896551724128</v>
      </c>
      <c r="F34" s="5">
        <f ca="1">IFERROR(__xludf.DUMMYFUNCTION("IMPORTRANGE(""https://docs.google.com/spreadsheets/d/1rOGZhKHVnDGFqGTO7UNOJSkSJyQwVuEb2-yhWQit7lw/edit?gid=1654206091#gid=1654206091"", address(row($D32),column($D32),,,""UHV-Q""))"),14)</f>
        <v>14</v>
      </c>
      <c r="G34" s="8">
        <f t="shared" ca="1" si="3"/>
        <v>82.35294117647058</v>
      </c>
      <c r="H34" s="5">
        <f ca="1">IFERROR(__xludf.DUMMYFUNCTION("IMPORTRANGE(""https://docs.google.com/spreadsheets/d/1rOGZhKHVnDGFqGTO7UNOJSkSJyQwVuEb2-yhWQit7lw/edit?gid=1540132670#gid=1540132670"", address(row($D32),column($D32),,,""DL&amp;CO-Q""))"),12)</f>
        <v>12</v>
      </c>
      <c r="I34" s="8">
        <f t="shared" ca="1" si="4"/>
        <v>52.173913043478258</v>
      </c>
      <c r="J34" s="5">
        <f ca="1">IFERROR(__xludf.DUMMYFUNCTION("IMPORTRANGE(""https://docs.google.com/spreadsheets/d/1rOGZhKHVnDGFqGTO7UNOJSkSJyQwVuEb2-yhWQit7lw/edit?gid=1833881194#gid=1833881194"", address(row($D32),column($D32),,,""ADSA-Q""))"),34)</f>
        <v>34</v>
      </c>
      <c r="K34" s="8">
        <f t="shared" ca="1" si="5"/>
        <v>80.952380952380949</v>
      </c>
      <c r="L34" s="5">
        <f ca="1">IFERROR(__xludf.DUMMYFUNCTION("IMPORTRANGE(""https://docs.google.com/spreadsheets/d/1rOGZhKHVnDGFqGTO7UNOJSkSJyQwVuEb2-yhWQit7lw/edit?gid=1675789617#gid=1675789617"", address(row($D32),column($D32),,,""JAVA-Q""))"),12)</f>
        <v>12</v>
      </c>
      <c r="M34" s="8">
        <f t="shared" ca="1" si="6"/>
        <v>85.714285714285708</v>
      </c>
      <c r="N34" s="5">
        <f ca="1">IFERROR(__xludf.DUMMYFUNCTION("IMPORTRANGE(""https://docs.google.com/spreadsheets/d/1rOGZhKHVnDGFqGTO7UNOJSkSJyQwVuEb2-yhWQit7lw/edit?gid=1695357766#gid=1695357766"", address(row($D32),column($D32),,,""FOSS LAB-Q""))"),9)</f>
        <v>9</v>
      </c>
      <c r="O34" s="8">
        <f t="shared" ca="1" si="7"/>
        <v>100</v>
      </c>
      <c r="P34" s="5">
        <f ca="1">IFERROR(__xludf.DUMMYFUNCTION("IMPORTRANGE(""https://docs.google.com/spreadsheets/d/1rOGZhKHVnDGFqGTO7UNOJSkSJyQwVuEb2-yhWQit7lw/edit?gid=1247110859#gid=1247110859"", address(row($D32),column($D32),,,""PP-Q""))"),16)</f>
        <v>16</v>
      </c>
      <c r="Q34" s="8">
        <f t="shared" ca="1" si="8"/>
        <v>88.888888888888886</v>
      </c>
      <c r="R34" s="5">
        <f ca="1">IFERROR(__xludf.DUMMYFUNCTION("IMPORTRANGE(""https://docs.google.com/spreadsheets/d/1rOGZhKHVnDGFqGTO7UNOJSkSJyQwVuEb2-yhWQit7lw/edit?gid=675135389#gid=675135389"", address(row($D32),column($D32),,,""NPTEL-Q""))"),8)</f>
        <v>8</v>
      </c>
      <c r="S34" s="5">
        <f t="shared" ca="1" si="9"/>
        <v>80</v>
      </c>
      <c r="T34" s="6">
        <f ca="1">IFERROR(__xludf.DUMMYFUNCTION("IMPORTRANGE(""https://docs.google.com/spreadsheets/d/1rOGZhKHVnDGFqGTO7UNOJSkSJyQwVuEb2-yhWQit7lw/edit?gid=290696378#gid=290696378"", address(row($D32),column($D32),,,""CRT-Q""))"),0)</f>
        <v>0</v>
      </c>
      <c r="U34" s="8" t="e">
        <f t="shared" ca="1" si="10"/>
        <v>#DIV/0!</v>
      </c>
      <c r="V34" s="6">
        <f t="shared" ca="1" si="0"/>
        <v>130</v>
      </c>
      <c r="W34" s="4">
        <f t="shared" ca="1" si="11"/>
        <v>80</v>
      </c>
      <c r="X34" s="4">
        <v>0</v>
      </c>
      <c r="Y34" s="4">
        <v>0</v>
      </c>
      <c r="Z34" s="4">
        <f t="shared" ca="1" si="1"/>
        <v>130</v>
      </c>
      <c r="AA34" s="10">
        <f t="shared" ca="1" si="12"/>
        <v>80</v>
      </c>
    </row>
    <row r="35" spans="1:27" ht="15.85" customHeight="1" x14ac:dyDescent="0.35">
      <c r="A35" s="8">
        <v>30</v>
      </c>
      <c r="B35" s="9" t="s">
        <v>667</v>
      </c>
      <c r="C35" s="21" t="s">
        <v>668</v>
      </c>
      <c r="D35" s="5">
        <f ca="1">IFERROR(__xludf.DUMMYFUNCTION("IMPORTRANGE(""https://docs.google.com/spreadsheets/d/1rOGZhKHVnDGFqGTO7UNOJSkSJyQwVuEb2-yhWQit7lw/edit?gid=99713220#gid=99713220"", address(row($D33),column($D33),,,""DM&amp;GT-Q""))"),21)</f>
        <v>21</v>
      </c>
      <c r="E35" s="8">
        <f t="shared" ca="1" si="2"/>
        <v>72.41379310344827</v>
      </c>
      <c r="F35" s="5">
        <f ca="1">IFERROR(__xludf.DUMMYFUNCTION("IMPORTRANGE(""https://docs.google.com/spreadsheets/d/1rOGZhKHVnDGFqGTO7UNOJSkSJyQwVuEb2-yhWQit7lw/edit?gid=1654206091#gid=1654206091"", address(row($D33),column($D33),,,""UHV-Q""))"),7)</f>
        <v>7</v>
      </c>
      <c r="G35" s="8">
        <f t="shared" ca="1" si="3"/>
        <v>41.17647058823529</v>
      </c>
      <c r="H35" s="5">
        <f ca="1">IFERROR(__xludf.DUMMYFUNCTION("IMPORTRANGE(""https://docs.google.com/spreadsheets/d/1rOGZhKHVnDGFqGTO7UNOJSkSJyQwVuEb2-yhWQit7lw/edit?gid=1540132670#gid=1540132670"", address(row($D33),column($D33),,,""DL&amp;CO-Q""))"),10)</f>
        <v>10</v>
      </c>
      <c r="I35" s="8">
        <f t="shared" ca="1" si="4"/>
        <v>43.478260869565219</v>
      </c>
      <c r="J35" s="5">
        <f ca="1">IFERROR(__xludf.DUMMYFUNCTION("IMPORTRANGE(""https://docs.google.com/spreadsheets/d/1rOGZhKHVnDGFqGTO7UNOJSkSJyQwVuEb2-yhWQit7lw/edit?gid=1833881194#gid=1833881194"", address(row($D33),column($D33),,,""ADSA-Q""))"),26)</f>
        <v>26</v>
      </c>
      <c r="K35" s="8">
        <f t="shared" ca="1" si="5"/>
        <v>61.904761904761905</v>
      </c>
      <c r="L35" s="5">
        <f ca="1">IFERROR(__xludf.DUMMYFUNCTION("IMPORTRANGE(""https://docs.google.com/spreadsheets/d/1rOGZhKHVnDGFqGTO7UNOJSkSJyQwVuEb2-yhWQit7lw/edit?gid=1675789617#gid=1675789617"", address(row($D33),column($D33),,,""JAVA-Q""))"),10)</f>
        <v>10</v>
      </c>
      <c r="M35" s="8">
        <f t="shared" ca="1" si="6"/>
        <v>71.428571428571431</v>
      </c>
      <c r="N35" s="5">
        <f ca="1">IFERROR(__xludf.DUMMYFUNCTION("IMPORTRANGE(""https://docs.google.com/spreadsheets/d/1rOGZhKHVnDGFqGTO7UNOJSkSJyQwVuEb2-yhWQit7lw/edit?gid=1695357766#gid=1695357766"", address(row($D33),column($D33),,,""FOSS LAB-Q""))"),6)</f>
        <v>6</v>
      </c>
      <c r="O35" s="8">
        <f t="shared" ca="1" si="7"/>
        <v>66.666666666666657</v>
      </c>
      <c r="P35" s="5">
        <f ca="1">IFERROR(__xludf.DUMMYFUNCTION("IMPORTRANGE(""https://docs.google.com/spreadsheets/d/1rOGZhKHVnDGFqGTO7UNOJSkSJyQwVuEb2-yhWQit7lw/edit?gid=1247110859#gid=1247110859"", address(row($D33),column($D33),,,""PP-Q""))"),10)</f>
        <v>10</v>
      </c>
      <c r="Q35" s="8">
        <f t="shared" ca="1" si="8"/>
        <v>55.555555555555557</v>
      </c>
      <c r="R35" s="5">
        <f ca="1">IFERROR(__xludf.DUMMYFUNCTION("IMPORTRANGE(""https://docs.google.com/spreadsheets/d/1rOGZhKHVnDGFqGTO7UNOJSkSJyQwVuEb2-yhWQit7lw/edit?gid=675135389#gid=675135389"", address(row($D33),column($D33),,,""NPTEL-Q""))"),8)</f>
        <v>8</v>
      </c>
      <c r="S35" s="5">
        <f t="shared" ca="1" si="9"/>
        <v>80</v>
      </c>
      <c r="T35" s="6">
        <f ca="1">IFERROR(__xludf.DUMMYFUNCTION("IMPORTRANGE(""https://docs.google.com/spreadsheets/d/1rOGZhKHVnDGFqGTO7UNOJSkSJyQwVuEb2-yhWQit7lw/edit?gid=290696378#gid=290696378"", address(row($D33),column($D33),,,""CRT-Q""))"),0)</f>
        <v>0</v>
      </c>
      <c r="U35" s="8" t="e">
        <f t="shared" ca="1" si="10"/>
        <v>#DIV/0!</v>
      </c>
      <c r="V35" s="6">
        <f t="shared" ca="1" si="0"/>
        <v>98</v>
      </c>
      <c r="W35" s="4">
        <f t="shared" ca="1" si="11"/>
        <v>60</v>
      </c>
      <c r="X35" s="4">
        <v>0</v>
      </c>
      <c r="Y35" s="4">
        <v>0</v>
      </c>
      <c r="Z35" s="4">
        <f t="shared" ca="1" si="1"/>
        <v>98</v>
      </c>
      <c r="AA35" s="10">
        <f t="shared" ca="1" si="12"/>
        <v>60</v>
      </c>
    </row>
    <row r="36" spans="1:27" ht="15.85" customHeight="1" x14ac:dyDescent="0.35">
      <c r="A36" s="8">
        <v>31</v>
      </c>
      <c r="B36" s="9" t="s">
        <v>669</v>
      </c>
      <c r="C36" s="21" t="s">
        <v>670</v>
      </c>
      <c r="D36" s="5">
        <f ca="1">IFERROR(__xludf.DUMMYFUNCTION("IMPORTRANGE(""https://docs.google.com/spreadsheets/d/1rOGZhKHVnDGFqGTO7UNOJSkSJyQwVuEb2-yhWQit7lw/edit?gid=99713220#gid=99713220"", address(row($D34),column($D34),,,""DM&amp;GT-Q""))"),26)</f>
        <v>26</v>
      </c>
      <c r="E36" s="8">
        <f t="shared" ca="1" si="2"/>
        <v>89.65517241379311</v>
      </c>
      <c r="F36" s="5">
        <f ca="1">IFERROR(__xludf.DUMMYFUNCTION("IMPORTRANGE(""https://docs.google.com/spreadsheets/d/1rOGZhKHVnDGFqGTO7UNOJSkSJyQwVuEb2-yhWQit7lw/edit?gid=1654206091#gid=1654206091"", address(row($D34),column($D34),,,""UHV-Q""))"),14)</f>
        <v>14</v>
      </c>
      <c r="G36" s="8">
        <f t="shared" ca="1" si="3"/>
        <v>82.35294117647058</v>
      </c>
      <c r="H36" s="5">
        <f ca="1">IFERROR(__xludf.DUMMYFUNCTION("IMPORTRANGE(""https://docs.google.com/spreadsheets/d/1rOGZhKHVnDGFqGTO7UNOJSkSJyQwVuEb2-yhWQit7lw/edit?gid=1540132670#gid=1540132670"", address(row($D34),column($D34),,,""DL&amp;CO-Q""))"),13)</f>
        <v>13</v>
      </c>
      <c r="I36" s="8">
        <f t="shared" ca="1" si="4"/>
        <v>56.521739130434781</v>
      </c>
      <c r="J36" s="5">
        <f ca="1">IFERROR(__xludf.DUMMYFUNCTION("IMPORTRANGE(""https://docs.google.com/spreadsheets/d/1rOGZhKHVnDGFqGTO7UNOJSkSJyQwVuEb2-yhWQit7lw/edit?gid=1833881194#gid=1833881194"", address(row($D34),column($D34),,,""ADSA-Q""))"),38)</f>
        <v>38</v>
      </c>
      <c r="K36" s="8">
        <f t="shared" ca="1" si="5"/>
        <v>90.476190476190482</v>
      </c>
      <c r="L36" s="5">
        <f ca="1">IFERROR(__xludf.DUMMYFUNCTION("IMPORTRANGE(""https://docs.google.com/spreadsheets/d/1rOGZhKHVnDGFqGTO7UNOJSkSJyQwVuEb2-yhWQit7lw/edit?gid=1675789617#gid=1675789617"", address(row($D34),column($D34),,,""JAVA-Q""))"),14)</f>
        <v>14</v>
      </c>
      <c r="M36" s="8">
        <f t="shared" ca="1" si="6"/>
        <v>100</v>
      </c>
      <c r="N36" s="5">
        <f ca="1">IFERROR(__xludf.DUMMYFUNCTION("IMPORTRANGE(""https://docs.google.com/spreadsheets/d/1rOGZhKHVnDGFqGTO7UNOJSkSJyQwVuEb2-yhWQit7lw/edit?gid=1695357766#gid=1695357766"", address(row($D34),column($D34),,,""FOSS LAB-Q""))"),9)</f>
        <v>9</v>
      </c>
      <c r="O36" s="8">
        <f t="shared" ca="1" si="7"/>
        <v>100</v>
      </c>
      <c r="P36" s="5">
        <f ca="1">IFERROR(__xludf.DUMMYFUNCTION("IMPORTRANGE(""https://docs.google.com/spreadsheets/d/1rOGZhKHVnDGFqGTO7UNOJSkSJyQwVuEb2-yhWQit7lw/edit?gid=1247110859#gid=1247110859"", address(row($D34),column($D34),,,""PP-Q""))"),16)</f>
        <v>16</v>
      </c>
      <c r="Q36" s="8">
        <f t="shared" ca="1" si="8"/>
        <v>88.888888888888886</v>
      </c>
      <c r="R36" s="5">
        <f ca="1">IFERROR(__xludf.DUMMYFUNCTION("IMPORTRANGE(""https://docs.google.com/spreadsheets/d/1rOGZhKHVnDGFqGTO7UNOJSkSJyQwVuEb2-yhWQit7lw/edit?gid=675135389#gid=675135389"", address(row($D34),column($D34),,,""NPTEL-Q""))"),10)</f>
        <v>10</v>
      </c>
      <c r="S36" s="5">
        <f t="shared" ca="1" si="9"/>
        <v>100</v>
      </c>
      <c r="T36" s="6">
        <f ca="1">IFERROR(__xludf.DUMMYFUNCTION("IMPORTRANGE(""https://docs.google.com/spreadsheets/d/1rOGZhKHVnDGFqGTO7UNOJSkSJyQwVuEb2-yhWQit7lw/edit?gid=290696378#gid=290696378"", address(row($D34),column($D34),,,""CRT-Q""))"),0)</f>
        <v>0</v>
      </c>
      <c r="U36" s="8" t="e">
        <f t="shared" ca="1" si="10"/>
        <v>#DIV/0!</v>
      </c>
      <c r="V36" s="6">
        <f t="shared" ca="1" si="0"/>
        <v>140</v>
      </c>
      <c r="W36" s="4">
        <f t="shared" ca="1" si="11"/>
        <v>86</v>
      </c>
      <c r="X36" s="4">
        <v>0</v>
      </c>
      <c r="Y36" s="4">
        <v>0</v>
      </c>
      <c r="Z36" s="4">
        <f t="shared" ca="1" si="1"/>
        <v>140</v>
      </c>
      <c r="AA36" s="10">
        <f t="shared" ca="1" si="12"/>
        <v>86</v>
      </c>
    </row>
    <row r="37" spans="1:27" ht="15.85" customHeight="1" x14ac:dyDescent="0.35">
      <c r="A37" s="8">
        <v>32</v>
      </c>
      <c r="B37" s="9" t="s">
        <v>671</v>
      </c>
      <c r="C37" s="21" t="s">
        <v>672</v>
      </c>
      <c r="D37" s="5">
        <f ca="1">IFERROR(__xludf.DUMMYFUNCTION("IMPORTRANGE(""https://docs.google.com/spreadsheets/d/1rOGZhKHVnDGFqGTO7UNOJSkSJyQwVuEb2-yhWQit7lw/edit?gid=99713220#gid=99713220"", address(row($D35),column($D35),,,""DM&amp;GT-Q""))"),19)</f>
        <v>19</v>
      </c>
      <c r="E37" s="8">
        <f t="shared" ca="1" si="2"/>
        <v>65.517241379310349</v>
      </c>
      <c r="F37" s="5">
        <f ca="1">IFERROR(__xludf.DUMMYFUNCTION("IMPORTRANGE(""https://docs.google.com/spreadsheets/d/1rOGZhKHVnDGFqGTO7UNOJSkSJyQwVuEb2-yhWQit7lw/edit?gid=1654206091#gid=1654206091"", address(row($D35),column($D35),,,""UHV-Q""))"),8)</f>
        <v>8</v>
      </c>
      <c r="G37" s="8">
        <f t="shared" ca="1" si="3"/>
        <v>47.058823529411761</v>
      </c>
      <c r="H37" s="5">
        <f ca="1">IFERROR(__xludf.DUMMYFUNCTION("IMPORTRANGE(""https://docs.google.com/spreadsheets/d/1rOGZhKHVnDGFqGTO7UNOJSkSJyQwVuEb2-yhWQit7lw/edit?gid=1540132670#gid=1540132670"", address(row($D35),column($D35),,,""DL&amp;CO-Q""))"),11)</f>
        <v>11</v>
      </c>
      <c r="I37" s="8">
        <f t="shared" ca="1" si="4"/>
        <v>47.826086956521742</v>
      </c>
      <c r="J37" s="5">
        <f ca="1">IFERROR(__xludf.DUMMYFUNCTION("IMPORTRANGE(""https://docs.google.com/spreadsheets/d/1rOGZhKHVnDGFqGTO7UNOJSkSJyQwVuEb2-yhWQit7lw/edit?gid=1833881194#gid=1833881194"", address(row($D35),column($D35),,,""ADSA-Q""))"),22)</f>
        <v>22</v>
      </c>
      <c r="K37" s="8">
        <f t="shared" ca="1" si="5"/>
        <v>52.380952380952387</v>
      </c>
      <c r="L37" s="5">
        <f ca="1">IFERROR(__xludf.DUMMYFUNCTION("IMPORTRANGE(""https://docs.google.com/spreadsheets/d/1rOGZhKHVnDGFqGTO7UNOJSkSJyQwVuEb2-yhWQit7lw/edit?gid=1675789617#gid=1675789617"", address(row($D35),column($D35),,,""JAVA-Q""))"),12)</f>
        <v>12</v>
      </c>
      <c r="M37" s="8">
        <f t="shared" ca="1" si="6"/>
        <v>85.714285714285708</v>
      </c>
      <c r="N37" s="5">
        <f ca="1">IFERROR(__xludf.DUMMYFUNCTION("IMPORTRANGE(""https://docs.google.com/spreadsheets/d/1rOGZhKHVnDGFqGTO7UNOJSkSJyQwVuEb2-yhWQit7lw/edit?gid=1695357766#gid=1695357766"", address(row($D35),column($D35),,,""FOSS LAB-Q""))"),6)</f>
        <v>6</v>
      </c>
      <c r="O37" s="8">
        <f t="shared" ca="1" si="7"/>
        <v>66.666666666666657</v>
      </c>
      <c r="P37" s="5">
        <f ca="1">IFERROR(__xludf.DUMMYFUNCTION("IMPORTRANGE(""https://docs.google.com/spreadsheets/d/1rOGZhKHVnDGFqGTO7UNOJSkSJyQwVuEb2-yhWQit7lw/edit?gid=1247110859#gid=1247110859"", address(row($D35),column($D35),,,""PP-Q""))"),10)</f>
        <v>10</v>
      </c>
      <c r="Q37" s="8">
        <f t="shared" ca="1" si="8"/>
        <v>55.555555555555557</v>
      </c>
      <c r="R37" s="5">
        <f ca="1">IFERROR(__xludf.DUMMYFUNCTION("IMPORTRANGE(""https://docs.google.com/spreadsheets/d/1rOGZhKHVnDGFqGTO7UNOJSkSJyQwVuEb2-yhWQit7lw/edit?gid=675135389#gid=675135389"", address(row($D35),column($D35),,,""NPTEL-Q""))"),6)</f>
        <v>6</v>
      </c>
      <c r="S37" s="5">
        <f t="shared" ca="1" si="9"/>
        <v>60</v>
      </c>
      <c r="T37" s="6">
        <f ca="1">IFERROR(__xludf.DUMMYFUNCTION("IMPORTRANGE(""https://docs.google.com/spreadsheets/d/1rOGZhKHVnDGFqGTO7UNOJSkSJyQwVuEb2-yhWQit7lw/edit?gid=290696378#gid=290696378"", address(row($D35),column($D35),,,""CRT-Q""))"),0)</f>
        <v>0</v>
      </c>
      <c r="U37" s="8" t="e">
        <f t="shared" ca="1" si="10"/>
        <v>#DIV/0!</v>
      </c>
      <c r="V37" s="6">
        <f t="shared" ca="1" si="0"/>
        <v>94</v>
      </c>
      <c r="W37" s="4">
        <f t="shared" ca="1" si="11"/>
        <v>58</v>
      </c>
      <c r="X37" s="4">
        <v>0</v>
      </c>
      <c r="Y37" s="4">
        <v>0</v>
      </c>
      <c r="Z37" s="4">
        <f t="shared" ca="1" si="1"/>
        <v>94</v>
      </c>
      <c r="AA37" s="10">
        <f t="shared" ca="1" si="12"/>
        <v>58</v>
      </c>
    </row>
    <row r="38" spans="1:27" ht="15.85" customHeight="1" x14ac:dyDescent="0.35">
      <c r="A38" s="8">
        <v>33</v>
      </c>
      <c r="B38" s="9" t="s">
        <v>673</v>
      </c>
      <c r="C38" s="21" t="s">
        <v>674</v>
      </c>
      <c r="D38" s="5">
        <f ca="1">IFERROR(__xludf.DUMMYFUNCTION("IMPORTRANGE(""https://docs.google.com/spreadsheets/d/1rOGZhKHVnDGFqGTO7UNOJSkSJyQwVuEb2-yhWQit7lw/edit?gid=99713220#gid=99713220"", address(row($D36),column($D36),,,""DM&amp;GT-Q""))"),25)</f>
        <v>25</v>
      </c>
      <c r="E38" s="8">
        <f t="shared" ca="1" si="2"/>
        <v>86.206896551724128</v>
      </c>
      <c r="F38" s="5">
        <f ca="1">IFERROR(__xludf.DUMMYFUNCTION("IMPORTRANGE(""https://docs.google.com/spreadsheets/d/1rOGZhKHVnDGFqGTO7UNOJSkSJyQwVuEb2-yhWQit7lw/edit?gid=1654206091#gid=1654206091"", address(row($D36),column($D36),,,""UHV-Q""))"),12)</f>
        <v>12</v>
      </c>
      <c r="G38" s="8">
        <f t="shared" ca="1" si="3"/>
        <v>70.588235294117652</v>
      </c>
      <c r="H38" s="5">
        <f ca="1">IFERROR(__xludf.DUMMYFUNCTION("IMPORTRANGE(""https://docs.google.com/spreadsheets/d/1rOGZhKHVnDGFqGTO7UNOJSkSJyQwVuEb2-yhWQit7lw/edit?gid=1540132670#gid=1540132670"", address(row($D36),column($D36),,,""DL&amp;CO-Q""))"),12)</f>
        <v>12</v>
      </c>
      <c r="I38" s="8">
        <f t="shared" ca="1" si="4"/>
        <v>52.173913043478258</v>
      </c>
      <c r="J38" s="5">
        <f ca="1">IFERROR(__xludf.DUMMYFUNCTION("IMPORTRANGE(""https://docs.google.com/spreadsheets/d/1rOGZhKHVnDGFqGTO7UNOJSkSJyQwVuEb2-yhWQit7lw/edit?gid=1833881194#gid=1833881194"", address(row($D36),column($D36),,,""ADSA-Q""))"),36)</f>
        <v>36</v>
      </c>
      <c r="K38" s="8">
        <f t="shared" ca="1" si="5"/>
        <v>85.714285714285708</v>
      </c>
      <c r="L38" s="5">
        <f ca="1">IFERROR(__xludf.DUMMYFUNCTION("IMPORTRANGE(""https://docs.google.com/spreadsheets/d/1rOGZhKHVnDGFqGTO7UNOJSkSJyQwVuEb2-yhWQit7lw/edit?gid=1675789617#gid=1675789617"", address(row($D36),column($D36),,,""JAVA-Q""))"),14)</f>
        <v>14</v>
      </c>
      <c r="M38" s="8">
        <f t="shared" ca="1" si="6"/>
        <v>100</v>
      </c>
      <c r="N38" s="5">
        <f ca="1">IFERROR(__xludf.DUMMYFUNCTION("IMPORTRANGE(""https://docs.google.com/spreadsheets/d/1rOGZhKHVnDGFqGTO7UNOJSkSJyQwVuEb2-yhWQit7lw/edit?gid=1695357766#gid=1695357766"", address(row($D36),column($D36),,,""FOSS LAB-Q""))"),9)</f>
        <v>9</v>
      </c>
      <c r="O38" s="8">
        <f t="shared" ca="1" si="7"/>
        <v>100</v>
      </c>
      <c r="P38" s="5">
        <f ca="1">IFERROR(__xludf.DUMMYFUNCTION("IMPORTRANGE(""https://docs.google.com/spreadsheets/d/1rOGZhKHVnDGFqGTO7UNOJSkSJyQwVuEb2-yhWQit7lw/edit?gid=1247110859#gid=1247110859"", address(row($D36),column($D36),,,""PP-Q""))"),12)</f>
        <v>12</v>
      </c>
      <c r="Q38" s="8">
        <f t="shared" ca="1" si="8"/>
        <v>66.666666666666657</v>
      </c>
      <c r="R38" s="5">
        <f ca="1">IFERROR(__xludf.DUMMYFUNCTION("IMPORTRANGE(""https://docs.google.com/spreadsheets/d/1rOGZhKHVnDGFqGTO7UNOJSkSJyQwVuEb2-yhWQit7lw/edit?gid=675135389#gid=675135389"", address(row($D36),column($D36),,,""NPTEL-Q""))"),10)</f>
        <v>10</v>
      </c>
      <c r="S38" s="5">
        <f t="shared" ca="1" si="9"/>
        <v>100</v>
      </c>
      <c r="T38" s="6">
        <f ca="1">IFERROR(__xludf.DUMMYFUNCTION("IMPORTRANGE(""https://docs.google.com/spreadsheets/d/1rOGZhKHVnDGFqGTO7UNOJSkSJyQwVuEb2-yhWQit7lw/edit?gid=290696378#gid=290696378"", address(row($D36),column($D36),,,""CRT-Q""))"),0)</f>
        <v>0</v>
      </c>
      <c r="U38" s="8" t="e">
        <f t="shared" ca="1" si="10"/>
        <v>#DIV/0!</v>
      </c>
      <c r="V38" s="6">
        <f t="shared" ca="1" si="0"/>
        <v>130</v>
      </c>
      <c r="W38" s="4">
        <f t="shared" ca="1" si="11"/>
        <v>80</v>
      </c>
      <c r="X38" s="4">
        <v>0</v>
      </c>
      <c r="Y38" s="4">
        <v>0</v>
      </c>
      <c r="Z38" s="4">
        <f t="shared" ca="1" si="1"/>
        <v>130</v>
      </c>
      <c r="AA38" s="10">
        <f t="shared" ca="1" si="12"/>
        <v>80</v>
      </c>
    </row>
    <row r="39" spans="1:27" ht="15.85" customHeight="1" x14ac:dyDescent="0.35">
      <c r="A39" s="8">
        <v>34</v>
      </c>
      <c r="B39" s="9" t="s">
        <v>675</v>
      </c>
      <c r="C39" s="21" t="s">
        <v>676</v>
      </c>
      <c r="D39" s="5">
        <f ca="1">IFERROR(__xludf.DUMMYFUNCTION("IMPORTRANGE(""https://docs.google.com/spreadsheets/d/1rOGZhKHVnDGFqGTO7UNOJSkSJyQwVuEb2-yhWQit7lw/edit?gid=99713220#gid=99713220"", address(row($D37),column($D37),,,""DM&amp;GT-Q""))"),25)</f>
        <v>25</v>
      </c>
      <c r="E39" s="8">
        <f t="shared" ca="1" si="2"/>
        <v>86.206896551724128</v>
      </c>
      <c r="F39" s="5">
        <f ca="1">IFERROR(__xludf.DUMMYFUNCTION("IMPORTRANGE(""https://docs.google.com/spreadsheets/d/1rOGZhKHVnDGFqGTO7UNOJSkSJyQwVuEb2-yhWQit7lw/edit?gid=1654206091#gid=1654206091"", address(row($D37),column($D37),,,""UHV-Q""))"),15)</f>
        <v>15</v>
      </c>
      <c r="G39" s="8">
        <f t="shared" ca="1" si="3"/>
        <v>88.235294117647058</v>
      </c>
      <c r="H39" s="5">
        <f ca="1">IFERROR(__xludf.DUMMYFUNCTION("IMPORTRANGE(""https://docs.google.com/spreadsheets/d/1rOGZhKHVnDGFqGTO7UNOJSkSJyQwVuEb2-yhWQit7lw/edit?gid=1540132670#gid=1540132670"", address(row($D37),column($D37),,,""DL&amp;CO-Q""))"),19)</f>
        <v>19</v>
      </c>
      <c r="I39" s="8">
        <f t="shared" ca="1" si="4"/>
        <v>82.608695652173907</v>
      </c>
      <c r="J39" s="5">
        <f ca="1">IFERROR(__xludf.DUMMYFUNCTION("IMPORTRANGE(""https://docs.google.com/spreadsheets/d/1rOGZhKHVnDGFqGTO7UNOJSkSJyQwVuEb2-yhWQit7lw/edit?gid=1833881194#gid=1833881194"", address(row($D37),column($D37),,,""ADSA-Q""))"),32)</f>
        <v>32</v>
      </c>
      <c r="K39" s="8">
        <f t="shared" ca="1" si="5"/>
        <v>76.19047619047619</v>
      </c>
      <c r="L39" s="5">
        <f ca="1">IFERROR(__xludf.DUMMYFUNCTION("IMPORTRANGE(""https://docs.google.com/spreadsheets/d/1rOGZhKHVnDGFqGTO7UNOJSkSJyQwVuEb2-yhWQit7lw/edit?gid=1675789617#gid=1675789617"", address(row($D37),column($D37),,,""JAVA-Q""))"),14)</f>
        <v>14</v>
      </c>
      <c r="M39" s="8">
        <f t="shared" ca="1" si="6"/>
        <v>100</v>
      </c>
      <c r="N39" s="5">
        <f ca="1">IFERROR(__xludf.DUMMYFUNCTION("IMPORTRANGE(""https://docs.google.com/spreadsheets/d/1rOGZhKHVnDGFqGTO7UNOJSkSJyQwVuEb2-yhWQit7lw/edit?gid=1695357766#gid=1695357766"", address(row($D37),column($D37),,,""FOSS LAB-Q""))"),9)</f>
        <v>9</v>
      </c>
      <c r="O39" s="8">
        <f t="shared" ca="1" si="7"/>
        <v>100</v>
      </c>
      <c r="P39" s="5">
        <f ca="1">IFERROR(__xludf.DUMMYFUNCTION("IMPORTRANGE(""https://docs.google.com/spreadsheets/d/1rOGZhKHVnDGFqGTO7UNOJSkSJyQwVuEb2-yhWQit7lw/edit?gid=1247110859#gid=1247110859"", address(row($D37),column($D37),,,""PP-Q""))"),14)</f>
        <v>14</v>
      </c>
      <c r="Q39" s="8">
        <f t="shared" ca="1" si="8"/>
        <v>77.777777777777786</v>
      </c>
      <c r="R39" s="5">
        <f ca="1">IFERROR(__xludf.DUMMYFUNCTION("IMPORTRANGE(""https://docs.google.com/spreadsheets/d/1rOGZhKHVnDGFqGTO7UNOJSkSJyQwVuEb2-yhWQit7lw/edit?gid=675135389#gid=675135389"", address(row($D37),column($D37),,,""NPTEL-Q""))"),10)</f>
        <v>10</v>
      </c>
      <c r="S39" s="5">
        <f t="shared" ca="1" si="9"/>
        <v>100</v>
      </c>
      <c r="T39" s="6">
        <f ca="1">IFERROR(__xludf.DUMMYFUNCTION("IMPORTRANGE(""https://docs.google.com/spreadsheets/d/1rOGZhKHVnDGFqGTO7UNOJSkSJyQwVuEb2-yhWQit7lw/edit?gid=290696378#gid=290696378"", address(row($D37),column($D37),,,""CRT-Q""))"),0)</f>
        <v>0</v>
      </c>
      <c r="U39" s="8" t="e">
        <f t="shared" ca="1" si="10"/>
        <v>#DIV/0!</v>
      </c>
      <c r="V39" s="6">
        <f t="shared" ca="1" si="0"/>
        <v>138</v>
      </c>
      <c r="W39" s="4">
        <f t="shared" ca="1" si="11"/>
        <v>85</v>
      </c>
      <c r="X39" s="4">
        <v>0</v>
      </c>
      <c r="Y39" s="4">
        <v>0</v>
      </c>
      <c r="Z39" s="4">
        <f t="shared" ca="1" si="1"/>
        <v>138</v>
      </c>
      <c r="AA39" s="10">
        <f t="shared" ca="1" si="12"/>
        <v>85</v>
      </c>
    </row>
    <row r="40" spans="1:27" ht="15.85" customHeight="1" x14ac:dyDescent="0.35">
      <c r="A40" s="8">
        <v>35</v>
      </c>
      <c r="B40" s="9" t="s">
        <v>677</v>
      </c>
      <c r="C40" s="21" t="s">
        <v>678</v>
      </c>
      <c r="D40" s="5">
        <f ca="1">IFERROR(__xludf.DUMMYFUNCTION("IMPORTRANGE(""https://docs.google.com/spreadsheets/d/1rOGZhKHVnDGFqGTO7UNOJSkSJyQwVuEb2-yhWQit7lw/edit?gid=99713220#gid=99713220"", address(row($D38),column($D38),,,""DM&amp;GT-Q""))"),25)</f>
        <v>25</v>
      </c>
      <c r="E40" s="8">
        <f t="shared" ca="1" si="2"/>
        <v>86.206896551724128</v>
      </c>
      <c r="F40" s="5">
        <f ca="1">IFERROR(__xludf.DUMMYFUNCTION("IMPORTRANGE(""https://docs.google.com/spreadsheets/d/1rOGZhKHVnDGFqGTO7UNOJSkSJyQwVuEb2-yhWQit7lw/edit?gid=1654206091#gid=1654206091"", address(row($D38),column($D38),,,""UHV-Q""))"),14)</f>
        <v>14</v>
      </c>
      <c r="G40" s="8">
        <f t="shared" ca="1" si="3"/>
        <v>82.35294117647058</v>
      </c>
      <c r="H40" s="5">
        <f ca="1">IFERROR(__xludf.DUMMYFUNCTION("IMPORTRANGE(""https://docs.google.com/spreadsheets/d/1rOGZhKHVnDGFqGTO7UNOJSkSJyQwVuEb2-yhWQit7lw/edit?gid=1540132670#gid=1540132670"", address(row($D38),column($D38),,,""DL&amp;CO-Q""))"),20)</f>
        <v>20</v>
      </c>
      <c r="I40" s="8">
        <f t="shared" ca="1" si="4"/>
        <v>86.956521739130437</v>
      </c>
      <c r="J40" s="5">
        <f ca="1">IFERROR(__xludf.DUMMYFUNCTION("IMPORTRANGE(""https://docs.google.com/spreadsheets/d/1rOGZhKHVnDGFqGTO7UNOJSkSJyQwVuEb2-yhWQit7lw/edit?gid=1833881194#gid=1833881194"", address(row($D38),column($D38),,,""ADSA-Q""))"),34)</f>
        <v>34</v>
      </c>
      <c r="K40" s="8">
        <f t="shared" ca="1" si="5"/>
        <v>80.952380952380949</v>
      </c>
      <c r="L40" s="5">
        <f ca="1">IFERROR(__xludf.DUMMYFUNCTION("IMPORTRANGE(""https://docs.google.com/spreadsheets/d/1rOGZhKHVnDGFqGTO7UNOJSkSJyQwVuEb2-yhWQit7lw/edit?gid=1675789617#gid=1675789617"", address(row($D38),column($D38),,,""JAVA-Q""))"),6)</f>
        <v>6</v>
      </c>
      <c r="M40" s="8">
        <f t="shared" ca="1" si="6"/>
        <v>42.857142857142854</v>
      </c>
      <c r="N40" s="5">
        <f ca="1">IFERROR(__xludf.DUMMYFUNCTION("IMPORTRANGE(""https://docs.google.com/spreadsheets/d/1rOGZhKHVnDGFqGTO7UNOJSkSJyQwVuEb2-yhWQit7lw/edit?gid=1695357766#gid=1695357766"", address(row($D38),column($D38),,,""FOSS LAB-Q""))"),6)</f>
        <v>6</v>
      </c>
      <c r="O40" s="8">
        <f t="shared" ca="1" si="7"/>
        <v>66.666666666666657</v>
      </c>
      <c r="P40" s="5">
        <f ca="1">IFERROR(__xludf.DUMMYFUNCTION("IMPORTRANGE(""https://docs.google.com/spreadsheets/d/1rOGZhKHVnDGFqGTO7UNOJSkSJyQwVuEb2-yhWQit7lw/edit?gid=1247110859#gid=1247110859"", address(row($D38),column($D38),,,""PP-Q""))"),16)</f>
        <v>16</v>
      </c>
      <c r="Q40" s="8">
        <f t="shared" ca="1" si="8"/>
        <v>88.888888888888886</v>
      </c>
      <c r="R40" s="5">
        <f ca="1">IFERROR(__xludf.DUMMYFUNCTION("IMPORTRANGE(""https://docs.google.com/spreadsheets/d/1rOGZhKHVnDGFqGTO7UNOJSkSJyQwVuEb2-yhWQit7lw/edit?gid=675135389#gid=675135389"", address(row($D38),column($D38),,,""NPTEL-Q""))"),6)</f>
        <v>6</v>
      </c>
      <c r="S40" s="5">
        <f t="shared" ca="1" si="9"/>
        <v>60</v>
      </c>
      <c r="T40" s="6">
        <f ca="1">IFERROR(__xludf.DUMMYFUNCTION("IMPORTRANGE(""https://docs.google.com/spreadsheets/d/1rOGZhKHVnDGFqGTO7UNOJSkSJyQwVuEb2-yhWQit7lw/edit?gid=290696378#gid=290696378"", address(row($D38),column($D38),,,""CRT-Q""))"),0)</f>
        <v>0</v>
      </c>
      <c r="U40" s="8" t="e">
        <f t="shared" ca="1" si="10"/>
        <v>#DIV/0!</v>
      </c>
      <c r="V40" s="6">
        <f t="shared" ca="1" si="0"/>
        <v>127</v>
      </c>
      <c r="W40" s="4">
        <f t="shared" ca="1" si="11"/>
        <v>78</v>
      </c>
      <c r="X40" s="4">
        <v>0</v>
      </c>
      <c r="Y40" s="4">
        <v>0</v>
      </c>
      <c r="Z40" s="4">
        <f t="shared" ca="1" si="1"/>
        <v>127</v>
      </c>
      <c r="AA40" s="10">
        <f t="shared" ca="1" si="12"/>
        <v>78</v>
      </c>
    </row>
    <row r="41" spans="1:27" ht="15.85" customHeight="1" x14ac:dyDescent="0.35">
      <c r="A41" s="8">
        <v>36</v>
      </c>
      <c r="B41" s="9" t="s">
        <v>679</v>
      </c>
      <c r="C41" s="21" t="s">
        <v>680</v>
      </c>
      <c r="D41" s="5">
        <f ca="1">IFERROR(__xludf.DUMMYFUNCTION("IMPORTRANGE(""https://docs.google.com/spreadsheets/d/1rOGZhKHVnDGFqGTO7UNOJSkSJyQwVuEb2-yhWQit7lw/edit?gid=99713220#gid=99713220"", address(row($D39),column($D39),,,""DM&amp;GT-Q""))"),26)</f>
        <v>26</v>
      </c>
      <c r="E41" s="8">
        <f t="shared" ca="1" si="2"/>
        <v>89.65517241379311</v>
      </c>
      <c r="F41" s="5">
        <f ca="1">IFERROR(__xludf.DUMMYFUNCTION("IMPORTRANGE(""https://docs.google.com/spreadsheets/d/1rOGZhKHVnDGFqGTO7UNOJSkSJyQwVuEb2-yhWQit7lw/edit?gid=1654206091#gid=1654206091"", address(row($D39),column($D39),,,""UHV-Q""))"),15)</f>
        <v>15</v>
      </c>
      <c r="G41" s="8">
        <f t="shared" ca="1" si="3"/>
        <v>88.235294117647058</v>
      </c>
      <c r="H41" s="5">
        <f ca="1">IFERROR(__xludf.DUMMYFUNCTION("IMPORTRANGE(""https://docs.google.com/spreadsheets/d/1rOGZhKHVnDGFqGTO7UNOJSkSJyQwVuEb2-yhWQit7lw/edit?gid=1540132670#gid=1540132670"", address(row($D39),column($D39),,,""DL&amp;CO-Q""))"),17)</f>
        <v>17</v>
      </c>
      <c r="I41" s="8">
        <f t="shared" ca="1" si="4"/>
        <v>73.91304347826086</v>
      </c>
      <c r="J41" s="5">
        <f ca="1">IFERROR(__xludf.DUMMYFUNCTION("IMPORTRANGE(""https://docs.google.com/spreadsheets/d/1rOGZhKHVnDGFqGTO7UNOJSkSJyQwVuEb2-yhWQit7lw/edit?gid=1833881194#gid=1833881194"", address(row($D39),column($D39),,,""ADSA-Q""))"),36)</f>
        <v>36</v>
      </c>
      <c r="K41" s="8">
        <f t="shared" ca="1" si="5"/>
        <v>85.714285714285708</v>
      </c>
      <c r="L41" s="5">
        <f ca="1">IFERROR(__xludf.DUMMYFUNCTION("IMPORTRANGE(""https://docs.google.com/spreadsheets/d/1rOGZhKHVnDGFqGTO7UNOJSkSJyQwVuEb2-yhWQit7lw/edit?gid=1675789617#gid=1675789617"", address(row($D39),column($D39),,,""JAVA-Q""))"),12)</f>
        <v>12</v>
      </c>
      <c r="M41" s="8">
        <f t="shared" ca="1" si="6"/>
        <v>85.714285714285708</v>
      </c>
      <c r="N41" s="5">
        <f ca="1">IFERROR(__xludf.DUMMYFUNCTION("IMPORTRANGE(""https://docs.google.com/spreadsheets/d/1rOGZhKHVnDGFqGTO7UNOJSkSJyQwVuEb2-yhWQit7lw/edit?gid=1695357766#gid=1695357766"", address(row($D39),column($D39),,,""FOSS LAB-Q""))"),9)</f>
        <v>9</v>
      </c>
      <c r="O41" s="8">
        <f t="shared" ca="1" si="7"/>
        <v>100</v>
      </c>
      <c r="P41" s="5">
        <f ca="1">IFERROR(__xludf.DUMMYFUNCTION("IMPORTRANGE(""https://docs.google.com/spreadsheets/d/1rOGZhKHVnDGFqGTO7UNOJSkSJyQwVuEb2-yhWQit7lw/edit?gid=1247110859#gid=1247110859"", address(row($D39),column($D39),,,""PP-Q""))"),14)</f>
        <v>14</v>
      </c>
      <c r="Q41" s="8">
        <f t="shared" ca="1" si="8"/>
        <v>77.777777777777786</v>
      </c>
      <c r="R41" s="5">
        <f ca="1">IFERROR(__xludf.DUMMYFUNCTION("IMPORTRANGE(""https://docs.google.com/spreadsheets/d/1rOGZhKHVnDGFqGTO7UNOJSkSJyQwVuEb2-yhWQit7lw/edit?gid=675135389#gid=675135389"", address(row($D39),column($D39),,,""NPTEL-Q""))"),10)</f>
        <v>10</v>
      </c>
      <c r="S41" s="5">
        <f t="shared" ca="1" si="9"/>
        <v>100</v>
      </c>
      <c r="T41" s="6">
        <f ca="1">IFERROR(__xludf.DUMMYFUNCTION("IMPORTRANGE(""https://docs.google.com/spreadsheets/d/1rOGZhKHVnDGFqGTO7UNOJSkSJyQwVuEb2-yhWQit7lw/edit?gid=290696378#gid=290696378"", address(row($D39),column($D39),,,""CRT-Q""))"),0)</f>
        <v>0</v>
      </c>
      <c r="U41" s="8" t="e">
        <f t="shared" ca="1" si="10"/>
        <v>#DIV/0!</v>
      </c>
      <c r="V41" s="6">
        <f t="shared" ca="1" si="0"/>
        <v>139</v>
      </c>
      <c r="W41" s="4">
        <f t="shared" ca="1" si="11"/>
        <v>86</v>
      </c>
      <c r="X41" s="4">
        <v>0</v>
      </c>
      <c r="Y41" s="4">
        <v>0</v>
      </c>
      <c r="Z41" s="4">
        <f t="shared" ca="1" si="1"/>
        <v>139</v>
      </c>
      <c r="AA41" s="10">
        <f t="shared" ca="1" si="12"/>
        <v>86</v>
      </c>
    </row>
    <row r="42" spans="1:27" ht="15.85" customHeight="1" x14ac:dyDescent="0.35">
      <c r="A42" s="8">
        <v>37</v>
      </c>
      <c r="B42" s="9" t="s">
        <v>681</v>
      </c>
      <c r="C42" s="21" t="s">
        <v>682</v>
      </c>
      <c r="D42" s="5">
        <f ca="1">IFERROR(__xludf.DUMMYFUNCTION("IMPORTRANGE(""https://docs.google.com/spreadsheets/d/1rOGZhKHVnDGFqGTO7UNOJSkSJyQwVuEb2-yhWQit7lw/edit?gid=99713220#gid=99713220"", address(row($D40),column($D40),,,""DM&amp;GT-Q""))"),24)</f>
        <v>24</v>
      </c>
      <c r="E42" s="8">
        <f t="shared" ca="1" si="2"/>
        <v>82.758620689655174</v>
      </c>
      <c r="F42" s="5">
        <f ca="1">IFERROR(__xludf.DUMMYFUNCTION("IMPORTRANGE(""https://docs.google.com/spreadsheets/d/1rOGZhKHVnDGFqGTO7UNOJSkSJyQwVuEb2-yhWQit7lw/edit?gid=1654206091#gid=1654206091"", address(row($D40),column($D40),,,""UHV-Q""))"),12)</f>
        <v>12</v>
      </c>
      <c r="G42" s="8">
        <f t="shared" ca="1" si="3"/>
        <v>70.588235294117652</v>
      </c>
      <c r="H42" s="5">
        <f ca="1">IFERROR(__xludf.DUMMYFUNCTION("IMPORTRANGE(""https://docs.google.com/spreadsheets/d/1rOGZhKHVnDGFqGTO7UNOJSkSJyQwVuEb2-yhWQit7lw/edit?gid=1540132670#gid=1540132670"", address(row($D40),column($D40),,,""DL&amp;CO-Q""))"),11)</f>
        <v>11</v>
      </c>
      <c r="I42" s="8">
        <f t="shared" ca="1" si="4"/>
        <v>47.826086956521742</v>
      </c>
      <c r="J42" s="5">
        <f ca="1">IFERROR(__xludf.DUMMYFUNCTION("IMPORTRANGE(""https://docs.google.com/spreadsheets/d/1rOGZhKHVnDGFqGTO7UNOJSkSJyQwVuEb2-yhWQit7lw/edit?gid=1833881194#gid=1833881194"", address(row($D40),column($D40),,,""ADSA-Q""))"),29)</f>
        <v>29</v>
      </c>
      <c r="K42" s="8">
        <f t="shared" ca="1" si="5"/>
        <v>69.047619047619051</v>
      </c>
      <c r="L42" s="5">
        <f ca="1">IFERROR(__xludf.DUMMYFUNCTION("IMPORTRANGE(""https://docs.google.com/spreadsheets/d/1rOGZhKHVnDGFqGTO7UNOJSkSJyQwVuEb2-yhWQit7lw/edit?gid=1675789617#gid=1675789617"", address(row($D40),column($D40),,,""JAVA-Q""))"),12)</f>
        <v>12</v>
      </c>
      <c r="M42" s="8">
        <f t="shared" ca="1" si="6"/>
        <v>85.714285714285708</v>
      </c>
      <c r="N42" s="5">
        <f ca="1">IFERROR(__xludf.DUMMYFUNCTION("IMPORTRANGE(""https://docs.google.com/spreadsheets/d/1rOGZhKHVnDGFqGTO7UNOJSkSJyQwVuEb2-yhWQit7lw/edit?gid=1695357766#gid=1695357766"", address(row($D40),column($D40),,,""FOSS LAB-Q""))"),6)</f>
        <v>6</v>
      </c>
      <c r="O42" s="8">
        <f t="shared" ca="1" si="7"/>
        <v>66.666666666666657</v>
      </c>
      <c r="P42" s="5">
        <f ca="1">IFERROR(__xludf.DUMMYFUNCTION("IMPORTRANGE(""https://docs.google.com/spreadsheets/d/1rOGZhKHVnDGFqGTO7UNOJSkSJyQwVuEb2-yhWQit7lw/edit?gid=1247110859#gid=1247110859"", address(row($D40),column($D40),,,""PP-Q""))"),12)</f>
        <v>12</v>
      </c>
      <c r="Q42" s="8">
        <f t="shared" ca="1" si="8"/>
        <v>66.666666666666657</v>
      </c>
      <c r="R42" s="5">
        <f ca="1">IFERROR(__xludf.DUMMYFUNCTION("IMPORTRANGE(""https://docs.google.com/spreadsheets/d/1rOGZhKHVnDGFqGTO7UNOJSkSJyQwVuEb2-yhWQit7lw/edit?gid=675135389#gid=675135389"", address(row($D40),column($D40),,,""NPTEL-Q""))"),10)</f>
        <v>10</v>
      </c>
      <c r="S42" s="5">
        <f t="shared" ca="1" si="9"/>
        <v>100</v>
      </c>
      <c r="T42" s="6">
        <f ca="1">IFERROR(__xludf.DUMMYFUNCTION("IMPORTRANGE(""https://docs.google.com/spreadsheets/d/1rOGZhKHVnDGFqGTO7UNOJSkSJyQwVuEb2-yhWQit7lw/edit?gid=290696378#gid=290696378"", address(row($D40),column($D40),,,""CRT-Q""))"),0)</f>
        <v>0</v>
      </c>
      <c r="U42" s="8" t="e">
        <f t="shared" ca="1" si="10"/>
        <v>#DIV/0!</v>
      </c>
      <c r="V42" s="6">
        <f t="shared" ca="1" si="0"/>
        <v>116</v>
      </c>
      <c r="W42" s="4">
        <f t="shared" ca="1" si="11"/>
        <v>72</v>
      </c>
      <c r="X42" s="4">
        <v>0</v>
      </c>
      <c r="Y42" s="4">
        <v>0</v>
      </c>
      <c r="Z42" s="4">
        <f t="shared" ca="1" si="1"/>
        <v>116</v>
      </c>
      <c r="AA42" s="10">
        <f t="shared" ca="1" si="12"/>
        <v>72</v>
      </c>
    </row>
    <row r="43" spans="1:27" ht="15.85" customHeight="1" x14ac:dyDescent="0.35">
      <c r="A43" s="8">
        <v>38</v>
      </c>
      <c r="B43" s="9" t="s">
        <v>683</v>
      </c>
      <c r="C43" s="21" t="s">
        <v>684</v>
      </c>
      <c r="D43" s="5">
        <f ca="1">IFERROR(__xludf.DUMMYFUNCTION("IMPORTRANGE(""https://docs.google.com/spreadsheets/d/1rOGZhKHVnDGFqGTO7UNOJSkSJyQwVuEb2-yhWQit7lw/edit?gid=99713220#gid=99713220"", address(row($D41),column($D41),,,""DM&amp;GT-Q""))"),27)</f>
        <v>27</v>
      </c>
      <c r="E43" s="8">
        <f t="shared" ca="1" si="2"/>
        <v>93.103448275862064</v>
      </c>
      <c r="F43" s="5">
        <f ca="1">IFERROR(__xludf.DUMMYFUNCTION("IMPORTRANGE(""https://docs.google.com/spreadsheets/d/1rOGZhKHVnDGFqGTO7UNOJSkSJyQwVuEb2-yhWQit7lw/edit?gid=1654206091#gid=1654206091"", address(row($D41),column($D41),,,""UHV-Q""))"),16)</f>
        <v>16</v>
      </c>
      <c r="G43" s="8">
        <f t="shared" ca="1" si="3"/>
        <v>94.117647058823522</v>
      </c>
      <c r="H43" s="5">
        <f ca="1">IFERROR(__xludf.DUMMYFUNCTION("IMPORTRANGE(""https://docs.google.com/spreadsheets/d/1rOGZhKHVnDGFqGTO7UNOJSkSJyQwVuEb2-yhWQit7lw/edit?gid=1540132670#gid=1540132670"", address(row($D41),column($D41),,,""DL&amp;CO-Q""))"),16)</f>
        <v>16</v>
      </c>
      <c r="I43" s="8">
        <f t="shared" ca="1" si="4"/>
        <v>69.565217391304344</v>
      </c>
      <c r="J43" s="5">
        <f ca="1">IFERROR(__xludf.DUMMYFUNCTION("IMPORTRANGE(""https://docs.google.com/spreadsheets/d/1rOGZhKHVnDGFqGTO7UNOJSkSJyQwVuEb2-yhWQit7lw/edit?gid=1833881194#gid=1833881194"", address(row($D41),column($D41),,,""ADSA-Q""))"),34)</f>
        <v>34</v>
      </c>
      <c r="K43" s="8">
        <f t="shared" ca="1" si="5"/>
        <v>80.952380952380949</v>
      </c>
      <c r="L43" s="5">
        <f ca="1">IFERROR(__xludf.DUMMYFUNCTION("IMPORTRANGE(""https://docs.google.com/spreadsheets/d/1rOGZhKHVnDGFqGTO7UNOJSkSJyQwVuEb2-yhWQit7lw/edit?gid=1675789617#gid=1675789617"", address(row($D41),column($D41),,,""JAVA-Q""))"),12)</f>
        <v>12</v>
      </c>
      <c r="M43" s="8">
        <f t="shared" ca="1" si="6"/>
        <v>85.714285714285708</v>
      </c>
      <c r="N43" s="5">
        <f ca="1">IFERROR(__xludf.DUMMYFUNCTION("IMPORTRANGE(""https://docs.google.com/spreadsheets/d/1rOGZhKHVnDGFqGTO7UNOJSkSJyQwVuEb2-yhWQit7lw/edit?gid=1695357766#gid=1695357766"", address(row($D41),column($D41),,,""FOSS LAB-Q""))"),9)</f>
        <v>9</v>
      </c>
      <c r="O43" s="8">
        <f t="shared" ca="1" si="7"/>
        <v>100</v>
      </c>
      <c r="P43" s="5">
        <f ca="1">IFERROR(__xludf.DUMMYFUNCTION("IMPORTRANGE(""https://docs.google.com/spreadsheets/d/1rOGZhKHVnDGFqGTO7UNOJSkSJyQwVuEb2-yhWQit7lw/edit?gid=1247110859#gid=1247110859"", address(row($D41),column($D41),,,""PP-Q""))"),16)</f>
        <v>16</v>
      </c>
      <c r="Q43" s="8">
        <f t="shared" ca="1" si="8"/>
        <v>88.888888888888886</v>
      </c>
      <c r="R43" s="5">
        <f ca="1">IFERROR(__xludf.DUMMYFUNCTION("IMPORTRANGE(""https://docs.google.com/spreadsheets/d/1rOGZhKHVnDGFqGTO7UNOJSkSJyQwVuEb2-yhWQit7lw/edit?gid=675135389#gid=675135389"", address(row($D41),column($D41),,,""NPTEL-Q""))"),10)</f>
        <v>10</v>
      </c>
      <c r="S43" s="5">
        <f t="shared" ca="1" si="9"/>
        <v>100</v>
      </c>
      <c r="T43" s="6">
        <f ca="1">IFERROR(__xludf.DUMMYFUNCTION("IMPORTRANGE(""https://docs.google.com/spreadsheets/d/1rOGZhKHVnDGFqGTO7UNOJSkSJyQwVuEb2-yhWQit7lw/edit?gid=290696378#gid=290696378"", address(row($D41),column($D41),,,""CRT-Q""))"),0)</f>
        <v>0</v>
      </c>
      <c r="U43" s="8" t="e">
        <f t="shared" ca="1" si="10"/>
        <v>#DIV/0!</v>
      </c>
      <c r="V43" s="6">
        <f t="shared" ca="1" si="0"/>
        <v>140</v>
      </c>
      <c r="W43" s="4">
        <f t="shared" ca="1" si="11"/>
        <v>86</v>
      </c>
      <c r="X43" s="4">
        <v>0</v>
      </c>
      <c r="Y43" s="4">
        <v>0</v>
      </c>
      <c r="Z43" s="4">
        <f t="shared" ca="1" si="1"/>
        <v>140</v>
      </c>
      <c r="AA43" s="10">
        <f t="shared" ca="1" si="12"/>
        <v>86</v>
      </c>
    </row>
    <row r="44" spans="1:27" ht="15.85" customHeight="1" x14ac:dyDescent="0.35">
      <c r="A44" s="8">
        <v>39</v>
      </c>
      <c r="B44" s="9" t="s">
        <v>685</v>
      </c>
      <c r="C44" s="21" t="s">
        <v>686</v>
      </c>
      <c r="D44" s="5">
        <f ca="1">IFERROR(__xludf.DUMMYFUNCTION("IMPORTRANGE(""https://docs.google.com/spreadsheets/d/1rOGZhKHVnDGFqGTO7UNOJSkSJyQwVuEb2-yhWQit7lw/edit?gid=99713220#gid=99713220"", address(row($D42),column($D42),,,""DM&amp;GT-Q""))"),26)</f>
        <v>26</v>
      </c>
      <c r="E44" s="8">
        <f t="shared" ca="1" si="2"/>
        <v>89.65517241379311</v>
      </c>
      <c r="F44" s="5">
        <f ca="1">IFERROR(__xludf.DUMMYFUNCTION("IMPORTRANGE(""https://docs.google.com/spreadsheets/d/1rOGZhKHVnDGFqGTO7UNOJSkSJyQwVuEb2-yhWQit7lw/edit?gid=1654206091#gid=1654206091"", address(row($D42),column($D42),,,""UHV-Q""))"),13)</f>
        <v>13</v>
      </c>
      <c r="G44" s="8">
        <f t="shared" ca="1" si="3"/>
        <v>76.470588235294116</v>
      </c>
      <c r="H44" s="5">
        <f ca="1">IFERROR(__xludf.DUMMYFUNCTION("IMPORTRANGE(""https://docs.google.com/spreadsheets/d/1rOGZhKHVnDGFqGTO7UNOJSkSJyQwVuEb2-yhWQit7lw/edit?gid=1540132670#gid=1540132670"", address(row($D42),column($D42),,,""DL&amp;CO-Q""))"),18)</f>
        <v>18</v>
      </c>
      <c r="I44" s="8">
        <f t="shared" ca="1" si="4"/>
        <v>78.260869565217391</v>
      </c>
      <c r="J44" s="5">
        <f ca="1">IFERROR(__xludf.DUMMYFUNCTION("IMPORTRANGE(""https://docs.google.com/spreadsheets/d/1rOGZhKHVnDGFqGTO7UNOJSkSJyQwVuEb2-yhWQit7lw/edit?gid=1833881194#gid=1833881194"", address(row($D42),column($D42),,,""ADSA-Q""))"),36)</f>
        <v>36</v>
      </c>
      <c r="K44" s="8">
        <f t="shared" ca="1" si="5"/>
        <v>85.714285714285708</v>
      </c>
      <c r="L44" s="5">
        <f ca="1">IFERROR(__xludf.DUMMYFUNCTION("IMPORTRANGE(""https://docs.google.com/spreadsheets/d/1rOGZhKHVnDGFqGTO7UNOJSkSJyQwVuEb2-yhWQit7lw/edit?gid=1675789617#gid=1675789617"", address(row($D42),column($D42),,,""JAVA-Q""))"),14)</f>
        <v>14</v>
      </c>
      <c r="M44" s="8">
        <f t="shared" ca="1" si="6"/>
        <v>100</v>
      </c>
      <c r="N44" s="5">
        <f ca="1">IFERROR(__xludf.DUMMYFUNCTION("IMPORTRANGE(""https://docs.google.com/spreadsheets/d/1rOGZhKHVnDGFqGTO7UNOJSkSJyQwVuEb2-yhWQit7lw/edit?gid=1695357766#gid=1695357766"", address(row($D42),column($D42),,,""FOSS LAB-Q""))"),9)</f>
        <v>9</v>
      </c>
      <c r="O44" s="8">
        <f t="shared" ca="1" si="7"/>
        <v>100</v>
      </c>
      <c r="P44" s="5">
        <f ca="1">IFERROR(__xludf.DUMMYFUNCTION("IMPORTRANGE(""https://docs.google.com/spreadsheets/d/1rOGZhKHVnDGFqGTO7UNOJSkSJyQwVuEb2-yhWQit7lw/edit?gid=1247110859#gid=1247110859"", address(row($D42),column($D42),,,""PP-Q""))"),14)</f>
        <v>14</v>
      </c>
      <c r="Q44" s="8">
        <f t="shared" ca="1" si="8"/>
        <v>77.777777777777786</v>
      </c>
      <c r="R44" s="5">
        <f ca="1">IFERROR(__xludf.DUMMYFUNCTION("IMPORTRANGE(""https://docs.google.com/spreadsheets/d/1rOGZhKHVnDGFqGTO7UNOJSkSJyQwVuEb2-yhWQit7lw/edit?gid=675135389#gid=675135389"", address(row($D42),column($D42),,,""NPTEL-Q""))"),10)</f>
        <v>10</v>
      </c>
      <c r="S44" s="5">
        <f t="shared" ca="1" si="9"/>
        <v>100</v>
      </c>
      <c r="T44" s="6">
        <f ca="1">IFERROR(__xludf.DUMMYFUNCTION("IMPORTRANGE(""https://docs.google.com/spreadsheets/d/1rOGZhKHVnDGFqGTO7UNOJSkSJyQwVuEb2-yhWQit7lw/edit?gid=290696378#gid=290696378"", address(row($D42),column($D42),,,""CRT-Q""))"),0)</f>
        <v>0</v>
      </c>
      <c r="U44" s="8" t="e">
        <f t="shared" ca="1" si="10"/>
        <v>#DIV/0!</v>
      </c>
      <c r="V44" s="6">
        <f t="shared" ca="1" si="0"/>
        <v>140</v>
      </c>
      <c r="W44" s="4">
        <f t="shared" ca="1" si="11"/>
        <v>86</v>
      </c>
      <c r="X44" s="4">
        <v>0</v>
      </c>
      <c r="Y44" s="4">
        <v>0</v>
      </c>
      <c r="Z44" s="4">
        <f t="shared" ca="1" si="1"/>
        <v>140</v>
      </c>
      <c r="AA44" s="10">
        <f t="shared" ca="1" si="12"/>
        <v>86</v>
      </c>
    </row>
    <row r="45" spans="1:27" ht="15.85" customHeight="1" x14ac:dyDescent="0.35">
      <c r="A45" s="8">
        <v>40</v>
      </c>
      <c r="B45" s="9" t="s">
        <v>687</v>
      </c>
      <c r="C45" s="21" t="s">
        <v>688</v>
      </c>
      <c r="D45" s="5">
        <f ca="1">IFERROR(__xludf.DUMMYFUNCTION("IMPORTRANGE(""https://docs.google.com/spreadsheets/d/1rOGZhKHVnDGFqGTO7UNOJSkSJyQwVuEb2-yhWQit7lw/edit?gid=99713220#gid=99713220"", address(row($D43),column($D43),,,""DM&amp;GT-Q""))"),18)</f>
        <v>18</v>
      </c>
      <c r="E45" s="8">
        <f t="shared" ca="1" si="2"/>
        <v>62.068965517241381</v>
      </c>
      <c r="F45" s="5">
        <f ca="1">IFERROR(__xludf.DUMMYFUNCTION("IMPORTRANGE(""https://docs.google.com/spreadsheets/d/1rOGZhKHVnDGFqGTO7UNOJSkSJyQwVuEb2-yhWQit7lw/edit?gid=1654206091#gid=1654206091"", address(row($D43),column($D43),,,""UHV-Q""))"),11)</f>
        <v>11</v>
      </c>
      <c r="G45" s="8">
        <f t="shared" ca="1" si="3"/>
        <v>64.705882352941174</v>
      </c>
      <c r="H45" s="5">
        <f ca="1">IFERROR(__xludf.DUMMYFUNCTION("IMPORTRANGE(""https://docs.google.com/spreadsheets/d/1rOGZhKHVnDGFqGTO7UNOJSkSJyQwVuEb2-yhWQit7lw/edit?gid=1540132670#gid=1540132670"", address(row($D43),column($D43),,,""DL&amp;CO-Q""))"),14)</f>
        <v>14</v>
      </c>
      <c r="I45" s="8">
        <f t="shared" ca="1" si="4"/>
        <v>60.869565217391312</v>
      </c>
      <c r="J45" s="5">
        <f ca="1">IFERROR(__xludf.DUMMYFUNCTION("IMPORTRANGE(""https://docs.google.com/spreadsheets/d/1rOGZhKHVnDGFqGTO7UNOJSkSJyQwVuEb2-yhWQit7lw/edit?gid=1833881194#gid=1833881194"", address(row($D43),column($D43),,,""ADSA-Q""))"),25)</f>
        <v>25</v>
      </c>
      <c r="K45" s="8">
        <f t="shared" ca="1" si="5"/>
        <v>59.523809523809526</v>
      </c>
      <c r="L45" s="5">
        <f ca="1">IFERROR(__xludf.DUMMYFUNCTION("IMPORTRANGE(""https://docs.google.com/spreadsheets/d/1rOGZhKHVnDGFqGTO7UNOJSkSJyQwVuEb2-yhWQit7lw/edit?gid=1675789617#gid=1675789617"", address(row($D43),column($D43),,,""JAVA-Q""))"),6)</f>
        <v>6</v>
      </c>
      <c r="M45" s="8">
        <f t="shared" ca="1" si="6"/>
        <v>42.857142857142854</v>
      </c>
      <c r="N45" s="5">
        <f ca="1">IFERROR(__xludf.DUMMYFUNCTION("IMPORTRANGE(""https://docs.google.com/spreadsheets/d/1rOGZhKHVnDGFqGTO7UNOJSkSJyQwVuEb2-yhWQit7lw/edit?gid=1695357766#gid=1695357766"", address(row($D43),column($D43),,,""FOSS LAB-Q""))"),6)</f>
        <v>6</v>
      </c>
      <c r="O45" s="8">
        <f t="shared" ca="1" si="7"/>
        <v>66.666666666666657</v>
      </c>
      <c r="P45" s="5">
        <f ca="1">IFERROR(__xludf.DUMMYFUNCTION("IMPORTRANGE(""https://docs.google.com/spreadsheets/d/1rOGZhKHVnDGFqGTO7UNOJSkSJyQwVuEb2-yhWQit7lw/edit?gid=1247110859#gid=1247110859"", address(row($D43),column($D43),,,""PP-Q""))"),14)</f>
        <v>14</v>
      </c>
      <c r="Q45" s="8">
        <f t="shared" ca="1" si="8"/>
        <v>77.777777777777786</v>
      </c>
      <c r="R45" s="5">
        <f ca="1">IFERROR(__xludf.DUMMYFUNCTION("IMPORTRANGE(""https://docs.google.com/spreadsheets/d/1rOGZhKHVnDGFqGTO7UNOJSkSJyQwVuEb2-yhWQit7lw/edit?gid=675135389#gid=675135389"", address(row($D43),column($D43),,,""NPTEL-Q""))"),6)</f>
        <v>6</v>
      </c>
      <c r="S45" s="5">
        <f t="shared" ca="1" si="9"/>
        <v>60</v>
      </c>
      <c r="T45" s="6">
        <f ca="1">IFERROR(__xludf.DUMMYFUNCTION("IMPORTRANGE(""https://docs.google.com/spreadsheets/d/1rOGZhKHVnDGFqGTO7UNOJSkSJyQwVuEb2-yhWQit7lw/edit?gid=290696378#gid=290696378"", address(row($D43),column($D43),,,""CRT-Q""))"),0)</f>
        <v>0</v>
      </c>
      <c r="U45" s="8" t="e">
        <f t="shared" ca="1" si="10"/>
        <v>#DIV/0!</v>
      </c>
      <c r="V45" s="6">
        <f t="shared" ca="1" si="0"/>
        <v>100</v>
      </c>
      <c r="W45" s="4">
        <f t="shared" ca="1" si="11"/>
        <v>62</v>
      </c>
      <c r="X45" s="4">
        <v>0</v>
      </c>
      <c r="Y45" s="4">
        <v>0</v>
      </c>
      <c r="Z45" s="4">
        <f t="shared" ca="1" si="1"/>
        <v>100</v>
      </c>
      <c r="AA45" s="10">
        <f t="shared" ca="1" si="12"/>
        <v>62</v>
      </c>
    </row>
    <row r="46" spans="1:27" ht="15.85" customHeight="1" x14ac:dyDescent="0.35">
      <c r="A46" s="8">
        <v>41</v>
      </c>
      <c r="B46" s="9" t="s">
        <v>689</v>
      </c>
      <c r="C46" s="21" t="s">
        <v>690</v>
      </c>
      <c r="D46" s="5">
        <f ca="1">IFERROR(__xludf.DUMMYFUNCTION("IMPORTRANGE(""https://docs.google.com/spreadsheets/d/1rOGZhKHVnDGFqGTO7UNOJSkSJyQwVuEb2-yhWQit7lw/edit?gid=99713220#gid=99713220"", address(row($D44),column($D44),,,""DM&amp;GT-Q""))"),24)</f>
        <v>24</v>
      </c>
      <c r="E46" s="8">
        <f t="shared" ca="1" si="2"/>
        <v>82.758620689655174</v>
      </c>
      <c r="F46" s="5">
        <f ca="1">IFERROR(__xludf.DUMMYFUNCTION("IMPORTRANGE(""https://docs.google.com/spreadsheets/d/1rOGZhKHVnDGFqGTO7UNOJSkSJyQwVuEb2-yhWQit7lw/edit?gid=1654206091#gid=1654206091"", address(row($D44),column($D44),,,""UHV-Q""))"),11)</f>
        <v>11</v>
      </c>
      <c r="G46" s="8">
        <f t="shared" ca="1" si="3"/>
        <v>64.705882352941174</v>
      </c>
      <c r="H46" s="5">
        <f ca="1">IFERROR(__xludf.DUMMYFUNCTION("IMPORTRANGE(""https://docs.google.com/spreadsheets/d/1rOGZhKHVnDGFqGTO7UNOJSkSJyQwVuEb2-yhWQit7lw/edit?gid=1540132670#gid=1540132670"", address(row($D44),column($D44),,,""DL&amp;CO-Q""))"),14)</f>
        <v>14</v>
      </c>
      <c r="I46" s="8">
        <f t="shared" ca="1" si="4"/>
        <v>60.869565217391312</v>
      </c>
      <c r="J46" s="5">
        <f ca="1">IFERROR(__xludf.DUMMYFUNCTION("IMPORTRANGE(""https://docs.google.com/spreadsheets/d/1rOGZhKHVnDGFqGTO7UNOJSkSJyQwVuEb2-yhWQit7lw/edit?gid=1833881194#gid=1833881194"", address(row($D44),column($D44),,,""ADSA-Q""))"),30)</f>
        <v>30</v>
      </c>
      <c r="K46" s="8">
        <f t="shared" ca="1" si="5"/>
        <v>71.428571428571431</v>
      </c>
      <c r="L46" s="5">
        <f ca="1">IFERROR(__xludf.DUMMYFUNCTION("IMPORTRANGE(""https://docs.google.com/spreadsheets/d/1rOGZhKHVnDGFqGTO7UNOJSkSJyQwVuEb2-yhWQit7lw/edit?gid=1675789617#gid=1675789617"", address(row($D44),column($D44),,,""JAVA-Q""))"),8)</f>
        <v>8</v>
      </c>
      <c r="M46" s="8">
        <f t="shared" ca="1" si="6"/>
        <v>57.142857142857139</v>
      </c>
      <c r="N46" s="5">
        <f ca="1">IFERROR(__xludf.DUMMYFUNCTION("IMPORTRANGE(""https://docs.google.com/spreadsheets/d/1rOGZhKHVnDGFqGTO7UNOJSkSJyQwVuEb2-yhWQit7lw/edit?gid=1695357766#gid=1695357766"", address(row($D44),column($D44),,,""FOSS LAB-Q""))"),6)</f>
        <v>6</v>
      </c>
      <c r="O46" s="8">
        <f t="shared" ca="1" si="7"/>
        <v>66.666666666666657</v>
      </c>
      <c r="P46" s="5">
        <f ca="1">IFERROR(__xludf.DUMMYFUNCTION("IMPORTRANGE(""https://docs.google.com/spreadsheets/d/1rOGZhKHVnDGFqGTO7UNOJSkSJyQwVuEb2-yhWQit7lw/edit?gid=1247110859#gid=1247110859"", address(row($D44),column($D44),,,""PP-Q""))"),12)</f>
        <v>12</v>
      </c>
      <c r="Q46" s="8">
        <f t="shared" ca="1" si="8"/>
        <v>66.666666666666657</v>
      </c>
      <c r="R46" s="5">
        <f ca="1">IFERROR(__xludf.DUMMYFUNCTION("IMPORTRANGE(""https://docs.google.com/spreadsheets/d/1rOGZhKHVnDGFqGTO7UNOJSkSJyQwVuEb2-yhWQit7lw/edit?gid=675135389#gid=675135389"", address(row($D44),column($D44),,,""NPTEL-Q""))"),8)</f>
        <v>8</v>
      </c>
      <c r="S46" s="5">
        <f t="shared" ca="1" si="9"/>
        <v>80</v>
      </c>
      <c r="T46" s="6">
        <f ca="1">IFERROR(__xludf.DUMMYFUNCTION("IMPORTRANGE(""https://docs.google.com/spreadsheets/d/1rOGZhKHVnDGFqGTO7UNOJSkSJyQwVuEb2-yhWQit7lw/edit?gid=290696378#gid=290696378"", address(row($D44),column($D44),,,""CRT-Q""))"),0)</f>
        <v>0</v>
      </c>
      <c r="U46" s="8" t="e">
        <f t="shared" ca="1" si="10"/>
        <v>#DIV/0!</v>
      </c>
      <c r="V46" s="6">
        <f t="shared" ca="1" si="0"/>
        <v>113</v>
      </c>
      <c r="W46" s="4">
        <f t="shared" ca="1" si="11"/>
        <v>70</v>
      </c>
      <c r="X46" s="4">
        <v>0</v>
      </c>
      <c r="Y46" s="4">
        <v>0</v>
      </c>
      <c r="Z46" s="4">
        <f t="shared" ca="1" si="1"/>
        <v>113</v>
      </c>
      <c r="AA46" s="10">
        <f t="shared" ca="1" si="12"/>
        <v>70</v>
      </c>
    </row>
    <row r="47" spans="1:27" ht="15.85" customHeight="1" x14ac:dyDescent="0.35">
      <c r="A47" s="8">
        <v>42</v>
      </c>
      <c r="B47" s="9" t="s">
        <v>691</v>
      </c>
      <c r="C47" s="21" t="s">
        <v>692</v>
      </c>
      <c r="D47" s="5">
        <f ca="1">IFERROR(__xludf.DUMMYFUNCTION("IMPORTRANGE(""https://docs.google.com/spreadsheets/d/1rOGZhKHVnDGFqGTO7UNOJSkSJyQwVuEb2-yhWQit7lw/edit?gid=99713220#gid=99713220"", address(row($D45),column($D45),,,""DM&amp;GT-Q""))"),22)</f>
        <v>22</v>
      </c>
      <c r="E47" s="8">
        <f t="shared" ca="1" si="2"/>
        <v>75.862068965517238</v>
      </c>
      <c r="F47" s="5">
        <f ca="1">IFERROR(__xludf.DUMMYFUNCTION("IMPORTRANGE(""https://docs.google.com/spreadsheets/d/1rOGZhKHVnDGFqGTO7UNOJSkSJyQwVuEb2-yhWQit7lw/edit?gid=1654206091#gid=1654206091"", address(row($D45),column($D45),,,""UHV-Q""))"),9)</f>
        <v>9</v>
      </c>
      <c r="G47" s="8">
        <f t="shared" ca="1" si="3"/>
        <v>52.941176470588239</v>
      </c>
      <c r="H47" s="5">
        <f ca="1">IFERROR(__xludf.DUMMYFUNCTION("IMPORTRANGE(""https://docs.google.com/spreadsheets/d/1rOGZhKHVnDGFqGTO7UNOJSkSJyQwVuEb2-yhWQit7lw/edit?gid=1540132670#gid=1540132670"", address(row($D45),column($D45),,,""DL&amp;CO-Q""))"),18)</f>
        <v>18</v>
      </c>
      <c r="I47" s="8">
        <f t="shared" ca="1" si="4"/>
        <v>78.260869565217391</v>
      </c>
      <c r="J47" s="5">
        <f ca="1">IFERROR(__xludf.DUMMYFUNCTION("IMPORTRANGE(""https://docs.google.com/spreadsheets/d/1rOGZhKHVnDGFqGTO7UNOJSkSJyQwVuEb2-yhWQit7lw/edit?gid=1833881194#gid=1833881194"", address(row($D45),column($D45),,,""ADSA-Q""))"),29)</f>
        <v>29</v>
      </c>
      <c r="K47" s="8">
        <f t="shared" ca="1" si="5"/>
        <v>69.047619047619051</v>
      </c>
      <c r="L47" s="5">
        <f ca="1">IFERROR(__xludf.DUMMYFUNCTION("IMPORTRANGE(""https://docs.google.com/spreadsheets/d/1rOGZhKHVnDGFqGTO7UNOJSkSJyQwVuEb2-yhWQit7lw/edit?gid=1675789617#gid=1675789617"", address(row($D45),column($D45),,,""JAVA-Q""))"),10)</f>
        <v>10</v>
      </c>
      <c r="M47" s="8">
        <f t="shared" ca="1" si="6"/>
        <v>71.428571428571431</v>
      </c>
      <c r="N47" s="5">
        <f ca="1">IFERROR(__xludf.DUMMYFUNCTION("IMPORTRANGE(""https://docs.google.com/spreadsheets/d/1rOGZhKHVnDGFqGTO7UNOJSkSJyQwVuEb2-yhWQit7lw/edit?gid=1695357766#gid=1695357766"", address(row($D45),column($D45),,,""FOSS LAB-Q""))"),9)</f>
        <v>9</v>
      </c>
      <c r="O47" s="8">
        <f t="shared" ca="1" si="7"/>
        <v>100</v>
      </c>
      <c r="P47" s="5">
        <f ca="1">IFERROR(__xludf.DUMMYFUNCTION("IMPORTRANGE(""https://docs.google.com/spreadsheets/d/1rOGZhKHVnDGFqGTO7UNOJSkSJyQwVuEb2-yhWQit7lw/edit?gid=1247110859#gid=1247110859"", address(row($D45),column($D45),,,""PP-Q""))"),12)</f>
        <v>12</v>
      </c>
      <c r="Q47" s="8">
        <f t="shared" ca="1" si="8"/>
        <v>66.666666666666657</v>
      </c>
      <c r="R47" s="5">
        <f ca="1">IFERROR(__xludf.DUMMYFUNCTION("IMPORTRANGE(""https://docs.google.com/spreadsheets/d/1rOGZhKHVnDGFqGTO7UNOJSkSJyQwVuEb2-yhWQit7lw/edit?gid=675135389#gid=675135389"", address(row($D45),column($D45),,,""NPTEL-Q""))"),6)</f>
        <v>6</v>
      </c>
      <c r="S47" s="5">
        <f t="shared" ca="1" si="9"/>
        <v>60</v>
      </c>
      <c r="T47" s="6">
        <f ca="1">IFERROR(__xludf.DUMMYFUNCTION("IMPORTRANGE(""https://docs.google.com/spreadsheets/d/1rOGZhKHVnDGFqGTO7UNOJSkSJyQwVuEb2-yhWQit7lw/edit?gid=290696378#gid=290696378"", address(row($D45),column($D45),,,""CRT-Q""))"),0)</f>
        <v>0</v>
      </c>
      <c r="U47" s="8" t="e">
        <f t="shared" ca="1" si="10"/>
        <v>#DIV/0!</v>
      </c>
      <c r="V47" s="6">
        <f t="shared" ca="1" si="0"/>
        <v>115</v>
      </c>
      <c r="W47" s="4">
        <f t="shared" ca="1" si="11"/>
        <v>71</v>
      </c>
      <c r="X47" s="4">
        <v>0</v>
      </c>
      <c r="Y47" s="4">
        <v>0</v>
      </c>
      <c r="Z47" s="4">
        <f t="shared" ca="1" si="1"/>
        <v>115</v>
      </c>
      <c r="AA47" s="10">
        <f t="shared" ca="1" si="12"/>
        <v>71</v>
      </c>
    </row>
    <row r="48" spans="1:27" ht="15.85" customHeight="1" x14ac:dyDescent="0.35">
      <c r="A48" s="8">
        <v>43</v>
      </c>
      <c r="B48" s="9" t="s">
        <v>693</v>
      </c>
      <c r="C48" s="21" t="s">
        <v>694</v>
      </c>
      <c r="D48" s="5">
        <f ca="1">IFERROR(__xludf.DUMMYFUNCTION("IMPORTRANGE(""https://docs.google.com/spreadsheets/d/1rOGZhKHVnDGFqGTO7UNOJSkSJyQwVuEb2-yhWQit7lw/edit?gid=99713220#gid=99713220"", address(row($D46),column($D46),,,""DM&amp;GT-Q""))"),26)</f>
        <v>26</v>
      </c>
      <c r="E48" s="8">
        <f t="shared" ca="1" si="2"/>
        <v>89.65517241379311</v>
      </c>
      <c r="F48" s="5">
        <f ca="1">IFERROR(__xludf.DUMMYFUNCTION("IMPORTRANGE(""https://docs.google.com/spreadsheets/d/1rOGZhKHVnDGFqGTO7UNOJSkSJyQwVuEb2-yhWQit7lw/edit?gid=1654206091#gid=1654206091"", address(row($D46),column($D46),,,""UHV-Q""))"),15)</f>
        <v>15</v>
      </c>
      <c r="G48" s="8">
        <f t="shared" ca="1" si="3"/>
        <v>88.235294117647058</v>
      </c>
      <c r="H48" s="5">
        <f ca="1">IFERROR(__xludf.DUMMYFUNCTION("IMPORTRANGE(""https://docs.google.com/spreadsheets/d/1rOGZhKHVnDGFqGTO7UNOJSkSJyQwVuEb2-yhWQit7lw/edit?gid=1540132670#gid=1540132670"", address(row($D46),column($D46),,,""DL&amp;CO-Q""))"),17)</f>
        <v>17</v>
      </c>
      <c r="I48" s="8">
        <f t="shared" ca="1" si="4"/>
        <v>73.91304347826086</v>
      </c>
      <c r="J48" s="5">
        <f ca="1">IFERROR(__xludf.DUMMYFUNCTION("IMPORTRANGE(""https://docs.google.com/spreadsheets/d/1rOGZhKHVnDGFqGTO7UNOJSkSJyQwVuEb2-yhWQit7lw/edit?gid=1833881194#gid=1833881194"", address(row($D46),column($D46),,,""ADSA-Q""))"),38)</f>
        <v>38</v>
      </c>
      <c r="K48" s="8">
        <f t="shared" ca="1" si="5"/>
        <v>90.476190476190482</v>
      </c>
      <c r="L48" s="5">
        <f ca="1">IFERROR(__xludf.DUMMYFUNCTION("IMPORTRANGE(""https://docs.google.com/spreadsheets/d/1rOGZhKHVnDGFqGTO7UNOJSkSJyQwVuEb2-yhWQit7lw/edit?gid=1675789617#gid=1675789617"", address(row($D46),column($D46),,,""JAVA-Q""))"),14)</f>
        <v>14</v>
      </c>
      <c r="M48" s="8">
        <f t="shared" ca="1" si="6"/>
        <v>100</v>
      </c>
      <c r="N48" s="5">
        <f ca="1">IFERROR(__xludf.DUMMYFUNCTION("IMPORTRANGE(""https://docs.google.com/spreadsheets/d/1rOGZhKHVnDGFqGTO7UNOJSkSJyQwVuEb2-yhWQit7lw/edit?gid=1695357766#gid=1695357766"", address(row($D46),column($D46),,,""FOSS LAB-Q""))"),9)</f>
        <v>9</v>
      </c>
      <c r="O48" s="8">
        <f t="shared" ca="1" si="7"/>
        <v>100</v>
      </c>
      <c r="P48" s="5">
        <f ca="1">IFERROR(__xludf.DUMMYFUNCTION("IMPORTRANGE(""https://docs.google.com/spreadsheets/d/1rOGZhKHVnDGFqGTO7UNOJSkSJyQwVuEb2-yhWQit7lw/edit?gid=1247110859#gid=1247110859"", address(row($D46),column($D46),,,""PP-Q""))"),16)</f>
        <v>16</v>
      </c>
      <c r="Q48" s="8">
        <f t="shared" ca="1" si="8"/>
        <v>88.888888888888886</v>
      </c>
      <c r="R48" s="5">
        <f ca="1">IFERROR(__xludf.DUMMYFUNCTION("IMPORTRANGE(""https://docs.google.com/spreadsheets/d/1rOGZhKHVnDGFqGTO7UNOJSkSJyQwVuEb2-yhWQit7lw/edit?gid=675135389#gid=675135389"", address(row($D46),column($D46),,,""NPTEL-Q""))"),10)</f>
        <v>10</v>
      </c>
      <c r="S48" s="5">
        <f t="shared" ca="1" si="9"/>
        <v>100</v>
      </c>
      <c r="T48" s="6">
        <f ca="1">IFERROR(__xludf.DUMMYFUNCTION("IMPORTRANGE(""https://docs.google.com/spreadsheets/d/1rOGZhKHVnDGFqGTO7UNOJSkSJyQwVuEb2-yhWQit7lw/edit?gid=290696378#gid=290696378"", address(row($D46),column($D46),,,""CRT-Q""))"),0)</f>
        <v>0</v>
      </c>
      <c r="U48" s="8" t="e">
        <f t="shared" ca="1" si="10"/>
        <v>#DIV/0!</v>
      </c>
      <c r="V48" s="6">
        <f t="shared" ca="1" si="0"/>
        <v>145</v>
      </c>
      <c r="W48" s="4">
        <f t="shared" ca="1" si="11"/>
        <v>90</v>
      </c>
      <c r="X48" s="4">
        <v>0</v>
      </c>
      <c r="Y48" s="4">
        <v>0</v>
      </c>
      <c r="Z48" s="4">
        <f t="shared" ca="1" si="1"/>
        <v>145</v>
      </c>
      <c r="AA48" s="10">
        <f t="shared" ca="1" si="12"/>
        <v>90</v>
      </c>
    </row>
    <row r="49" spans="1:27" ht="15.85" customHeight="1" x14ac:dyDescent="0.35">
      <c r="A49" s="8">
        <v>44</v>
      </c>
      <c r="B49" s="9" t="s">
        <v>695</v>
      </c>
      <c r="C49" s="21" t="s">
        <v>696</v>
      </c>
      <c r="D49" s="5">
        <f ca="1">IFERROR(__xludf.DUMMYFUNCTION("IMPORTRANGE(""https://docs.google.com/spreadsheets/d/1rOGZhKHVnDGFqGTO7UNOJSkSJyQwVuEb2-yhWQit7lw/edit?gid=99713220#gid=99713220"", address(row($D47),column($D47),,,""DM&amp;GT-Q""))"),18)</f>
        <v>18</v>
      </c>
      <c r="E49" s="8">
        <f t="shared" ca="1" si="2"/>
        <v>62.068965517241381</v>
      </c>
      <c r="F49" s="5">
        <f ca="1">IFERROR(__xludf.DUMMYFUNCTION("IMPORTRANGE(""https://docs.google.com/spreadsheets/d/1rOGZhKHVnDGFqGTO7UNOJSkSJyQwVuEb2-yhWQit7lw/edit?gid=1654206091#gid=1654206091"", address(row($D47),column($D47),,,""UHV-Q""))"),9)</f>
        <v>9</v>
      </c>
      <c r="G49" s="8">
        <f t="shared" ca="1" si="3"/>
        <v>52.941176470588239</v>
      </c>
      <c r="H49" s="5">
        <f ca="1">IFERROR(__xludf.DUMMYFUNCTION("IMPORTRANGE(""https://docs.google.com/spreadsheets/d/1rOGZhKHVnDGFqGTO7UNOJSkSJyQwVuEb2-yhWQit7lw/edit?gid=1540132670#gid=1540132670"", address(row($D47),column($D47),,,""DL&amp;CO-Q""))"),9)</f>
        <v>9</v>
      </c>
      <c r="I49" s="8">
        <f t="shared" ca="1" si="4"/>
        <v>39.130434782608695</v>
      </c>
      <c r="J49" s="5">
        <f ca="1">IFERROR(__xludf.DUMMYFUNCTION("IMPORTRANGE(""https://docs.google.com/spreadsheets/d/1rOGZhKHVnDGFqGTO7UNOJSkSJyQwVuEb2-yhWQit7lw/edit?gid=1833881194#gid=1833881194"", address(row($D47),column($D47),,,""ADSA-Q""))"),13)</f>
        <v>13</v>
      </c>
      <c r="K49" s="8">
        <f t="shared" ca="1" si="5"/>
        <v>30.952380952380953</v>
      </c>
      <c r="L49" s="5">
        <f ca="1">IFERROR(__xludf.DUMMYFUNCTION("IMPORTRANGE(""https://docs.google.com/spreadsheets/d/1rOGZhKHVnDGFqGTO7UNOJSkSJyQwVuEb2-yhWQit7lw/edit?gid=1675789617#gid=1675789617"", address(row($D47),column($D47),,,""JAVA-Q""))"),10)</f>
        <v>10</v>
      </c>
      <c r="M49" s="8">
        <f t="shared" ca="1" si="6"/>
        <v>71.428571428571431</v>
      </c>
      <c r="N49" s="5">
        <f ca="1">IFERROR(__xludf.DUMMYFUNCTION("IMPORTRANGE(""https://docs.google.com/spreadsheets/d/1rOGZhKHVnDGFqGTO7UNOJSkSJyQwVuEb2-yhWQit7lw/edit?gid=1695357766#gid=1695357766"", address(row($D47),column($D47),,,""FOSS LAB-Q""))"),6)</f>
        <v>6</v>
      </c>
      <c r="O49" s="8">
        <f t="shared" ca="1" si="7"/>
        <v>66.666666666666657</v>
      </c>
      <c r="P49" s="5">
        <f ca="1">IFERROR(__xludf.DUMMYFUNCTION("IMPORTRANGE(""https://docs.google.com/spreadsheets/d/1rOGZhKHVnDGFqGTO7UNOJSkSJyQwVuEb2-yhWQit7lw/edit?gid=1247110859#gid=1247110859"", address(row($D47),column($D47),,,""PP-Q""))"),6)</f>
        <v>6</v>
      </c>
      <c r="Q49" s="8">
        <f t="shared" ca="1" si="8"/>
        <v>33.333333333333329</v>
      </c>
      <c r="R49" s="5">
        <f ca="1">IFERROR(__xludf.DUMMYFUNCTION("IMPORTRANGE(""https://docs.google.com/spreadsheets/d/1rOGZhKHVnDGFqGTO7UNOJSkSJyQwVuEb2-yhWQit7lw/edit?gid=675135389#gid=675135389"", address(row($D47),column($D47),,,""NPTEL-Q""))"),6)</f>
        <v>6</v>
      </c>
      <c r="S49" s="5">
        <f t="shared" ca="1" si="9"/>
        <v>60</v>
      </c>
      <c r="T49" s="6">
        <f ca="1">IFERROR(__xludf.DUMMYFUNCTION("IMPORTRANGE(""https://docs.google.com/spreadsheets/d/1rOGZhKHVnDGFqGTO7UNOJSkSJyQwVuEb2-yhWQit7lw/edit?gid=290696378#gid=290696378"", address(row($D47),column($D47),,,""CRT-Q""))"),0)</f>
        <v>0</v>
      </c>
      <c r="U49" s="8" t="e">
        <f t="shared" ca="1" si="10"/>
        <v>#DIV/0!</v>
      </c>
      <c r="V49" s="6">
        <f t="shared" ca="1" si="0"/>
        <v>77</v>
      </c>
      <c r="W49" s="4">
        <f t="shared" ca="1" si="11"/>
        <v>48</v>
      </c>
      <c r="X49" s="4">
        <v>0</v>
      </c>
      <c r="Y49" s="4">
        <v>0</v>
      </c>
      <c r="Z49" s="4">
        <f t="shared" ca="1" si="1"/>
        <v>77</v>
      </c>
      <c r="AA49" s="10">
        <f t="shared" ca="1" si="12"/>
        <v>48</v>
      </c>
    </row>
    <row r="50" spans="1:27" ht="15.85" customHeight="1" x14ac:dyDescent="0.35">
      <c r="A50" s="8">
        <v>45</v>
      </c>
      <c r="B50" s="9" t="s">
        <v>697</v>
      </c>
      <c r="C50" s="21" t="s">
        <v>698</v>
      </c>
      <c r="D50" s="5">
        <f ca="1">IFERROR(__xludf.DUMMYFUNCTION("IMPORTRANGE(""https://docs.google.com/spreadsheets/d/1rOGZhKHVnDGFqGTO7UNOJSkSJyQwVuEb2-yhWQit7lw/edit?gid=99713220#gid=99713220"", address(row($D48),column($D48),,,""DM&amp;GT-Q""))"),25)</f>
        <v>25</v>
      </c>
      <c r="E50" s="8">
        <f t="shared" ca="1" si="2"/>
        <v>86.206896551724128</v>
      </c>
      <c r="F50" s="5">
        <f ca="1">IFERROR(__xludf.DUMMYFUNCTION("IMPORTRANGE(""https://docs.google.com/spreadsheets/d/1rOGZhKHVnDGFqGTO7UNOJSkSJyQwVuEb2-yhWQit7lw/edit?gid=1654206091#gid=1654206091"", address(row($D48),column($D48),,,""UHV-Q""))"),12)</f>
        <v>12</v>
      </c>
      <c r="G50" s="8">
        <f t="shared" ca="1" si="3"/>
        <v>70.588235294117652</v>
      </c>
      <c r="H50" s="5">
        <f ca="1">IFERROR(__xludf.DUMMYFUNCTION("IMPORTRANGE(""https://docs.google.com/spreadsheets/d/1rOGZhKHVnDGFqGTO7UNOJSkSJyQwVuEb2-yhWQit7lw/edit?gid=1540132670#gid=1540132670"", address(row($D48),column($D48),,,""DL&amp;CO-Q""))"),13)</f>
        <v>13</v>
      </c>
      <c r="I50" s="8">
        <f t="shared" ca="1" si="4"/>
        <v>56.521739130434781</v>
      </c>
      <c r="J50" s="5">
        <f ca="1">IFERROR(__xludf.DUMMYFUNCTION("IMPORTRANGE(""https://docs.google.com/spreadsheets/d/1rOGZhKHVnDGFqGTO7UNOJSkSJyQwVuEb2-yhWQit7lw/edit?gid=1833881194#gid=1833881194"", address(row($D48),column($D48),,,""ADSA-Q""))"),30)</f>
        <v>30</v>
      </c>
      <c r="K50" s="8">
        <f t="shared" ca="1" si="5"/>
        <v>71.428571428571431</v>
      </c>
      <c r="L50" s="5">
        <f ca="1">IFERROR(__xludf.DUMMYFUNCTION("IMPORTRANGE(""https://docs.google.com/spreadsheets/d/1rOGZhKHVnDGFqGTO7UNOJSkSJyQwVuEb2-yhWQit7lw/edit?gid=1675789617#gid=1675789617"", address(row($D48),column($D48),,,""JAVA-Q""))"),12)</f>
        <v>12</v>
      </c>
      <c r="M50" s="8">
        <f t="shared" ca="1" si="6"/>
        <v>85.714285714285708</v>
      </c>
      <c r="N50" s="5">
        <f ca="1">IFERROR(__xludf.DUMMYFUNCTION("IMPORTRANGE(""https://docs.google.com/spreadsheets/d/1rOGZhKHVnDGFqGTO7UNOJSkSJyQwVuEb2-yhWQit7lw/edit?gid=1695357766#gid=1695357766"", address(row($D48),column($D48),,,""FOSS LAB-Q""))"),9)</f>
        <v>9</v>
      </c>
      <c r="O50" s="8">
        <f t="shared" ca="1" si="7"/>
        <v>100</v>
      </c>
      <c r="P50" s="5">
        <f ca="1">IFERROR(__xludf.DUMMYFUNCTION("IMPORTRANGE(""https://docs.google.com/spreadsheets/d/1rOGZhKHVnDGFqGTO7UNOJSkSJyQwVuEb2-yhWQit7lw/edit?gid=1247110859#gid=1247110859"", address(row($D48),column($D48),,,""PP-Q""))"),14)</f>
        <v>14</v>
      </c>
      <c r="Q50" s="8">
        <f t="shared" ca="1" si="8"/>
        <v>77.777777777777786</v>
      </c>
      <c r="R50" s="5">
        <f ca="1">IFERROR(__xludf.DUMMYFUNCTION("IMPORTRANGE(""https://docs.google.com/spreadsheets/d/1rOGZhKHVnDGFqGTO7UNOJSkSJyQwVuEb2-yhWQit7lw/edit?gid=675135389#gid=675135389"", address(row($D48),column($D48),,,""NPTEL-Q""))"),8)</f>
        <v>8</v>
      </c>
      <c r="S50" s="5">
        <f t="shared" ca="1" si="9"/>
        <v>80</v>
      </c>
      <c r="T50" s="6">
        <f ca="1">IFERROR(__xludf.DUMMYFUNCTION("IMPORTRANGE(""https://docs.google.com/spreadsheets/d/1rOGZhKHVnDGFqGTO7UNOJSkSJyQwVuEb2-yhWQit7lw/edit?gid=290696378#gid=290696378"", address(row($D48),column($D48),,,""CRT-Q""))"),0)</f>
        <v>0</v>
      </c>
      <c r="U50" s="8" t="e">
        <f t="shared" ca="1" si="10"/>
        <v>#DIV/0!</v>
      </c>
      <c r="V50" s="6">
        <f t="shared" ca="1" si="0"/>
        <v>123</v>
      </c>
      <c r="W50" s="4">
        <f t="shared" ca="1" si="11"/>
        <v>76</v>
      </c>
      <c r="X50" s="4">
        <v>0</v>
      </c>
      <c r="Y50" s="4">
        <v>0</v>
      </c>
      <c r="Z50" s="4">
        <f t="shared" ca="1" si="1"/>
        <v>123</v>
      </c>
      <c r="AA50" s="10">
        <f t="shared" ca="1" si="12"/>
        <v>76</v>
      </c>
    </row>
    <row r="51" spans="1:27" ht="15.85" customHeight="1" x14ac:dyDescent="0.35">
      <c r="A51" s="8">
        <v>46</v>
      </c>
      <c r="B51" s="9" t="s">
        <v>699</v>
      </c>
      <c r="C51" s="21" t="s">
        <v>700</v>
      </c>
      <c r="D51" s="5">
        <f ca="1">IFERROR(__xludf.DUMMYFUNCTION("IMPORTRANGE(""https://docs.google.com/spreadsheets/d/1rOGZhKHVnDGFqGTO7UNOJSkSJyQwVuEb2-yhWQit7lw/edit?gid=99713220#gid=99713220"", address(row($D49),column($D49),,,""DM&amp;GT-Q""))"),26)</f>
        <v>26</v>
      </c>
      <c r="E51" s="8">
        <f t="shared" ca="1" si="2"/>
        <v>89.65517241379311</v>
      </c>
      <c r="F51" s="5">
        <f ca="1">IFERROR(__xludf.DUMMYFUNCTION("IMPORTRANGE(""https://docs.google.com/spreadsheets/d/1rOGZhKHVnDGFqGTO7UNOJSkSJyQwVuEb2-yhWQit7lw/edit?gid=1654206091#gid=1654206091"", address(row($D49),column($D49),,,""UHV-Q""))"),16)</f>
        <v>16</v>
      </c>
      <c r="G51" s="8">
        <f t="shared" ca="1" si="3"/>
        <v>94.117647058823522</v>
      </c>
      <c r="H51" s="5">
        <f ca="1">IFERROR(__xludf.DUMMYFUNCTION("IMPORTRANGE(""https://docs.google.com/spreadsheets/d/1rOGZhKHVnDGFqGTO7UNOJSkSJyQwVuEb2-yhWQit7lw/edit?gid=1540132670#gid=1540132670"", address(row($D49),column($D49),,,""DL&amp;CO-Q""))"),18)</f>
        <v>18</v>
      </c>
      <c r="I51" s="8">
        <f t="shared" ca="1" si="4"/>
        <v>78.260869565217391</v>
      </c>
      <c r="J51" s="5">
        <f ca="1">IFERROR(__xludf.DUMMYFUNCTION("IMPORTRANGE(""https://docs.google.com/spreadsheets/d/1rOGZhKHVnDGFqGTO7UNOJSkSJyQwVuEb2-yhWQit7lw/edit?gid=1833881194#gid=1833881194"", address(row($D49),column($D49),,,""ADSA-Q""))"),36)</f>
        <v>36</v>
      </c>
      <c r="K51" s="8">
        <f t="shared" ca="1" si="5"/>
        <v>85.714285714285708</v>
      </c>
      <c r="L51" s="5">
        <f ca="1">IFERROR(__xludf.DUMMYFUNCTION("IMPORTRANGE(""https://docs.google.com/spreadsheets/d/1rOGZhKHVnDGFqGTO7UNOJSkSJyQwVuEb2-yhWQit7lw/edit?gid=1675789617#gid=1675789617"", address(row($D49),column($D49),,,""JAVA-Q""))"),10)</f>
        <v>10</v>
      </c>
      <c r="M51" s="8">
        <f t="shared" ca="1" si="6"/>
        <v>71.428571428571431</v>
      </c>
      <c r="N51" s="5">
        <f ca="1">IFERROR(__xludf.DUMMYFUNCTION("IMPORTRANGE(""https://docs.google.com/spreadsheets/d/1rOGZhKHVnDGFqGTO7UNOJSkSJyQwVuEb2-yhWQit7lw/edit?gid=1695357766#gid=1695357766"", address(row($D49),column($D49),,,""FOSS LAB-Q""))"),6)</f>
        <v>6</v>
      </c>
      <c r="O51" s="8">
        <f t="shared" ca="1" si="7"/>
        <v>66.666666666666657</v>
      </c>
      <c r="P51" s="5">
        <f ca="1">IFERROR(__xludf.DUMMYFUNCTION("IMPORTRANGE(""https://docs.google.com/spreadsheets/d/1rOGZhKHVnDGFqGTO7UNOJSkSJyQwVuEb2-yhWQit7lw/edit?gid=1247110859#gid=1247110859"", address(row($D49),column($D49),,,""PP-Q""))"),18)</f>
        <v>18</v>
      </c>
      <c r="Q51" s="8">
        <f t="shared" ca="1" si="8"/>
        <v>100</v>
      </c>
      <c r="R51" s="5">
        <f ca="1">IFERROR(__xludf.DUMMYFUNCTION("IMPORTRANGE(""https://docs.google.com/spreadsheets/d/1rOGZhKHVnDGFqGTO7UNOJSkSJyQwVuEb2-yhWQit7lw/edit?gid=675135389#gid=675135389"", address(row($D49),column($D49),,,""NPTEL-Q""))"),10)</f>
        <v>10</v>
      </c>
      <c r="S51" s="5">
        <f t="shared" ca="1" si="9"/>
        <v>100</v>
      </c>
      <c r="T51" s="6">
        <f ca="1">IFERROR(__xludf.DUMMYFUNCTION("IMPORTRANGE(""https://docs.google.com/spreadsheets/d/1rOGZhKHVnDGFqGTO7UNOJSkSJyQwVuEb2-yhWQit7lw/edit?gid=290696378#gid=290696378"", address(row($D49),column($D49),,,""CRT-Q""))"),0)</f>
        <v>0</v>
      </c>
      <c r="U51" s="8" t="e">
        <f t="shared" ca="1" si="10"/>
        <v>#DIV/0!</v>
      </c>
      <c r="V51" s="6">
        <f t="shared" ca="1" si="0"/>
        <v>140</v>
      </c>
      <c r="W51" s="4">
        <f t="shared" ca="1" si="11"/>
        <v>86</v>
      </c>
      <c r="X51" s="4">
        <v>0</v>
      </c>
      <c r="Y51" s="4">
        <v>0</v>
      </c>
      <c r="Z51" s="4">
        <f t="shared" ca="1" si="1"/>
        <v>140</v>
      </c>
      <c r="AA51" s="10">
        <f t="shared" ca="1" si="12"/>
        <v>86</v>
      </c>
    </row>
    <row r="52" spans="1:27" ht="15.85" customHeight="1" x14ac:dyDescent="0.35">
      <c r="A52" s="8">
        <v>47</v>
      </c>
      <c r="B52" s="9" t="s">
        <v>701</v>
      </c>
      <c r="C52" s="21" t="s">
        <v>702</v>
      </c>
      <c r="D52" s="5">
        <f ca="1">IFERROR(__xludf.DUMMYFUNCTION("IMPORTRANGE(""https://docs.google.com/spreadsheets/d/1rOGZhKHVnDGFqGTO7UNOJSkSJyQwVuEb2-yhWQit7lw/edit?gid=99713220#gid=99713220"", address(row($D50),column($D50),,,""DM&amp;GT-Q""))"),21)</f>
        <v>21</v>
      </c>
      <c r="E52" s="8">
        <f t="shared" ca="1" si="2"/>
        <v>72.41379310344827</v>
      </c>
      <c r="F52" s="5">
        <f ca="1">IFERROR(__xludf.DUMMYFUNCTION("IMPORTRANGE(""https://docs.google.com/spreadsheets/d/1rOGZhKHVnDGFqGTO7UNOJSkSJyQwVuEb2-yhWQit7lw/edit?gid=1654206091#gid=1654206091"", address(row($D50),column($D50),,,""UHV-Q""))"),10)</f>
        <v>10</v>
      </c>
      <c r="G52" s="8">
        <f t="shared" ca="1" si="3"/>
        <v>58.82352941176471</v>
      </c>
      <c r="H52" s="5">
        <f ca="1">IFERROR(__xludf.DUMMYFUNCTION("IMPORTRANGE(""https://docs.google.com/spreadsheets/d/1rOGZhKHVnDGFqGTO7UNOJSkSJyQwVuEb2-yhWQit7lw/edit?gid=1540132670#gid=1540132670"", address(row($D50),column($D50),,,""DL&amp;CO-Q""))"),16)</f>
        <v>16</v>
      </c>
      <c r="I52" s="8">
        <f t="shared" ca="1" si="4"/>
        <v>69.565217391304344</v>
      </c>
      <c r="J52" s="5">
        <f ca="1">IFERROR(__xludf.DUMMYFUNCTION("IMPORTRANGE(""https://docs.google.com/spreadsheets/d/1rOGZhKHVnDGFqGTO7UNOJSkSJyQwVuEb2-yhWQit7lw/edit?gid=1833881194#gid=1833881194"", address(row($D50),column($D50),,,""ADSA-Q""))"),26)</f>
        <v>26</v>
      </c>
      <c r="K52" s="8">
        <f t="shared" ca="1" si="5"/>
        <v>61.904761904761905</v>
      </c>
      <c r="L52" s="5">
        <f ca="1">IFERROR(__xludf.DUMMYFUNCTION("IMPORTRANGE(""https://docs.google.com/spreadsheets/d/1rOGZhKHVnDGFqGTO7UNOJSkSJyQwVuEb2-yhWQit7lw/edit?gid=1675789617#gid=1675789617"", address(row($D50),column($D50),,,""JAVA-Q""))"),10)</f>
        <v>10</v>
      </c>
      <c r="M52" s="8">
        <f t="shared" ca="1" si="6"/>
        <v>71.428571428571431</v>
      </c>
      <c r="N52" s="5">
        <f ca="1">IFERROR(__xludf.DUMMYFUNCTION("IMPORTRANGE(""https://docs.google.com/spreadsheets/d/1rOGZhKHVnDGFqGTO7UNOJSkSJyQwVuEb2-yhWQit7lw/edit?gid=1695357766#gid=1695357766"", address(row($D50),column($D50),,,""FOSS LAB-Q""))"),6)</f>
        <v>6</v>
      </c>
      <c r="O52" s="8">
        <f t="shared" ca="1" si="7"/>
        <v>66.666666666666657</v>
      </c>
      <c r="P52" s="5">
        <f ca="1">IFERROR(__xludf.DUMMYFUNCTION("IMPORTRANGE(""https://docs.google.com/spreadsheets/d/1rOGZhKHVnDGFqGTO7UNOJSkSJyQwVuEb2-yhWQit7lw/edit?gid=1247110859#gid=1247110859"", address(row($D50),column($D50),,,""PP-Q""))"),10)</f>
        <v>10</v>
      </c>
      <c r="Q52" s="8">
        <f t="shared" ca="1" si="8"/>
        <v>55.555555555555557</v>
      </c>
      <c r="R52" s="5">
        <f ca="1">IFERROR(__xludf.DUMMYFUNCTION("IMPORTRANGE(""https://docs.google.com/spreadsheets/d/1rOGZhKHVnDGFqGTO7UNOJSkSJyQwVuEb2-yhWQit7lw/edit?gid=675135389#gid=675135389"", address(row($D50),column($D50),,,""NPTEL-Q""))"),8)</f>
        <v>8</v>
      </c>
      <c r="S52" s="5">
        <f t="shared" ca="1" si="9"/>
        <v>80</v>
      </c>
      <c r="T52" s="6">
        <f ca="1">IFERROR(__xludf.DUMMYFUNCTION("IMPORTRANGE(""https://docs.google.com/spreadsheets/d/1rOGZhKHVnDGFqGTO7UNOJSkSJyQwVuEb2-yhWQit7lw/edit?gid=290696378#gid=290696378"", address(row($D50),column($D50),,,""CRT-Q""))"),0)</f>
        <v>0</v>
      </c>
      <c r="U52" s="8" t="e">
        <f t="shared" ca="1" si="10"/>
        <v>#DIV/0!</v>
      </c>
      <c r="V52" s="6">
        <f t="shared" ca="1" si="0"/>
        <v>107</v>
      </c>
      <c r="W52" s="4">
        <f t="shared" ca="1" si="11"/>
        <v>66</v>
      </c>
      <c r="X52" s="4">
        <v>0</v>
      </c>
      <c r="Y52" s="4">
        <v>0</v>
      </c>
      <c r="Z52" s="4">
        <f t="shared" ca="1" si="1"/>
        <v>107</v>
      </c>
      <c r="AA52" s="10">
        <f t="shared" ca="1" si="12"/>
        <v>66</v>
      </c>
    </row>
    <row r="53" spans="1:27" ht="15.85" customHeight="1" x14ac:dyDescent="0.35">
      <c r="A53" s="8">
        <v>48</v>
      </c>
      <c r="B53" s="9" t="s">
        <v>703</v>
      </c>
      <c r="C53" s="21" t="s">
        <v>704</v>
      </c>
      <c r="D53" s="5">
        <f ca="1">IFERROR(__xludf.DUMMYFUNCTION("IMPORTRANGE(""https://docs.google.com/spreadsheets/d/1rOGZhKHVnDGFqGTO7UNOJSkSJyQwVuEb2-yhWQit7lw/edit?gid=99713220#gid=99713220"", address(row($D51),column($D51),,,""DM&amp;GT-Q""))"),24)</f>
        <v>24</v>
      </c>
      <c r="E53" s="8">
        <f t="shared" ca="1" si="2"/>
        <v>82.758620689655174</v>
      </c>
      <c r="F53" s="5">
        <f ca="1">IFERROR(__xludf.DUMMYFUNCTION("IMPORTRANGE(""https://docs.google.com/spreadsheets/d/1rOGZhKHVnDGFqGTO7UNOJSkSJyQwVuEb2-yhWQit7lw/edit?gid=1654206091#gid=1654206091"", address(row($D51),column($D51),,,""UHV-Q""))"),12)</f>
        <v>12</v>
      </c>
      <c r="G53" s="8">
        <f t="shared" ca="1" si="3"/>
        <v>70.588235294117652</v>
      </c>
      <c r="H53" s="5">
        <f ca="1">IFERROR(__xludf.DUMMYFUNCTION("IMPORTRANGE(""https://docs.google.com/spreadsheets/d/1rOGZhKHVnDGFqGTO7UNOJSkSJyQwVuEb2-yhWQit7lw/edit?gid=1540132670#gid=1540132670"", address(row($D51),column($D51),,,""DL&amp;CO-Q""))"),17)</f>
        <v>17</v>
      </c>
      <c r="I53" s="8">
        <f t="shared" ca="1" si="4"/>
        <v>73.91304347826086</v>
      </c>
      <c r="J53" s="5">
        <f ca="1">IFERROR(__xludf.DUMMYFUNCTION("IMPORTRANGE(""https://docs.google.com/spreadsheets/d/1rOGZhKHVnDGFqGTO7UNOJSkSJyQwVuEb2-yhWQit7lw/edit?gid=1833881194#gid=1833881194"", address(row($D51),column($D51),,,""ADSA-Q""))"),30)</f>
        <v>30</v>
      </c>
      <c r="K53" s="8">
        <f t="shared" ca="1" si="5"/>
        <v>71.428571428571431</v>
      </c>
      <c r="L53" s="5">
        <f ca="1">IFERROR(__xludf.DUMMYFUNCTION("IMPORTRANGE(""https://docs.google.com/spreadsheets/d/1rOGZhKHVnDGFqGTO7UNOJSkSJyQwVuEb2-yhWQit7lw/edit?gid=1675789617#gid=1675789617"", address(row($D51),column($D51),,,""JAVA-Q""))"),12)</f>
        <v>12</v>
      </c>
      <c r="M53" s="8">
        <f t="shared" ca="1" si="6"/>
        <v>85.714285714285708</v>
      </c>
      <c r="N53" s="5">
        <f ca="1">IFERROR(__xludf.DUMMYFUNCTION("IMPORTRANGE(""https://docs.google.com/spreadsheets/d/1rOGZhKHVnDGFqGTO7UNOJSkSJyQwVuEb2-yhWQit7lw/edit?gid=1695357766#gid=1695357766"", address(row($D51),column($D51),,,""FOSS LAB-Q""))"),9)</f>
        <v>9</v>
      </c>
      <c r="O53" s="8">
        <f t="shared" ca="1" si="7"/>
        <v>100</v>
      </c>
      <c r="P53" s="5">
        <f ca="1">IFERROR(__xludf.DUMMYFUNCTION("IMPORTRANGE(""https://docs.google.com/spreadsheets/d/1rOGZhKHVnDGFqGTO7UNOJSkSJyQwVuEb2-yhWQit7lw/edit?gid=1247110859#gid=1247110859"", address(row($D51),column($D51),,,""PP-Q""))"),12)</f>
        <v>12</v>
      </c>
      <c r="Q53" s="8">
        <f t="shared" ca="1" si="8"/>
        <v>66.666666666666657</v>
      </c>
      <c r="R53" s="5">
        <f ca="1">IFERROR(__xludf.DUMMYFUNCTION("IMPORTRANGE(""https://docs.google.com/spreadsheets/d/1rOGZhKHVnDGFqGTO7UNOJSkSJyQwVuEb2-yhWQit7lw/edit?gid=675135389#gid=675135389"", address(row($D51),column($D51),,,""NPTEL-Q""))"),8)</f>
        <v>8</v>
      </c>
      <c r="S53" s="5">
        <f t="shared" ca="1" si="9"/>
        <v>80</v>
      </c>
      <c r="T53" s="6">
        <f ca="1">IFERROR(__xludf.DUMMYFUNCTION("IMPORTRANGE(""https://docs.google.com/spreadsheets/d/1rOGZhKHVnDGFqGTO7UNOJSkSJyQwVuEb2-yhWQit7lw/edit?gid=290696378#gid=290696378"", address(row($D51),column($D51),,,""CRT-Q""))"),0)</f>
        <v>0</v>
      </c>
      <c r="U53" s="8" t="e">
        <f t="shared" ca="1" si="10"/>
        <v>#DIV/0!</v>
      </c>
      <c r="V53" s="6">
        <f t="shared" ca="1" si="0"/>
        <v>124</v>
      </c>
      <c r="W53" s="4">
        <f t="shared" ca="1" si="11"/>
        <v>77</v>
      </c>
      <c r="X53" s="4">
        <v>0</v>
      </c>
      <c r="Y53" s="4">
        <v>0</v>
      </c>
      <c r="Z53" s="4">
        <f t="shared" ca="1" si="1"/>
        <v>124</v>
      </c>
      <c r="AA53" s="10">
        <f t="shared" ca="1" si="12"/>
        <v>77</v>
      </c>
    </row>
    <row r="54" spans="1:27" ht="15.85" customHeight="1" x14ac:dyDescent="0.35">
      <c r="A54" s="8">
        <v>49</v>
      </c>
      <c r="B54" s="9" t="s">
        <v>705</v>
      </c>
      <c r="C54" s="21" t="s">
        <v>706</v>
      </c>
      <c r="D54" s="5">
        <f ca="1">IFERROR(__xludf.DUMMYFUNCTION("IMPORTRANGE(""https://docs.google.com/spreadsheets/d/1rOGZhKHVnDGFqGTO7UNOJSkSJyQwVuEb2-yhWQit7lw/edit?gid=99713220#gid=99713220"", address(row($D52),column($D52),,,""DM&amp;GT-Q""))"),19)</f>
        <v>19</v>
      </c>
      <c r="E54" s="8">
        <f t="shared" ca="1" si="2"/>
        <v>65.517241379310349</v>
      </c>
      <c r="F54" s="5">
        <f ca="1">IFERROR(__xludf.DUMMYFUNCTION("IMPORTRANGE(""https://docs.google.com/spreadsheets/d/1rOGZhKHVnDGFqGTO7UNOJSkSJyQwVuEb2-yhWQit7lw/edit?gid=1654206091#gid=1654206091"", address(row($D52),column($D52),,,""UHV-Q""))"),7)</f>
        <v>7</v>
      </c>
      <c r="G54" s="8">
        <f t="shared" ca="1" si="3"/>
        <v>41.17647058823529</v>
      </c>
      <c r="H54" s="5">
        <f ca="1">IFERROR(__xludf.DUMMYFUNCTION("IMPORTRANGE(""https://docs.google.com/spreadsheets/d/1rOGZhKHVnDGFqGTO7UNOJSkSJyQwVuEb2-yhWQit7lw/edit?gid=1540132670#gid=1540132670"", address(row($D52),column($D52),,,""DL&amp;CO-Q""))"),9)</f>
        <v>9</v>
      </c>
      <c r="I54" s="8">
        <f t="shared" ca="1" si="4"/>
        <v>39.130434782608695</v>
      </c>
      <c r="J54" s="5">
        <f ca="1">IFERROR(__xludf.DUMMYFUNCTION("IMPORTRANGE(""https://docs.google.com/spreadsheets/d/1rOGZhKHVnDGFqGTO7UNOJSkSJyQwVuEb2-yhWQit7lw/edit?gid=1833881194#gid=1833881194"", address(row($D52),column($D52),,,""ADSA-Q""))"),24)</f>
        <v>24</v>
      </c>
      <c r="K54" s="8">
        <f t="shared" ca="1" si="5"/>
        <v>57.142857142857139</v>
      </c>
      <c r="L54" s="5">
        <f ca="1">IFERROR(__xludf.DUMMYFUNCTION("IMPORTRANGE(""https://docs.google.com/spreadsheets/d/1rOGZhKHVnDGFqGTO7UNOJSkSJyQwVuEb2-yhWQit7lw/edit?gid=1675789617#gid=1675789617"", address(row($D52),column($D52),,,""JAVA-Q""))"),10)</f>
        <v>10</v>
      </c>
      <c r="M54" s="8">
        <f t="shared" ca="1" si="6"/>
        <v>71.428571428571431</v>
      </c>
      <c r="N54" s="5">
        <f ca="1">IFERROR(__xludf.DUMMYFUNCTION("IMPORTRANGE(""https://docs.google.com/spreadsheets/d/1rOGZhKHVnDGFqGTO7UNOJSkSJyQwVuEb2-yhWQit7lw/edit?gid=1695357766#gid=1695357766"", address(row($D52),column($D52),,,""FOSS LAB-Q""))"),3)</f>
        <v>3</v>
      </c>
      <c r="O54" s="8">
        <f t="shared" ca="1" si="7"/>
        <v>33.333333333333329</v>
      </c>
      <c r="P54" s="5">
        <f ca="1">IFERROR(__xludf.DUMMYFUNCTION("IMPORTRANGE(""https://docs.google.com/spreadsheets/d/1rOGZhKHVnDGFqGTO7UNOJSkSJyQwVuEb2-yhWQit7lw/edit?gid=1247110859#gid=1247110859"", address(row($D52),column($D52),,,""PP-Q""))"),8)</f>
        <v>8</v>
      </c>
      <c r="Q54" s="8">
        <f t="shared" ca="1" si="8"/>
        <v>44.444444444444443</v>
      </c>
      <c r="R54" s="5">
        <f ca="1">IFERROR(__xludf.DUMMYFUNCTION("IMPORTRANGE(""https://docs.google.com/spreadsheets/d/1rOGZhKHVnDGFqGTO7UNOJSkSJyQwVuEb2-yhWQit7lw/edit?gid=675135389#gid=675135389"", address(row($D52),column($D52),,,""NPTEL-Q""))"),4)</f>
        <v>4</v>
      </c>
      <c r="S54" s="5">
        <f t="shared" ca="1" si="9"/>
        <v>40</v>
      </c>
      <c r="T54" s="6">
        <f ca="1">IFERROR(__xludf.DUMMYFUNCTION("IMPORTRANGE(""https://docs.google.com/spreadsheets/d/1rOGZhKHVnDGFqGTO7UNOJSkSJyQwVuEb2-yhWQit7lw/edit?gid=290696378#gid=290696378"", address(row($D52),column($D52),,,""CRT-Q""))"),0)</f>
        <v>0</v>
      </c>
      <c r="U54" s="8" t="e">
        <f t="shared" ca="1" si="10"/>
        <v>#DIV/0!</v>
      </c>
      <c r="V54" s="6">
        <f t="shared" ca="1" si="0"/>
        <v>84</v>
      </c>
      <c r="W54" s="4">
        <f t="shared" ca="1" si="11"/>
        <v>52</v>
      </c>
      <c r="X54" s="4">
        <v>0</v>
      </c>
      <c r="Y54" s="4">
        <v>0</v>
      </c>
      <c r="Z54" s="4">
        <f t="shared" ca="1" si="1"/>
        <v>84</v>
      </c>
      <c r="AA54" s="10">
        <f t="shared" ca="1" si="12"/>
        <v>52</v>
      </c>
    </row>
    <row r="55" spans="1:27" ht="15.85" customHeight="1" x14ac:dyDescent="0.35">
      <c r="A55" s="8">
        <v>50</v>
      </c>
      <c r="B55" s="9" t="s">
        <v>707</v>
      </c>
      <c r="C55" s="21" t="s">
        <v>708</v>
      </c>
      <c r="D55" s="5">
        <f ca="1">IFERROR(__xludf.DUMMYFUNCTION("IMPORTRANGE(""https://docs.google.com/spreadsheets/d/1rOGZhKHVnDGFqGTO7UNOJSkSJyQwVuEb2-yhWQit7lw/edit?gid=99713220#gid=99713220"", address(row($D53),column($D53),,,""DM&amp;GT-Q""))"),23)</f>
        <v>23</v>
      </c>
      <c r="E55" s="8">
        <f t="shared" ca="1" si="2"/>
        <v>79.310344827586206</v>
      </c>
      <c r="F55" s="5">
        <f ca="1">IFERROR(__xludf.DUMMYFUNCTION("IMPORTRANGE(""https://docs.google.com/spreadsheets/d/1rOGZhKHVnDGFqGTO7UNOJSkSJyQwVuEb2-yhWQit7lw/edit?gid=1654206091#gid=1654206091"", address(row($D53),column($D53),,,""UHV-Q""))"),17)</f>
        <v>17</v>
      </c>
      <c r="G55" s="8">
        <f t="shared" ca="1" si="3"/>
        <v>100</v>
      </c>
      <c r="H55" s="5">
        <f ca="1">IFERROR(__xludf.DUMMYFUNCTION("IMPORTRANGE(""https://docs.google.com/spreadsheets/d/1rOGZhKHVnDGFqGTO7UNOJSkSJyQwVuEb2-yhWQit7lw/edit?gid=1540132670#gid=1540132670"", address(row($D53),column($D53),,,""DL&amp;CO-Q""))"),18)</f>
        <v>18</v>
      </c>
      <c r="I55" s="8">
        <f t="shared" ca="1" si="4"/>
        <v>78.260869565217391</v>
      </c>
      <c r="J55" s="5">
        <f ca="1">IFERROR(__xludf.DUMMYFUNCTION("IMPORTRANGE(""https://docs.google.com/spreadsheets/d/1rOGZhKHVnDGFqGTO7UNOJSkSJyQwVuEb2-yhWQit7lw/edit?gid=1833881194#gid=1833881194"", address(row($D53),column($D53),,,""ADSA-Q""))"),32)</f>
        <v>32</v>
      </c>
      <c r="K55" s="8">
        <f t="shared" ca="1" si="5"/>
        <v>76.19047619047619</v>
      </c>
      <c r="L55" s="5">
        <f ca="1">IFERROR(__xludf.DUMMYFUNCTION("IMPORTRANGE(""https://docs.google.com/spreadsheets/d/1rOGZhKHVnDGFqGTO7UNOJSkSJyQwVuEb2-yhWQit7lw/edit?gid=1675789617#gid=1675789617"", address(row($D53),column($D53),,,""JAVA-Q""))"),12)</f>
        <v>12</v>
      </c>
      <c r="M55" s="8">
        <f t="shared" ca="1" si="6"/>
        <v>85.714285714285708</v>
      </c>
      <c r="N55" s="5">
        <f ca="1">IFERROR(__xludf.DUMMYFUNCTION("IMPORTRANGE(""https://docs.google.com/spreadsheets/d/1rOGZhKHVnDGFqGTO7UNOJSkSJyQwVuEb2-yhWQit7lw/edit?gid=1695357766#gid=1695357766"", address(row($D53),column($D53),,,""FOSS LAB-Q""))"),6)</f>
        <v>6</v>
      </c>
      <c r="O55" s="8">
        <f t="shared" ca="1" si="7"/>
        <v>66.666666666666657</v>
      </c>
      <c r="P55" s="5">
        <f ca="1">IFERROR(__xludf.DUMMYFUNCTION("IMPORTRANGE(""https://docs.google.com/spreadsheets/d/1rOGZhKHVnDGFqGTO7UNOJSkSJyQwVuEb2-yhWQit7lw/edit?gid=1247110859#gid=1247110859"", address(row($D53),column($D53),,,""PP-Q""))"),16)</f>
        <v>16</v>
      </c>
      <c r="Q55" s="8">
        <f t="shared" ca="1" si="8"/>
        <v>88.888888888888886</v>
      </c>
      <c r="R55" s="5">
        <f ca="1">IFERROR(__xludf.DUMMYFUNCTION("IMPORTRANGE(""https://docs.google.com/spreadsheets/d/1rOGZhKHVnDGFqGTO7UNOJSkSJyQwVuEb2-yhWQit7lw/edit?gid=675135389#gid=675135389"", address(row($D53),column($D53),,,""NPTEL-Q""))"),10)</f>
        <v>10</v>
      </c>
      <c r="S55" s="5">
        <f t="shared" ca="1" si="9"/>
        <v>100</v>
      </c>
      <c r="T55" s="6">
        <f ca="1">IFERROR(__xludf.DUMMYFUNCTION("IMPORTRANGE(""https://docs.google.com/spreadsheets/d/1rOGZhKHVnDGFqGTO7UNOJSkSJyQwVuEb2-yhWQit7lw/edit?gid=290696378#gid=290696378"", address(row($D53),column($D53),,,""CRT-Q""))"),0)</f>
        <v>0</v>
      </c>
      <c r="U55" s="8" t="e">
        <f t="shared" ca="1" si="10"/>
        <v>#DIV/0!</v>
      </c>
      <c r="V55" s="6">
        <f t="shared" ca="1" si="0"/>
        <v>134</v>
      </c>
      <c r="W55" s="4">
        <f t="shared" ca="1" si="11"/>
        <v>83</v>
      </c>
      <c r="X55" s="4">
        <v>0</v>
      </c>
      <c r="Y55" s="4">
        <v>0</v>
      </c>
      <c r="Z55" s="4">
        <f t="shared" ca="1" si="1"/>
        <v>134</v>
      </c>
      <c r="AA55" s="10">
        <f t="shared" ca="1" si="12"/>
        <v>83</v>
      </c>
    </row>
    <row r="56" spans="1:27" ht="15.85" customHeight="1" x14ac:dyDescent="0.35">
      <c r="A56" s="8">
        <v>51</v>
      </c>
      <c r="B56" s="9" t="s">
        <v>709</v>
      </c>
      <c r="C56" s="21" t="s">
        <v>710</v>
      </c>
      <c r="D56" s="5">
        <f ca="1">IFERROR(__xludf.DUMMYFUNCTION("IMPORTRANGE(""https://docs.google.com/spreadsheets/d/1rOGZhKHVnDGFqGTO7UNOJSkSJyQwVuEb2-yhWQit7lw/edit?gid=99713220#gid=99713220"", address(row($D54),column($D54),,,""DM&amp;GT-Q""))"),27)</f>
        <v>27</v>
      </c>
      <c r="E56" s="8">
        <f t="shared" ca="1" si="2"/>
        <v>93.103448275862064</v>
      </c>
      <c r="F56" s="5">
        <f ca="1">IFERROR(__xludf.DUMMYFUNCTION("IMPORTRANGE(""https://docs.google.com/spreadsheets/d/1rOGZhKHVnDGFqGTO7UNOJSkSJyQwVuEb2-yhWQit7lw/edit?gid=1654206091#gid=1654206091"", address(row($D54),column($D54),,,""UHV-Q""))"),17)</f>
        <v>17</v>
      </c>
      <c r="G56" s="8">
        <f t="shared" ca="1" si="3"/>
        <v>100</v>
      </c>
      <c r="H56" s="5">
        <f ca="1">IFERROR(__xludf.DUMMYFUNCTION("IMPORTRANGE(""https://docs.google.com/spreadsheets/d/1rOGZhKHVnDGFqGTO7UNOJSkSJyQwVuEb2-yhWQit7lw/edit?gid=1540132670#gid=1540132670"", address(row($D54),column($D54),,,""DL&amp;CO-Q""))"),19)</f>
        <v>19</v>
      </c>
      <c r="I56" s="8">
        <f t="shared" ca="1" si="4"/>
        <v>82.608695652173907</v>
      </c>
      <c r="J56" s="5">
        <f ca="1">IFERROR(__xludf.DUMMYFUNCTION("IMPORTRANGE(""https://docs.google.com/spreadsheets/d/1rOGZhKHVnDGFqGTO7UNOJSkSJyQwVuEb2-yhWQit7lw/edit?gid=1833881194#gid=1833881194"", address(row($D54),column($D54),,,""ADSA-Q""))"),36)</f>
        <v>36</v>
      </c>
      <c r="K56" s="8">
        <f t="shared" ca="1" si="5"/>
        <v>85.714285714285708</v>
      </c>
      <c r="L56" s="5">
        <f ca="1">IFERROR(__xludf.DUMMYFUNCTION("IMPORTRANGE(""https://docs.google.com/spreadsheets/d/1rOGZhKHVnDGFqGTO7UNOJSkSJyQwVuEb2-yhWQit7lw/edit?gid=1675789617#gid=1675789617"", address(row($D54),column($D54),,,""JAVA-Q""))"),12)</f>
        <v>12</v>
      </c>
      <c r="M56" s="8">
        <f t="shared" ca="1" si="6"/>
        <v>85.714285714285708</v>
      </c>
      <c r="N56" s="5">
        <f ca="1">IFERROR(__xludf.DUMMYFUNCTION("IMPORTRANGE(""https://docs.google.com/spreadsheets/d/1rOGZhKHVnDGFqGTO7UNOJSkSJyQwVuEb2-yhWQit7lw/edit?gid=1695357766#gid=1695357766"", address(row($D54),column($D54),,,""FOSS LAB-Q""))"),9)</f>
        <v>9</v>
      </c>
      <c r="O56" s="8">
        <f t="shared" ca="1" si="7"/>
        <v>100</v>
      </c>
      <c r="P56" s="5">
        <f ca="1">IFERROR(__xludf.DUMMYFUNCTION("IMPORTRANGE(""https://docs.google.com/spreadsheets/d/1rOGZhKHVnDGFqGTO7UNOJSkSJyQwVuEb2-yhWQit7lw/edit?gid=1247110859#gid=1247110859"", address(row($D54),column($D54),,,""PP-Q""))"),18)</f>
        <v>18</v>
      </c>
      <c r="Q56" s="8">
        <f t="shared" ca="1" si="8"/>
        <v>100</v>
      </c>
      <c r="R56" s="5">
        <f ca="1">IFERROR(__xludf.DUMMYFUNCTION("IMPORTRANGE(""https://docs.google.com/spreadsheets/d/1rOGZhKHVnDGFqGTO7UNOJSkSJyQwVuEb2-yhWQit7lw/edit?gid=675135389#gid=675135389"", address(row($D54),column($D54),,,""NPTEL-Q""))"),10)</f>
        <v>10</v>
      </c>
      <c r="S56" s="5">
        <f t="shared" ca="1" si="9"/>
        <v>100</v>
      </c>
      <c r="T56" s="6">
        <f ca="1">IFERROR(__xludf.DUMMYFUNCTION("IMPORTRANGE(""https://docs.google.com/spreadsheets/d/1rOGZhKHVnDGFqGTO7UNOJSkSJyQwVuEb2-yhWQit7lw/edit?gid=290696378#gid=290696378"", address(row($D54),column($D54),,,""CRT-Q""))"),0)</f>
        <v>0</v>
      </c>
      <c r="U56" s="8" t="e">
        <f t="shared" ca="1" si="10"/>
        <v>#DIV/0!</v>
      </c>
      <c r="V56" s="6">
        <f t="shared" ca="1" si="0"/>
        <v>148</v>
      </c>
      <c r="W56" s="4">
        <f t="shared" ca="1" si="11"/>
        <v>91</v>
      </c>
      <c r="X56" s="4">
        <v>0</v>
      </c>
      <c r="Y56" s="4">
        <v>0</v>
      </c>
      <c r="Z56" s="4">
        <f t="shared" ca="1" si="1"/>
        <v>148</v>
      </c>
      <c r="AA56" s="10">
        <f t="shared" ca="1" si="12"/>
        <v>91</v>
      </c>
    </row>
    <row r="57" spans="1:27" ht="15.85" customHeight="1" x14ac:dyDescent="0.35">
      <c r="A57" s="8">
        <v>52</v>
      </c>
      <c r="B57" s="9" t="s">
        <v>711</v>
      </c>
      <c r="C57" s="21" t="s">
        <v>712</v>
      </c>
      <c r="D57" s="5">
        <f ca="1">IFERROR(__xludf.DUMMYFUNCTION("IMPORTRANGE(""https://docs.google.com/spreadsheets/d/1rOGZhKHVnDGFqGTO7UNOJSkSJyQwVuEb2-yhWQit7lw/edit?gid=99713220#gid=99713220"", address(row($D55),column($D55),,,""DM&amp;GT-Q""))"),23)</f>
        <v>23</v>
      </c>
      <c r="E57" s="8">
        <f t="shared" ca="1" si="2"/>
        <v>79.310344827586206</v>
      </c>
      <c r="F57" s="5">
        <f ca="1">IFERROR(__xludf.DUMMYFUNCTION("IMPORTRANGE(""https://docs.google.com/spreadsheets/d/1rOGZhKHVnDGFqGTO7UNOJSkSJyQwVuEb2-yhWQit7lw/edit?gid=1654206091#gid=1654206091"", address(row($D55),column($D55),,,""UHV-Q""))"),14)</f>
        <v>14</v>
      </c>
      <c r="G57" s="8">
        <f t="shared" ca="1" si="3"/>
        <v>82.35294117647058</v>
      </c>
      <c r="H57" s="5">
        <f ca="1">IFERROR(__xludf.DUMMYFUNCTION("IMPORTRANGE(""https://docs.google.com/spreadsheets/d/1rOGZhKHVnDGFqGTO7UNOJSkSJyQwVuEb2-yhWQit7lw/edit?gid=1540132670#gid=1540132670"", address(row($D55),column($D55),,,""DL&amp;CO-Q""))"),15)</f>
        <v>15</v>
      </c>
      <c r="I57" s="8">
        <f t="shared" ca="1" si="4"/>
        <v>65.217391304347828</v>
      </c>
      <c r="J57" s="5">
        <f ca="1">IFERROR(__xludf.DUMMYFUNCTION("IMPORTRANGE(""https://docs.google.com/spreadsheets/d/1rOGZhKHVnDGFqGTO7UNOJSkSJyQwVuEb2-yhWQit7lw/edit?gid=1833881194#gid=1833881194"", address(row($D55),column($D55),,,""ADSA-Q""))"),38)</f>
        <v>38</v>
      </c>
      <c r="K57" s="8">
        <f t="shared" ca="1" si="5"/>
        <v>90.476190476190482</v>
      </c>
      <c r="L57" s="5">
        <f ca="1">IFERROR(__xludf.DUMMYFUNCTION("IMPORTRANGE(""https://docs.google.com/spreadsheets/d/1rOGZhKHVnDGFqGTO7UNOJSkSJyQwVuEb2-yhWQit7lw/edit?gid=1675789617#gid=1675789617"", address(row($D55),column($D55),,,""JAVA-Q""))"),12)</f>
        <v>12</v>
      </c>
      <c r="M57" s="8">
        <f t="shared" ca="1" si="6"/>
        <v>85.714285714285708</v>
      </c>
      <c r="N57" s="5">
        <f ca="1">IFERROR(__xludf.DUMMYFUNCTION("IMPORTRANGE(""https://docs.google.com/spreadsheets/d/1rOGZhKHVnDGFqGTO7UNOJSkSJyQwVuEb2-yhWQit7lw/edit?gid=1695357766#gid=1695357766"", address(row($D55),column($D55),,,""FOSS LAB-Q""))"),9)</f>
        <v>9</v>
      </c>
      <c r="O57" s="8">
        <f t="shared" ca="1" si="7"/>
        <v>100</v>
      </c>
      <c r="P57" s="5">
        <f ca="1">IFERROR(__xludf.DUMMYFUNCTION("IMPORTRANGE(""https://docs.google.com/spreadsheets/d/1rOGZhKHVnDGFqGTO7UNOJSkSJyQwVuEb2-yhWQit7lw/edit?gid=1247110859#gid=1247110859"", address(row($D55),column($D55),,,""PP-Q""))"),15)</f>
        <v>15</v>
      </c>
      <c r="Q57" s="8">
        <f t="shared" ca="1" si="8"/>
        <v>83.333333333333343</v>
      </c>
      <c r="R57" s="5">
        <f ca="1">IFERROR(__xludf.DUMMYFUNCTION("IMPORTRANGE(""https://docs.google.com/spreadsheets/d/1rOGZhKHVnDGFqGTO7UNOJSkSJyQwVuEb2-yhWQit7lw/edit?gid=675135389#gid=675135389"", address(row($D55),column($D55),,,""NPTEL-Q""))"),8)</f>
        <v>8</v>
      </c>
      <c r="S57" s="5">
        <f t="shared" ca="1" si="9"/>
        <v>80</v>
      </c>
      <c r="T57" s="6">
        <f ca="1">IFERROR(__xludf.DUMMYFUNCTION("IMPORTRANGE(""https://docs.google.com/spreadsheets/d/1rOGZhKHVnDGFqGTO7UNOJSkSJyQwVuEb2-yhWQit7lw/edit?gid=290696378#gid=290696378"", address(row($D55),column($D55),,,""CRT-Q""))"),0)</f>
        <v>0</v>
      </c>
      <c r="U57" s="8" t="e">
        <f t="shared" ca="1" si="10"/>
        <v>#DIV/0!</v>
      </c>
      <c r="V57" s="6">
        <f t="shared" ca="1" si="0"/>
        <v>134</v>
      </c>
      <c r="W57" s="4">
        <f t="shared" ca="1" si="11"/>
        <v>83</v>
      </c>
      <c r="X57" s="4">
        <v>0</v>
      </c>
      <c r="Y57" s="4">
        <v>0</v>
      </c>
      <c r="Z57" s="4">
        <f t="shared" ca="1" si="1"/>
        <v>134</v>
      </c>
      <c r="AA57" s="10">
        <f t="shared" ca="1" si="12"/>
        <v>83</v>
      </c>
    </row>
    <row r="58" spans="1:27" ht="15.85" customHeight="1" x14ac:dyDescent="0.35">
      <c r="A58" s="8">
        <v>53</v>
      </c>
      <c r="B58" s="9" t="s">
        <v>713</v>
      </c>
      <c r="C58" s="21" t="s">
        <v>714</v>
      </c>
      <c r="D58" s="5">
        <f ca="1">IFERROR(__xludf.DUMMYFUNCTION("IMPORTRANGE(""https://docs.google.com/spreadsheets/d/1rOGZhKHVnDGFqGTO7UNOJSkSJyQwVuEb2-yhWQit7lw/edit?gid=99713220#gid=99713220"", address(row($D56),column($D56),,,""DM&amp;GT-Q""))"),20)</f>
        <v>20</v>
      </c>
      <c r="E58" s="8">
        <f t="shared" ca="1" si="2"/>
        <v>68.965517241379317</v>
      </c>
      <c r="F58" s="5">
        <f ca="1">IFERROR(__xludf.DUMMYFUNCTION("IMPORTRANGE(""https://docs.google.com/spreadsheets/d/1rOGZhKHVnDGFqGTO7UNOJSkSJyQwVuEb2-yhWQit7lw/edit?gid=1654206091#gid=1654206091"", address(row($D56),column($D56),,,""UHV-Q""))"),11)</f>
        <v>11</v>
      </c>
      <c r="G58" s="8">
        <f t="shared" ca="1" si="3"/>
        <v>64.705882352941174</v>
      </c>
      <c r="H58" s="5">
        <f ca="1">IFERROR(__xludf.DUMMYFUNCTION("IMPORTRANGE(""https://docs.google.com/spreadsheets/d/1rOGZhKHVnDGFqGTO7UNOJSkSJyQwVuEb2-yhWQit7lw/edit?gid=1540132670#gid=1540132670"", address(row($D56),column($D56),,,""DL&amp;CO-Q""))"),10)</f>
        <v>10</v>
      </c>
      <c r="I58" s="8">
        <f t="shared" ca="1" si="4"/>
        <v>43.478260869565219</v>
      </c>
      <c r="J58" s="5">
        <f ca="1">IFERROR(__xludf.DUMMYFUNCTION("IMPORTRANGE(""https://docs.google.com/spreadsheets/d/1rOGZhKHVnDGFqGTO7UNOJSkSJyQwVuEb2-yhWQit7lw/edit?gid=1833881194#gid=1833881194"", address(row($D56),column($D56),,,""ADSA-Q""))"),27)</f>
        <v>27</v>
      </c>
      <c r="K58" s="8">
        <f t="shared" ca="1" si="5"/>
        <v>64.285714285714292</v>
      </c>
      <c r="L58" s="5">
        <f ca="1">IFERROR(__xludf.DUMMYFUNCTION("IMPORTRANGE(""https://docs.google.com/spreadsheets/d/1rOGZhKHVnDGFqGTO7UNOJSkSJyQwVuEb2-yhWQit7lw/edit?gid=1675789617#gid=1675789617"", address(row($D56),column($D56),,,""JAVA-Q""))"),8)</f>
        <v>8</v>
      </c>
      <c r="M58" s="8">
        <f t="shared" ca="1" si="6"/>
        <v>57.142857142857139</v>
      </c>
      <c r="N58" s="5">
        <f ca="1">IFERROR(__xludf.DUMMYFUNCTION("IMPORTRANGE(""https://docs.google.com/spreadsheets/d/1rOGZhKHVnDGFqGTO7UNOJSkSJyQwVuEb2-yhWQit7lw/edit?gid=1695357766#gid=1695357766"", address(row($D56),column($D56),,,""FOSS LAB-Q""))"),6)</f>
        <v>6</v>
      </c>
      <c r="O58" s="8">
        <f t="shared" ca="1" si="7"/>
        <v>66.666666666666657</v>
      </c>
      <c r="P58" s="5">
        <f ca="1">IFERROR(__xludf.DUMMYFUNCTION("IMPORTRANGE(""https://docs.google.com/spreadsheets/d/1rOGZhKHVnDGFqGTO7UNOJSkSJyQwVuEb2-yhWQit7lw/edit?gid=1247110859#gid=1247110859"", address(row($D56),column($D56),,,""PP-Q""))"),14)</f>
        <v>14</v>
      </c>
      <c r="Q58" s="8">
        <f t="shared" ca="1" si="8"/>
        <v>77.777777777777786</v>
      </c>
      <c r="R58" s="5">
        <f ca="1">IFERROR(__xludf.DUMMYFUNCTION("IMPORTRANGE(""https://docs.google.com/spreadsheets/d/1rOGZhKHVnDGFqGTO7UNOJSkSJyQwVuEb2-yhWQit7lw/edit?gid=675135389#gid=675135389"", address(row($D56),column($D56),,,""NPTEL-Q""))"),4)</f>
        <v>4</v>
      </c>
      <c r="S58" s="5">
        <f t="shared" ca="1" si="9"/>
        <v>40</v>
      </c>
      <c r="T58" s="6">
        <f ca="1">IFERROR(__xludf.DUMMYFUNCTION("IMPORTRANGE(""https://docs.google.com/spreadsheets/d/1rOGZhKHVnDGFqGTO7UNOJSkSJyQwVuEb2-yhWQit7lw/edit?gid=290696378#gid=290696378"", address(row($D56),column($D56),,,""CRT-Q""))"),0)</f>
        <v>0</v>
      </c>
      <c r="U58" s="8" t="e">
        <f t="shared" ca="1" si="10"/>
        <v>#DIV/0!</v>
      </c>
      <c r="V58" s="6">
        <f t="shared" ca="1" si="0"/>
        <v>100</v>
      </c>
      <c r="W58" s="4">
        <f t="shared" ca="1" si="11"/>
        <v>62</v>
      </c>
      <c r="X58" s="4">
        <v>0</v>
      </c>
      <c r="Y58" s="4">
        <v>0</v>
      </c>
      <c r="Z58" s="4">
        <f t="shared" ca="1" si="1"/>
        <v>100</v>
      </c>
      <c r="AA58" s="10">
        <f t="shared" ca="1" si="12"/>
        <v>62</v>
      </c>
    </row>
    <row r="59" spans="1:27" ht="15.85" customHeight="1" x14ac:dyDescent="0.35">
      <c r="A59" s="8">
        <v>54</v>
      </c>
      <c r="B59" s="9" t="s">
        <v>715</v>
      </c>
      <c r="C59" s="21" t="s">
        <v>716</v>
      </c>
      <c r="D59" s="5">
        <f ca="1">IFERROR(__xludf.DUMMYFUNCTION("IMPORTRANGE(""https://docs.google.com/spreadsheets/d/1rOGZhKHVnDGFqGTO7UNOJSkSJyQwVuEb2-yhWQit7lw/edit?gid=99713220#gid=99713220"", address(row($D57),column($D57),,,""DM&amp;GT-Q""))"),20)</f>
        <v>20</v>
      </c>
      <c r="E59" s="8">
        <f t="shared" ca="1" si="2"/>
        <v>68.965517241379317</v>
      </c>
      <c r="F59" s="5">
        <f ca="1">IFERROR(__xludf.DUMMYFUNCTION("IMPORTRANGE(""https://docs.google.com/spreadsheets/d/1rOGZhKHVnDGFqGTO7UNOJSkSJyQwVuEb2-yhWQit7lw/edit?gid=1654206091#gid=1654206091"", address(row($D57),column($D57),,,""UHV-Q""))"),10)</f>
        <v>10</v>
      </c>
      <c r="G59" s="8">
        <f t="shared" ca="1" si="3"/>
        <v>58.82352941176471</v>
      </c>
      <c r="H59" s="5">
        <f ca="1">IFERROR(__xludf.DUMMYFUNCTION("IMPORTRANGE(""https://docs.google.com/spreadsheets/d/1rOGZhKHVnDGFqGTO7UNOJSkSJyQwVuEb2-yhWQit7lw/edit?gid=1540132670#gid=1540132670"", address(row($D57),column($D57),,,""DL&amp;CO-Q""))"),10)</f>
        <v>10</v>
      </c>
      <c r="I59" s="8">
        <f t="shared" ca="1" si="4"/>
        <v>43.478260869565219</v>
      </c>
      <c r="J59" s="5">
        <f ca="1">IFERROR(__xludf.DUMMYFUNCTION("IMPORTRANGE(""https://docs.google.com/spreadsheets/d/1rOGZhKHVnDGFqGTO7UNOJSkSJyQwVuEb2-yhWQit7lw/edit?gid=1833881194#gid=1833881194"", address(row($D57),column($D57),,,""ADSA-Q""))"),22)</f>
        <v>22</v>
      </c>
      <c r="K59" s="8">
        <f t="shared" ca="1" si="5"/>
        <v>52.380952380952387</v>
      </c>
      <c r="L59" s="5">
        <f ca="1">IFERROR(__xludf.DUMMYFUNCTION("IMPORTRANGE(""https://docs.google.com/spreadsheets/d/1rOGZhKHVnDGFqGTO7UNOJSkSJyQwVuEb2-yhWQit7lw/edit?gid=1675789617#gid=1675789617"", address(row($D57),column($D57),,,""JAVA-Q""))"),8)</f>
        <v>8</v>
      </c>
      <c r="M59" s="8">
        <f t="shared" ca="1" si="6"/>
        <v>57.142857142857139</v>
      </c>
      <c r="N59" s="5">
        <f ca="1">IFERROR(__xludf.DUMMYFUNCTION("IMPORTRANGE(""https://docs.google.com/spreadsheets/d/1rOGZhKHVnDGFqGTO7UNOJSkSJyQwVuEb2-yhWQit7lw/edit?gid=1695357766#gid=1695357766"", address(row($D57),column($D57),,,""FOSS LAB-Q""))"),3)</f>
        <v>3</v>
      </c>
      <c r="O59" s="8">
        <f t="shared" ca="1" si="7"/>
        <v>33.333333333333329</v>
      </c>
      <c r="P59" s="5">
        <f ca="1">IFERROR(__xludf.DUMMYFUNCTION("IMPORTRANGE(""https://docs.google.com/spreadsheets/d/1rOGZhKHVnDGFqGTO7UNOJSkSJyQwVuEb2-yhWQit7lw/edit?gid=1247110859#gid=1247110859"", address(row($D57),column($D57),,,""PP-Q""))"),12)</f>
        <v>12</v>
      </c>
      <c r="Q59" s="8">
        <f t="shared" ca="1" si="8"/>
        <v>66.666666666666657</v>
      </c>
      <c r="R59" s="5">
        <f ca="1">IFERROR(__xludf.DUMMYFUNCTION("IMPORTRANGE(""https://docs.google.com/spreadsheets/d/1rOGZhKHVnDGFqGTO7UNOJSkSJyQwVuEb2-yhWQit7lw/edit?gid=675135389#gid=675135389"", address(row($D57),column($D57),,,""NPTEL-Q""))"),4)</f>
        <v>4</v>
      </c>
      <c r="S59" s="5">
        <f t="shared" ca="1" si="9"/>
        <v>40</v>
      </c>
      <c r="T59" s="6">
        <f ca="1">IFERROR(__xludf.DUMMYFUNCTION("IMPORTRANGE(""https://docs.google.com/spreadsheets/d/1rOGZhKHVnDGFqGTO7UNOJSkSJyQwVuEb2-yhWQit7lw/edit?gid=290696378#gid=290696378"", address(row($D57),column($D57),,,""CRT-Q""))"),0)</f>
        <v>0</v>
      </c>
      <c r="U59" s="8" t="e">
        <f t="shared" ca="1" si="10"/>
        <v>#DIV/0!</v>
      </c>
      <c r="V59" s="6">
        <f t="shared" ca="1" si="0"/>
        <v>89</v>
      </c>
      <c r="W59" s="4">
        <f t="shared" ca="1" si="11"/>
        <v>55</v>
      </c>
      <c r="X59" s="4">
        <v>0</v>
      </c>
      <c r="Y59" s="4">
        <v>0</v>
      </c>
      <c r="Z59" s="4">
        <f t="shared" ca="1" si="1"/>
        <v>89</v>
      </c>
      <c r="AA59" s="10">
        <f t="shared" ca="1" si="12"/>
        <v>55</v>
      </c>
    </row>
    <row r="60" spans="1:27" ht="15.85" customHeight="1" x14ac:dyDescent="0.35">
      <c r="A60" s="8">
        <v>55</v>
      </c>
      <c r="B60" s="9" t="s">
        <v>717</v>
      </c>
      <c r="C60" s="21" t="s">
        <v>718</v>
      </c>
      <c r="D60" s="5">
        <f ca="1">IFERROR(__xludf.DUMMYFUNCTION("IMPORTRANGE(""https://docs.google.com/spreadsheets/d/1rOGZhKHVnDGFqGTO7UNOJSkSJyQwVuEb2-yhWQit7lw/edit?gid=99713220#gid=99713220"", address(row($D58),column($D58),,,""DM&amp;GT-Q""))"),25)</f>
        <v>25</v>
      </c>
      <c r="E60" s="8">
        <f t="shared" ca="1" si="2"/>
        <v>86.206896551724128</v>
      </c>
      <c r="F60" s="5">
        <f ca="1">IFERROR(__xludf.DUMMYFUNCTION("IMPORTRANGE(""https://docs.google.com/spreadsheets/d/1rOGZhKHVnDGFqGTO7UNOJSkSJyQwVuEb2-yhWQit7lw/edit?gid=1654206091#gid=1654206091"", address(row($D58),column($D58),,,""UHV-Q""))"),13)</f>
        <v>13</v>
      </c>
      <c r="G60" s="8">
        <f t="shared" ca="1" si="3"/>
        <v>76.470588235294116</v>
      </c>
      <c r="H60" s="5">
        <f ca="1">IFERROR(__xludf.DUMMYFUNCTION("IMPORTRANGE(""https://docs.google.com/spreadsheets/d/1rOGZhKHVnDGFqGTO7UNOJSkSJyQwVuEb2-yhWQit7lw/edit?gid=1540132670#gid=1540132670"", address(row($D58),column($D58),,,""DL&amp;CO-Q""))"),17)</f>
        <v>17</v>
      </c>
      <c r="I60" s="8">
        <f t="shared" ca="1" si="4"/>
        <v>73.91304347826086</v>
      </c>
      <c r="J60" s="5">
        <f ca="1">IFERROR(__xludf.DUMMYFUNCTION("IMPORTRANGE(""https://docs.google.com/spreadsheets/d/1rOGZhKHVnDGFqGTO7UNOJSkSJyQwVuEb2-yhWQit7lw/edit?gid=1833881194#gid=1833881194"", address(row($D58),column($D58),,,""ADSA-Q""))"),32)</f>
        <v>32</v>
      </c>
      <c r="K60" s="8">
        <f t="shared" ca="1" si="5"/>
        <v>76.19047619047619</v>
      </c>
      <c r="L60" s="5">
        <f ca="1">IFERROR(__xludf.DUMMYFUNCTION("IMPORTRANGE(""https://docs.google.com/spreadsheets/d/1rOGZhKHVnDGFqGTO7UNOJSkSJyQwVuEb2-yhWQit7lw/edit?gid=1675789617#gid=1675789617"", address(row($D58),column($D58),,,""JAVA-Q""))"),12)</f>
        <v>12</v>
      </c>
      <c r="M60" s="8">
        <f t="shared" ca="1" si="6"/>
        <v>85.714285714285708</v>
      </c>
      <c r="N60" s="5">
        <f ca="1">IFERROR(__xludf.DUMMYFUNCTION("IMPORTRANGE(""https://docs.google.com/spreadsheets/d/1rOGZhKHVnDGFqGTO7UNOJSkSJyQwVuEb2-yhWQit7lw/edit?gid=1695357766#gid=1695357766"", address(row($D58),column($D58),,,""FOSS LAB-Q""))"),9)</f>
        <v>9</v>
      </c>
      <c r="O60" s="8">
        <f t="shared" ca="1" si="7"/>
        <v>100</v>
      </c>
      <c r="P60" s="5">
        <f ca="1">IFERROR(__xludf.DUMMYFUNCTION("IMPORTRANGE(""https://docs.google.com/spreadsheets/d/1rOGZhKHVnDGFqGTO7UNOJSkSJyQwVuEb2-yhWQit7lw/edit?gid=1247110859#gid=1247110859"", address(row($D58),column($D58),,,""PP-Q""))"),14)</f>
        <v>14</v>
      </c>
      <c r="Q60" s="8">
        <f t="shared" ca="1" si="8"/>
        <v>77.777777777777786</v>
      </c>
      <c r="R60" s="5">
        <f ca="1">IFERROR(__xludf.DUMMYFUNCTION("IMPORTRANGE(""https://docs.google.com/spreadsheets/d/1rOGZhKHVnDGFqGTO7UNOJSkSJyQwVuEb2-yhWQit7lw/edit?gid=675135389#gid=675135389"", address(row($D58),column($D58),,,""NPTEL-Q""))"),10)</f>
        <v>10</v>
      </c>
      <c r="S60" s="5">
        <f t="shared" ca="1" si="9"/>
        <v>100</v>
      </c>
      <c r="T60" s="6">
        <f ca="1">IFERROR(__xludf.DUMMYFUNCTION("IMPORTRANGE(""https://docs.google.com/spreadsheets/d/1rOGZhKHVnDGFqGTO7UNOJSkSJyQwVuEb2-yhWQit7lw/edit?gid=290696378#gid=290696378"", address(row($D58),column($D58),,,""CRT-Q""))"),0)</f>
        <v>0</v>
      </c>
      <c r="U60" s="8" t="e">
        <f t="shared" ca="1" si="10"/>
        <v>#DIV/0!</v>
      </c>
      <c r="V60" s="6">
        <f t="shared" ca="1" si="0"/>
        <v>132</v>
      </c>
      <c r="W60" s="4">
        <f t="shared" ca="1" si="11"/>
        <v>81</v>
      </c>
      <c r="X60" s="4">
        <v>0</v>
      </c>
      <c r="Y60" s="4">
        <v>0</v>
      </c>
      <c r="Z60" s="4">
        <f t="shared" ca="1" si="1"/>
        <v>132</v>
      </c>
      <c r="AA60" s="10">
        <f t="shared" ca="1" si="12"/>
        <v>81</v>
      </c>
    </row>
    <row r="61" spans="1:27" ht="15.85" customHeight="1" x14ac:dyDescent="0.35">
      <c r="A61" s="8">
        <v>56</v>
      </c>
      <c r="B61" s="9" t="s">
        <v>719</v>
      </c>
      <c r="C61" s="21" t="s">
        <v>720</v>
      </c>
      <c r="D61" s="5">
        <f ca="1">IFERROR(__xludf.DUMMYFUNCTION("IMPORTRANGE(""https://docs.google.com/spreadsheets/d/1rOGZhKHVnDGFqGTO7UNOJSkSJyQwVuEb2-yhWQit7lw/edit?gid=99713220#gid=99713220"", address(row($D59),column($D59),,,""DM&amp;GT-Q""))"),26)</f>
        <v>26</v>
      </c>
      <c r="E61" s="8">
        <f t="shared" ca="1" si="2"/>
        <v>89.65517241379311</v>
      </c>
      <c r="F61" s="5">
        <f ca="1">IFERROR(__xludf.DUMMYFUNCTION("IMPORTRANGE(""https://docs.google.com/spreadsheets/d/1rOGZhKHVnDGFqGTO7UNOJSkSJyQwVuEb2-yhWQit7lw/edit?gid=1654206091#gid=1654206091"", address(row($D59),column($D59),,,""UHV-Q""))"),14)</f>
        <v>14</v>
      </c>
      <c r="G61" s="8">
        <f t="shared" ca="1" si="3"/>
        <v>82.35294117647058</v>
      </c>
      <c r="H61" s="5">
        <f ca="1">IFERROR(__xludf.DUMMYFUNCTION("IMPORTRANGE(""https://docs.google.com/spreadsheets/d/1rOGZhKHVnDGFqGTO7UNOJSkSJyQwVuEb2-yhWQit7lw/edit?gid=1540132670#gid=1540132670"", address(row($D59),column($D59),,,""DL&amp;CO-Q""))"),15)</f>
        <v>15</v>
      </c>
      <c r="I61" s="8">
        <f t="shared" ca="1" si="4"/>
        <v>65.217391304347828</v>
      </c>
      <c r="J61" s="5">
        <f ca="1">IFERROR(__xludf.DUMMYFUNCTION("IMPORTRANGE(""https://docs.google.com/spreadsheets/d/1rOGZhKHVnDGFqGTO7UNOJSkSJyQwVuEb2-yhWQit7lw/edit?gid=1833881194#gid=1833881194"", address(row($D59),column($D59),,,""ADSA-Q""))"),34)</f>
        <v>34</v>
      </c>
      <c r="K61" s="8">
        <f t="shared" ca="1" si="5"/>
        <v>80.952380952380949</v>
      </c>
      <c r="L61" s="5">
        <f ca="1">IFERROR(__xludf.DUMMYFUNCTION("IMPORTRANGE(""https://docs.google.com/spreadsheets/d/1rOGZhKHVnDGFqGTO7UNOJSkSJyQwVuEb2-yhWQit7lw/edit?gid=1675789617#gid=1675789617"", address(row($D59),column($D59),,,""JAVA-Q""))"),12)</f>
        <v>12</v>
      </c>
      <c r="M61" s="8">
        <f t="shared" ca="1" si="6"/>
        <v>85.714285714285708</v>
      </c>
      <c r="N61" s="5">
        <f ca="1">IFERROR(__xludf.DUMMYFUNCTION("IMPORTRANGE(""https://docs.google.com/spreadsheets/d/1rOGZhKHVnDGFqGTO7UNOJSkSJyQwVuEb2-yhWQit7lw/edit?gid=1695357766#gid=1695357766"", address(row($D59),column($D59),,,""FOSS LAB-Q""))"),9)</f>
        <v>9</v>
      </c>
      <c r="O61" s="8">
        <f t="shared" ca="1" si="7"/>
        <v>100</v>
      </c>
      <c r="P61" s="5">
        <f ca="1">IFERROR(__xludf.DUMMYFUNCTION("IMPORTRANGE(""https://docs.google.com/spreadsheets/d/1rOGZhKHVnDGFqGTO7UNOJSkSJyQwVuEb2-yhWQit7lw/edit?gid=1247110859#gid=1247110859"", address(row($D59),column($D59),,,""PP-Q""))"),14)</f>
        <v>14</v>
      </c>
      <c r="Q61" s="8">
        <f t="shared" ca="1" si="8"/>
        <v>77.777777777777786</v>
      </c>
      <c r="R61" s="5">
        <f ca="1">IFERROR(__xludf.DUMMYFUNCTION("IMPORTRANGE(""https://docs.google.com/spreadsheets/d/1rOGZhKHVnDGFqGTO7UNOJSkSJyQwVuEb2-yhWQit7lw/edit?gid=675135389#gid=675135389"", address(row($D59),column($D59),,,""NPTEL-Q""))"),8)</f>
        <v>8</v>
      </c>
      <c r="S61" s="5">
        <f t="shared" ca="1" si="9"/>
        <v>80</v>
      </c>
      <c r="T61" s="6">
        <f ca="1">IFERROR(__xludf.DUMMYFUNCTION("IMPORTRANGE(""https://docs.google.com/spreadsheets/d/1rOGZhKHVnDGFqGTO7UNOJSkSJyQwVuEb2-yhWQit7lw/edit?gid=290696378#gid=290696378"", address(row($D59),column($D59),,,""CRT-Q""))"),0)</f>
        <v>0</v>
      </c>
      <c r="U61" s="8" t="e">
        <f t="shared" ca="1" si="10"/>
        <v>#DIV/0!</v>
      </c>
      <c r="V61" s="6">
        <f t="shared" ca="1" si="0"/>
        <v>132</v>
      </c>
      <c r="W61" s="4">
        <f t="shared" ca="1" si="11"/>
        <v>81</v>
      </c>
      <c r="X61" s="4">
        <v>0</v>
      </c>
      <c r="Y61" s="4">
        <v>0</v>
      </c>
      <c r="Z61" s="4">
        <f t="shared" ca="1" si="1"/>
        <v>132</v>
      </c>
      <c r="AA61" s="10">
        <f t="shared" ca="1" si="12"/>
        <v>81</v>
      </c>
    </row>
    <row r="62" spans="1:27" ht="15.85" customHeight="1" x14ac:dyDescent="0.35">
      <c r="A62" s="8">
        <v>57</v>
      </c>
      <c r="B62" s="9" t="s">
        <v>721</v>
      </c>
      <c r="C62" s="21" t="s">
        <v>722</v>
      </c>
      <c r="D62" s="5">
        <f ca="1">IFERROR(__xludf.DUMMYFUNCTION("IMPORTRANGE(""https://docs.google.com/spreadsheets/d/1rOGZhKHVnDGFqGTO7UNOJSkSJyQwVuEb2-yhWQit7lw/edit?gid=99713220#gid=99713220"", address(row($D60),column($D60),,,""DM&amp;GT-Q""))"),25)</f>
        <v>25</v>
      </c>
      <c r="E62" s="8">
        <f t="shared" ca="1" si="2"/>
        <v>86.206896551724128</v>
      </c>
      <c r="F62" s="5">
        <f ca="1">IFERROR(__xludf.DUMMYFUNCTION("IMPORTRANGE(""https://docs.google.com/spreadsheets/d/1rOGZhKHVnDGFqGTO7UNOJSkSJyQwVuEb2-yhWQit7lw/edit?gid=1654206091#gid=1654206091"", address(row($D60),column($D60),,,""UHV-Q""))"),14)</f>
        <v>14</v>
      </c>
      <c r="G62" s="8">
        <f t="shared" ca="1" si="3"/>
        <v>82.35294117647058</v>
      </c>
      <c r="H62" s="5">
        <f ca="1">IFERROR(__xludf.DUMMYFUNCTION("IMPORTRANGE(""https://docs.google.com/spreadsheets/d/1rOGZhKHVnDGFqGTO7UNOJSkSJyQwVuEb2-yhWQit7lw/edit?gid=1540132670#gid=1540132670"", address(row($D60),column($D60),,,""DL&amp;CO-Q""))"),19)</f>
        <v>19</v>
      </c>
      <c r="I62" s="8">
        <f t="shared" ca="1" si="4"/>
        <v>82.608695652173907</v>
      </c>
      <c r="J62" s="5">
        <f ca="1">IFERROR(__xludf.DUMMYFUNCTION("IMPORTRANGE(""https://docs.google.com/spreadsheets/d/1rOGZhKHVnDGFqGTO7UNOJSkSJyQwVuEb2-yhWQit7lw/edit?gid=1833881194#gid=1833881194"", address(row($D60),column($D60),,,""ADSA-Q""))"),34)</f>
        <v>34</v>
      </c>
      <c r="K62" s="8">
        <f t="shared" ca="1" si="5"/>
        <v>80.952380952380949</v>
      </c>
      <c r="L62" s="5">
        <f ca="1">IFERROR(__xludf.DUMMYFUNCTION("IMPORTRANGE(""https://docs.google.com/spreadsheets/d/1rOGZhKHVnDGFqGTO7UNOJSkSJyQwVuEb2-yhWQit7lw/edit?gid=1675789617#gid=1675789617"", address(row($D60),column($D60),,,""JAVA-Q""))"),10)</f>
        <v>10</v>
      </c>
      <c r="M62" s="8">
        <f t="shared" ca="1" si="6"/>
        <v>71.428571428571431</v>
      </c>
      <c r="N62" s="5">
        <f ca="1">IFERROR(__xludf.DUMMYFUNCTION("IMPORTRANGE(""https://docs.google.com/spreadsheets/d/1rOGZhKHVnDGFqGTO7UNOJSkSJyQwVuEb2-yhWQit7lw/edit?gid=1695357766#gid=1695357766"", address(row($D60),column($D60),,,""FOSS LAB-Q""))"),9)</f>
        <v>9</v>
      </c>
      <c r="O62" s="8">
        <f t="shared" ca="1" si="7"/>
        <v>100</v>
      </c>
      <c r="P62" s="5">
        <f ca="1">IFERROR(__xludf.DUMMYFUNCTION("IMPORTRANGE(""https://docs.google.com/spreadsheets/d/1rOGZhKHVnDGFqGTO7UNOJSkSJyQwVuEb2-yhWQit7lw/edit?gid=1247110859#gid=1247110859"", address(row($D60),column($D60),,,""PP-Q""))"),14)</f>
        <v>14</v>
      </c>
      <c r="Q62" s="8">
        <f t="shared" ca="1" si="8"/>
        <v>77.777777777777786</v>
      </c>
      <c r="R62" s="5">
        <f ca="1">IFERROR(__xludf.DUMMYFUNCTION("IMPORTRANGE(""https://docs.google.com/spreadsheets/d/1rOGZhKHVnDGFqGTO7UNOJSkSJyQwVuEb2-yhWQit7lw/edit?gid=675135389#gid=675135389"", address(row($D60),column($D60),,,""NPTEL-Q""))"),8)</f>
        <v>8</v>
      </c>
      <c r="S62" s="5">
        <f t="shared" ca="1" si="9"/>
        <v>80</v>
      </c>
      <c r="T62" s="6">
        <f ca="1">IFERROR(__xludf.DUMMYFUNCTION("IMPORTRANGE(""https://docs.google.com/spreadsheets/d/1rOGZhKHVnDGFqGTO7UNOJSkSJyQwVuEb2-yhWQit7lw/edit?gid=290696378#gid=290696378"", address(row($D60),column($D60),,,""CRT-Q""))"),0)</f>
        <v>0</v>
      </c>
      <c r="U62" s="8" t="e">
        <f t="shared" ca="1" si="10"/>
        <v>#DIV/0!</v>
      </c>
      <c r="V62" s="6">
        <f t="shared" ca="1" si="0"/>
        <v>133</v>
      </c>
      <c r="W62" s="4">
        <f t="shared" ca="1" si="11"/>
        <v>82</v>
      </c>
      <c r="X62" s="4">
        <v>0</v>
      </c>
      <c r="Y62" s="4">
        <v>0</v>
      </c>
      <c r="Z62" s="4">
        <f t="shared" ca="1" si="1"/>
        <v>133</v>
      </c>
      <c r="AA62" s="10">
        <f t="shared" ca="1" si="12"/>
        <v>82</v>
      </c>
    </row>
    <row r="63" spans="1:27" ht="15.85" customHeight="1" x14ac:dyDescent="0.35">
      <c r="A63" s="8">
        <v>58</v>
      </c>
      <c r="B63" s="11"/>
      <c r="C63" s="21" t="s">
        <v>723</v>
      </c>
      <c r="D63" s="5">
        <f ca="1">IFERROR(__xludf.DUMMYFUNCTION("IMPORTRANGE(""https://docs.google.com/spreadsheets/d/1rOGZhKHVnDGFqGTO7UNOJSkSJyQwVuEb2-yhWQit7lw/edit?gid=99713220#gid=99713220"", address(row($D61),column($D61),,,""DM&amp;GT-Q""))"),11)</f>
        <v>11</v>
      </c>
      <c r="E63" s="8">
        <f t="shared" ca="1" si="2"/>
        <v>37.931034482758619</v>
      </c>
      <c r="F63" s="5">
        <f ca="1">IFERROR(__xludf.DUMMYFUNCTION("IMPORTRANGE(""https://docs.google.com/spreadsheets/d/1rOGZhKHVnDGFqGTO7UNOJSkSJyQwVuEb2-yhWQit7lw/edit?gid=1654206091#gid=1654206091"", address(row($D61),column($D61),,,""UHV-Q""))"),4)</f>
        <v>4</v>
      </c>
      <c r="G63" s="8">
        <f t="shared" ca="1" si="3"/>
        <v>23.52941176470588</v>
      </c>
      <c r="H63" s="5">
        <f ca="1">IFERROR(__xludf.DUMMYFUNCTION("IMPORTRANGE(""https://docs.google.com/spreadsheets/d/1rOGZhKHVnDGFqGTO7UNOJSkSJyQwVuEb2-yhWQit7lw/edit?gid=1540132670#gid=1540132670"", address(row($D61),column($D61),,,""DL&amp;CO-Q""))"),13)</f>
        <v>13</v>
      </c>
      <c r="I63" s="8">
        <f t="shared" ca="1" si="4"/>
        <v>56.521739130434781</v>
      </c>
      <c r="J63" s="5">
        <f ca="1">IFERROR(__xludf.DUMMYFUNCTION("IMPORTRANGE(""https://docs.google.com/spreadsheets/d/1rOGZhKHVnDGFqGTO7UNOJSkSJyQwVuEb2-yhWQit7lw/edit?gid=1833881194#gid=1833881194"", address(row($D61),column($D61),,,""ADSA-Q""))"),10)</f>
        <v>10</v>
      </c>
      <c r="K63" s="8">
        <f t="shared" ca="1" si="5"/>
        <v>23.809523809523807</v>
      </c>
      <c r="L63" s="5">
        <f ca="1">IFERROR(__xludf.DUMMYFUNCTION("IMPORTRANGE(""https://docs.google.com/spreadsheets/d/1rOGZhKHVnDGFqGTO7UNOJSkSJyQwVuEb2-yhWQit7lw/edit?gid=1675789617#gid=1675789617"", address(row($D61),column($D61),,,""JAVA-Q""))"),8)</f>
        <v>8</v>
      </c>
      <c r="M63" s="8">
        <f t="shared" ca="1" si="6"/>
        <v>57.142857142857139</v>
      </c>
      <c r="N63" s="5">
        <f ca="1">IFERROR(__xludf.DUMMYFUNCTION("IMPORTRANGE(""https://docs.google.com/spreadsheets/d/1rOGZhKHVnDGFqGTO7UNOJSkSJyQwVuEb2-yhWQit7lw/edit?gid=1695357766#gid=1695357766"", address(row($D61),column($D61),,,""FOSS LAB-Q""))"),6)</f>
        <v>6</v>
      </c>
      <c r="O63" s="8">
        <f t="shared" ca="1" si="7"/>
        <v>66.666666666666657</v>
      </c>
      <c r="P63" s="5">
        <f ca="1">IFERROR(__xludf.DUMMYFUNCTION("IMPORTRANGE(""https://docs.google.com/spreadsheets/d/1rOGZhKHVnDGFqGTO7UNOJSkSJyQwVuEb2-yhWQit7lw/edit?gid=1247110859#gid=1247110859"", address(row($D61),column($D61),,,""PP-Q""))"),6)</f>
        <v>6</v>
      </c>
      <c r="Q63" s="8">
        <f t="shared" ca="1" si="8"/>
        <v>33.333333333333329</v>
      </c>
      <c r="R63" s="5">
        <f ca="1">IFERROR(__xludf.DUMMYFUNCTION("IMPORTRANGE(""https://docs.google.com/spreadsheets/d/1rOGZhKHVnDGFqGTO7UNOJSkSJyQwVuEb2-yhWQit7lw/edit?gid=675135389#gid=675135389"", address(row($D61),column($D61),,,""NPTEL-Q""))"),6)</f>
        <v>6</v>
      </c>
      <c r="S63" s="5">
        <f t="shared" ca="1" si="9"/>
        <v>60</v>
      </c>
      <c r="T63" s="6">
        <f ca="1">IFERROR(__xludf.DUMMYFUNCTION("IMPORTRANGE(""https://docs.google.com/spreadsheets/d/1rOGZhKHVnDGFqGTO7UNOJSkSJyQwVuEb2-yhWQit7lw/edit?gid=290696378#gid=290696378"", address(row($D61),column($D61),,,""CRT-Q""))"),0)</f>
        <v>0</v>
      </c>
      <c r="U63" s="8" t="e">
        <f t="shared" ca="1" si="10"/>
        <v>#DIV/0!</v>
      </c>
      <c r="V63" s="6">
        <f t="shared" ca="1" si="0"/>
        <v>64</v>
      </c>
      <c r="W63" s="4">
        <f t="shared" ca="1" si="11"/>
        <v>40</v>
      </c>
      <c r="X63" s="4">
        <v>0</v>
      </c>
      <c r="Y63" s="4">
        <v>0</v>
      </c>
      <c r="Z63" s="4">
        <f t="shared" ca="1" si="1"/>
        <v>64</v>
      </c>
      <c r="AA63" s="10">
        <f t="shared" ca="1" si="12"/>
        <v>40</v>
      </c>
    </row>
    <row r="64" spans="1:27" ht="15.85" customHeight="1" x14ac:dyDescent="0.35">
      <c r="A64" s="8">
        <v>59</v>
      </c>
      <c r="B64" s="11"/>
      <c r="C64" s="21" t="s">
        <v>724</v>
      </c>
      <c r="D64" s="5">
        <f ca="1">IFERROR(__xludf.DUMMYFUNCTION("IMPORTRANGE(""https://docs.google.com/spreadsheets/d/1rOGZhKHVnDGFqGTO7UNOJSkSJyQwVuEb2-yhWQit7lw/edit?gid=99713220#gid=99713220"", address(row($D62),column($D62),,,""DM&amp;GT-Q""))"),15)</f>
        <v>15</v>
      </c>
      <c r="E64" s="8">
        <f t="shared" ca="1" si="2"/>
        <v>51.724137931034484</v>
      </c>
      <c r="F64" s="5">
        <f ca="1">IFERROR(__xludf.DUMMYFUNCTION("IMPORTRANGE(""https://docs.google.com/spreadsheets/d/1rOGZhKHVnDGFqGTO7UNOJSkSJyQwVuEb2-yhWQit7lw/edit?gid=1654206091#gid=1654206091"", address(row($D62),column($D62),,,""UHV-Q""))"),12)</f>
        <v>12</v>
      </c>
      <c r="G64" s="8">
        <f t="shared" ca="1" si="3"/>
        <v>70.588235294117652</v>
      </c>
      <c r="H64" s="5">
        <f ca="1">IFERROR(__xludf.DUMMYFUNCTION("IMPORTRANGE(""https://docs.google.com/spreadsheets/d/1rOGZhKHVnDGFqGTO7UNOJSkSJyQwVuEb2-yhWQit7lw/edit?gid=1540132670#gid=1540132670"", address(row($D62),column($D62),,,""DL&amp;CO-Q""))"),13)</f>
        <v>13</v>
      </c>
      <c r="I64" s="8">
        <f t="shared" ca="1" si="4"/>
        <v>56.521739130434781</v>
      </c>
      <c r="J64" s="5">
        <f ca="1">IFERROR(__xludf.DUMMYFUNCTION("IMPORTRANGE(""https://docs.google.com/spreadsheets/d/1rOGZhKHVnDGFqGTO7UNOJSkSJyQwVuEb2-yhWQit7lw/edit?gid=1833881194#gid=1833881194"", address(row($D62),column($D62),,,""ADSA-Q""))"),36)</f>
        <v>36</v>
      </c>
      <c r="K64" s="8">
        <f t="shared" ca="1" si="5"/>
        <v>85.714285714285708</v>
      </c>
      <c r="L64" s="5">
        <f ca="1">IFERROR(__xludf.DUMMYFUNCTION("IMPORTRANGE(""https://docs.google.com/spreadsheets/d/1rOGZhKHVnDGFqGTO7UNOJSkSJyQwVuEb2-yhWQit7lw/edit?gid=1675789617#gid=1675789617"", address(row($D62),column($D62),,,""JAVA-Q""))"),14)</f>
        <v>14</v>
      </c>
      <c r="M64" s="8">
        <f t="shared" ca="1" si="6"/>
        <v>100</v>
      </c>
      <c r="N64" s="5">
        <f ca="1">IFERROR(__xludf.DUMMYFUNCTION("IMPORTRANGE(""https://docs.google.com/spreadsheets/d/1rOGZhKHVnDGFqGTO7UNOJSkSJyQwVuEb2-yhWQit7lw/edit?gid=1695357766#gid=1695357766"", address(row($D62),column($D62),,,""FOSS LAB-Q""))"),9)</f>
        <v>9</v>
      </c>
      <c r="O64" s="8">
        <f t="shared" ca="1" si="7"/>
        <v>100</v>
      </c>
      <c r="P64" s="5">
        <f ca="1">IFERROR(__xludf.DUMMYFUNCTION("IMPORTRANGE(""https://docs.google.com/spreadsheets/d/1rOGZhKHVnDGFqGTO7UNOJSkSJyQwVuEb2-yhWQit7lw/edit?gid=1247110859#gid=1247110859"", address(row($D62),column($D62),,,""PP-Q""))"),10)</f>
        <v>10</v>
      </c>
      <c r="Q64" s="8">
        <f t="shared" ca="1" si="8"/>
        <v>55.555555555555557</v>
      </c>
      <c r="R64" s="5">
        <f ca="1">IFERROR(__xludf.DUMMYFUNCTION("IMPORTRANGE(""https://docs.google.com/spreadsheets/d/1rOGZhKHVnDGFqGTO7UNOJSkSJyQwVuEb2-yhWQit7lw/edit?gid=675135389#gid=675135389"", address(row($D62),column($D62),,,""NPTEL-Q""))"),6)</f>
        <v>6</v>
      </c>
      <c r="S64" s="5">
        <f t="shared" ca="1" si="9"/>
        <v>60</v>
      </c>
      <c r="T64" s="6">
        <f ca="1">IFERROR(__xludf.DUMMYFUNCTION("IMPORTRANGE(""https://docs.google.com/spreadsheets/d/1rOGZhKHVnDGFqGTO7UNOJSkSJyQwVuEb2-yhWQit7lw/edit?gid=290696378#gid=290696378"", address(row($D62),column($D62),,,""CRT-Q""))"),0)</f>
        <v>0</v>
      </c>
      <c r="U64" s="8" t="e">
        <f t="shared" ca="1" si="10"/>
        <v>#DIV/0!</v>
      </c>
      <c r="V64" s="6">
        <f t="shared" ca="1" si="0"/>
        <v>115</v>
      </c>
      <c r="W64" s="4">
        <f t="shared" ca="1" si="11"/>
        <v>71</v>
      </c>
      <c r="X64" s="4">
        <v>0</v>
      </c>
      <c r="Y64" s="4">
        <v>0</v>
      </c>
      <c r="Z64" s="4">
        <f t="shared" ca="1" si="1"/>
        <v>115</v>
      </c>
      <c r="AA64" s="10">
        <f t="shared" ca="1" si="12"/>
        <v>71</v>
      </c>
    </row>
    <row r="65" spans="1:27" ht="15.85" customHeight="1" x14ac:dyDescent="0.35">
      <c r="A65" s="8">
        <v>60</v>
      </c>
      <c r="B65" s="11"/>
      <c r="C65" s="21" t="s">
        <v>725</v>
      </c>
      <c r="D65" s="5">
        <f ca="1">IFERROR(__xludf.DUMMYFUNCTION("IMPORTRANGE(""https://docs.google.com/spreadsheets/d/1rOGZhKHVnDGFqGTO7UNOJSkSJyQwVuEb2-yhWQit7lw/edit?gid=99713220#gid=99713220"", address(row($D63),column($D63),,,""DM&amp;GT-Q""))"),6)</f>
        <v>6</v>
      </c>
      <c r="E65" s="8">
        <f t="shared" ca="1" si="2"/>
        <v>20.689655172413794</v>
      </c>
      <c r="F65" s="5">
        <f ca="1">IFERROR(__xludf.DUMMYFUNCTION("IMPORTRANGE(""https://docs.google.com/spreadsheets/d/1rOGZhKHVnDGFqGTO7UNOJSkSJyQwVuEb2-yhWQit7lw/edit?gid=1654206091#gid=1654206091"", address(row($D63),column($D63),,,""UHV-Q""))"),5)</f>
        <v>5</v>
      </c>
      <c r="G65" s="8">
        <f t="shared" ca="1" si="3"/>
        <v>29.411764705882355</v>
      </c>
      <c r="H65" s="5">
        <f ca="1">IFERROR(__xludf.DUMMYFUNCTION("IMPORTRANGE(""https://docs.google.com/spreadsheets/d/1rOGZhKHVnDGFqGTO7UNOJSkSJyQwVuEb2-yhWQit7lw/edit?gid=1540132670#gid=1540132670"", address(row($D63),column($D63),,,""DL&amp;CO-Q""))"),11)</f>
        <v>11</v>
      </c>
      <c r="I65" s="8">
        <f t="shared" ca="1" si="4"/>
        <v>47.826086956521742</v>
      </c>
      <c r="J65" s="5">
        <f ca="1">IFERROR(__xludf.DUMMYFUNCTION("IMPORTRANGE(""https://docs.google.com/spreadsheets/d/1rOGZhKHVnDGFqGTO7UNOJSkSJyQwVuEb2-yhWQit7lw/edit?gid=1833881194#gid=1833881194"", address(row($D63),column($D63),,,""ADSA-Q""))"),15)</f>
        <v>15</v>
      </c>
      <c r="K65" s="8">
        <f t="shared" ca="1" si="5"/>
        <v>35.714285714285715</v>
      </c>
      <c r="L65" s="5">
        <f ca="1">IFERROR(__xludf.DUMMYFUNCTION("IMPORTRANGE(""https://docs.google.com/spreadsheets/d/1rOGZhKHVnDGFqGTO7UNOJSkSJyQwVuEb2-yhWQit7lw/edit?gid=1675789617#gid=1675789617"", address(row($D63),column($D63),,,""JAVA-Q""))"),6)</f>
        <v>6</v>
      </c>
      <c r="M65" s="8">
        <f t="shared" ca="1" si="6"/>
        <v>42.857142857142854</v>
      </c>
      <c r="N65" s="5">
        <f ca="1">IFERROR(__xludf.DUMMYFUNCTION("IMPORTRANGE(""https://docs.google.com/spreadsheets/d/1rOGZhKHVnDGFqGTO7UNOJSkSJyQwVuEb2-yhWQit7lw/edit?gid=1695357766#gid=1695357766"", address(row($D63),column($D63),,,""FOSS LAB-Q""))"),6)</f>
        <v>6</v>
      </c>
      <c r="O65" s="8">
        <f t="shared" ca="1" si="7"/>
        <v>66.666666666666657</v>
      </c>
      <c r="P65" s="5">
        <f ca="1">IFERROR(__xludf.DUMMYFUNCTION("IMPORTRANGE(""https://docs.google.com/spreadsheets/d/1rOGZhKHVnDGFqGTO7UNOJSkSJyQwVuEb2-yhWQit7lw/edit?gid=1247110859#gid=1247110859"", address(row($D63),column($D63),,,""PP-Q""))"),2)</f>
        <v>2</v>
      </c>
      <c r="Q65" s="8">
        <f t="shared" ca="1" si="8"/>
        <v>11.111111111111111</v>
      </c>
      <c r="R65" s="5">
        <f ca="1">IFERROR(__xludf.DUMMYFUNCTION("IMPORTRANGE(""https://docs.google.com/spreadsheets/d/1rOGZhKHVnDGFqGTO7UNOJSkSJyQwVuEb2-yhWQit7lw/edit?gid=675135389#gid=675135389"", address(row($D63),column($D63),,,""NPTEL-Q""))"),6)</f>
        <v>6</v>
      </c>
      <c r="S65" s="5">
        <f t="shared" ca="1" si="9"/>
        <v>60</v>
      </c>
      <c r="T65" s="6">
        <f ca="1">IFERROR(__xludf.DUMMYFUNCTION("IMPORTRANGE(""https://docs.google.com/spreadsheets/d/1rOGZhKHVnDGFqGTO7UNOJSkSJyQwVuEb2-yhWQit7lw/edit?gid=290696378#gid=290696378"", address(row($D63),column($D63),,,""CRT-Q""))"),0)</f>
        <v>0</v>
      </c>
      <c r="U65" s="8" t="e">
        <f t="shared" ca="1" si="10"/>
        <v>#DIV/0!</v>
      </c>
      <c r="V65" s="6">
        <f t="shared" ca="1" si="0"/>
        <v>57</v>
      </c>
      <c r="W65" s="4">
        <f t="shared" ca="1" si="11"/>
        <v>35</v>
      </c>
      <c r="X65" s="4">
        <v>0</v>
      </c>
      <c r="Y65" s="4">
        <v>0</v>
      </c>
      <c r="Z65" s="4">
        <f t="shared" ca="1" si="1"/>
        <v>57</v>
      </c>
      <c r="AA65" s="10">
        <f t="shared" ca="1" si="12"/>
        <v>35</v>
      </c>
    </row>
    <row r="66" spans="1:27" ht="15.85" customHeight="1" x14ac:dyDescent="0.35">
      <c r="A66" s="8">
        <v>61</v>
      </c>
      <c r="B66" s="11"/>
      <c r="C66" s="21" t="s">
        <v>726</v>
      </c>
      <c r="D66" s="5">
        <f ca="1">IFERROR(__xludf.DUMMYFUNCTION("IMPORTRANGE(""https://docs.google.com/spreadsheets/d/1rOGZhKHVnDGFqGTO7UNOJSkSJyQwVuEb2-yhWQit7lw/edit?gid=99713220#gid=99713220"", address(row($D64),column($D64),,,""DM&amp;GT-Q""))"),11)</f>
        <v>11</v>
      </c>
      <c r="E66" s="8">
        <f t="shared" ca="1" si="2"/>
        <v>37.931034482758619</v>
      </c>
      <c r="F66" s="5">
        <f ca="1">IFERROR(__xludf.DUMMYFUNCTION("IMPORTRANGE(""https://docs.google.com/spreadsheets/d/1rOGZhKHVnDGFqGTO7UNOJSkSJyQwVuEb2-yhWQit7lw/edit?gid=1654206091#gid=1654206091"", address(row($D64),column($D64),,,""UHV-Q""))"),7)</f>
        <v>7</v>
      </c>
      <c r="G66" s="8">
        <f t="shared" ca="1" si="3"/>
        <v>41.17647058823529</v>
      </c>
      <c r="H66" s="5">
        <f ca="1">IFERROR(__xludf.DUMMYFUNCTION("IMPORTRANGE(""https://docs.google.com/spreadsheets/d/1rOGZhKHVnDGFqGTO7UNOJSkSJyQwVuEb2-yhWQit7lw/edit?gid=1540132670#gid=1540132670"", address(row($D64),column($D64),,,""DL&amp;CO-Q""))"),11)</f>
        <v>11</v>
      </c>
      <c r="I66" s="8">
        <f t="shared" ca="1" si="4"/>
        <v>47.826086956521742</v>
      </c>
      <c r="J66" s="5">
        <f ca="1">IFERROR(__xludf.DUMMYFUNCTION("IMPORTRANGE(""https://docs.google.com/spreadsheets/d/1rOGZhKHVnDGFqGTO7UNOJSkSJyQwVuEb2-yhWQit7lw/edit?gid=1833881194#gid=1833881194"", address(row($D64),column($D64),,,""ADSA-Q""))"),27)</f>
        <v>27</v>
      </c>
      <c r="K66" s="8">
        <f t="shared" ca="1" si="5"/>
        <v>64.285714285714292</v>
      </c>
      <c r="L66" s="5">
        <f ca="1">IFERROR(__xludf.DUMMYFUNCTION("IMPORTRANGE(""https://docs.google.com/spreadsheets/d/1rOGZhKHVnDGFqGTO7UNOJSkSJyQwVuEb2-yhWQit7lw/edit?gid=1675789617#gid=1675789617"", address(row($D64),column($D64),,,""JAVA-Q""))"),14)</f>
        <v>14</v>
      </c>
      <c r="M66" s="8">
        <f t="shared" ca="1" si="6"/>
        <v>100</v>
      </c>
      <c r="N66" s="5">
        <f ca="1">IFERROR(__xludf.DUMMYFUNCTION("IMPORTRANGE(""https://docs.google.com/spreadsheets/d/1rOGZhKHVnDGFqGTO7UNOJSkSJyQwVuEb2-yhWQit7lw/edit?gid=1695357766#gid=1695357766"", address(row($D64),column($D64),,,""FOSS LAB-Q""))"),9)</f>
        <v>9</v>
      </c>
      <c r="O66" s="8">
        <f t="shared" ca="1" si="7"/>
        <v>100</v>
      </c>
      <c r="P66" s="5">
        <f ca="1">IFERROR(__xludf.DUMMYFUNCTION("IMPORTRANGE(""https://docs.google.com/spreadsheets/d/1rOGZhKHVnDGFqGTO7UNOJSkSJyQwVuEb2-yhWQit7lw/edit?gid=1247110859#gid=1247110859"", address(row($D64),column($D64),,,""PP-Q""))"),8)</f>
        <v>8</v>
      </c>
      <c r="Q66" s="8">
        <f t="shared" ca="1" si="8"/>
        <v>44.444444444444443</v>
      </c>
      <c r="R66" s="5">
        <f ca="1">IFERROR(__xludf.DUMMYFUNCTION("IMPORTRANGE(""https://docs.google.com/spreadsheets/d/1rOGZhKHVnDGFqGTO7UNOJSkSJyQwVuEb2-yhWQit7lw/edit?gid=675135389#gid=675135389"", address(row($D64),column($D64),,,""NPTEL-Q""))"),6)</f>
        <v>6</v>
      </c>
      <c r="S66" s="5">
        <f t="shared" ca="1" si="9"/>
        <v>60</v>
      </c>
      <c r="T66" s="6">
        <f ca="1">IFERROR(__xludf.DUMMYFUNCTION("IMPORTRANGE(""https://docs.google.com/spreadsheets/d/1rOGZhKHVnDGFqGTO7UNOJSkSJyQwVuEb2-yhWQit7lw/edit?gid=290696378#gid=290696378"", address(row($D64),column($D64),,,""CRT-Q""))"),0)</f>
        <v>0</v>
      </c>
      <c r="U66" s="8" t="e">
        <f t="shared" ca="1" si="10"/>
        <v>#DIV/0!</v>
      </c>
      <c r="V66" s="6">
        <f t="shared" ca="1" si="0"/>
        <v>93</v>
      </c>
      <c r="W66" s="4">
        <f t="shared" ca="1" si="11"/>
        <v>57</v>
      </c>
      <c r="X66" s="4">
        <v>0</v>
      </c>
      <c r="Y66" s="4">
        <v>0</v>
      </c>
      <c r="Z66" s="4">
        <f t="shared" ca="1" si="1"/>
        <v>93</v>
      </c>
      <c r="AA66" s="10">
        <f t="shared" ca="1" si="12"/>
        <v>57</v>
      </c>
    </row>
    <row r="67" spans="1:27" ht="15.85" customHeight="1" x14ac:dyDescent="0.35">
      <c r="A67" s="8">
        <v>62</v>
      </c>
      <c r="B67" s="11"/>
      <c r="C67" s="21" t="s">
        <v>727</v>
      </c>
      <c r="D67" s="5">
        <f ca="1">IFERROR(__xludf.DUMMYFUNCTION("IMPORTRANGE(""https://docs.google.com/spreadsheets/d/1rOGZhKHVnDGFqGTO7UNOJSkSJyQwVuEb2-yhWQit7lw/edit?gid=99713220#gid=99713220"", address(row($D65),column($D65),,,""DM&amp;GT-Q""))"),10)</f>
        <v>10</v>
      </c>
      <c r="E67" s="8">
        <f t="shared" ca="1" si="2"/>
        <v>34.482758620689658</v>
      </c>
      <c r="F67" s="5">
        <f ca="1">IFERROR(__xludf.DUMMYFUNCTION("IMPORTRANGE(""https://docs.google.com/spreadsheets/d/1rOGZhKHVnDGFqGTO7UNOJSkSJyQwVuEb2-yhWQit7lw/edit?gid=1654206091#gid=1654206091"", address(row($D65),column($D65),,,""UHV-Q""))"),5)</f>
        <v>5</v>
      </c>
      <c r="G67" s="8">
        <f t="shared" ca="1" si="3"/>
        <v>29.411764705882355</v>
      </c>
      <c r="H67" s="5">
        <f ca="1">IFERROR(__xludf.DUMMYFUNCTION("IMPORTRANGE(""https://docs.google.com/spreadsheets/d/1rOGZhKHVnDGFqGTO7UNOJSkSJyQwVuEb2-yhWQit7lw/edit?gid=1540132670#gid=1540132670"", address(row($D65),column($D65),,,""DL&amp;CO-Q""))"),9)</f>
        <v>9</v>
      </c>
      <c r="I67" s="8">
        <f t="shared" ca="1" si="4"/>
        <v>39.130434782608695</v>
      </c>
      <c r="J67" s="5">
        <f ca="1">IFERROR(__xludf.DUMMYFUNCTION("IMPORTRANGE(""https://docs.google.com/spreadsheets/d/1rOGZhKHVnDGFqGTO7UNOJSkSJyQwVuEb2-yhWQit7lw/edit?gid=1833881194#gid=1833881194"", address(row($D65),column($D65),,,""ADSA-Q""))"),23)</f>
        <v>23</v>
      </c>
      <c r="K67" s="8">
        <f t="shared" ca="1" si="5"/>
        <v>54.761904761904766</v>
      </c>
      <c r="L67" s="5">
        <f ca="1">IFERROR(__xludf.DUMMYFUNCTION("IMPORTRANGE(""https://docs.google.com/spreadsheets/d/1rOGZhKHVnDGFqGTO7UNOJSkSJyQwVuEb2-yhWQit7lw/edit?gid=1675789617#gid=1675789617"", address(row($D65),column($D65),,,""JAVA-Q""))"),12)</f>
        <v>12</v>
      </c>
      <c r="M67" s="8">
        <f t="shared" ca="1" si="6"/>
        <v>85.714285714285708</v>
      </c>
      <c r="N67" s="5">
        <f ca="1">IFERROR(__xludf.DUMMYFUNCTION("IMPORTRANGE(""https://docs.google.com/spreadsheets/d/1rOGZhKHVnDGFqGTO7UNOJSkSJyQwVuEb2-yhWQit7lw/edit?gid=1695357766#gid=1695357766"", address(row($D65),column($D65),,,""FOSS LAB-Q""))"),3)</f>
        <v>3</v>
      </c>
      <c r="O67" s="8">
        <f t="shared" ca="1" si="7"/>
        <v>33.333333333333329</v>
      </c>
      <c r="P67" s="5">
        <f ca="1">IFERROR(__xludf.DUMMYFUNCTION("IMPORTRANGE(""https://docs.google.com/spreadsheets/d/1rOGZhKHVnDGFqGTO7UNOJSkSJyQwVuEb2-yhWQit7lw/edit?gid=1247110859#gid=1247110859"", address(row($D65),column($D65),,,""PP-Q""))"),2)</f>
        <v>2</v>
      </c>
      <c r="Q67" s="8">
        <f t="shared" ca="1" si="8"/>
        <v>11.111111111111111</v>
      </c>
      <c r="R67" s="5">
        <f ca="1">IFERROR(__xludf.DUMMYFUNCTION("IMPORTRANGE(""https://docs.google.com/spreadsheets/d/1rOGZhKHVnDGFqGTO7UNOJSkSJyQwVuEb2-yhWQit7lw/edit?gid=675135389#gid=675135389"", address(row($D65),column($D65),,,""NPTEL-Q""))"),4)</f>
        <v>4</v>
      </c>
      <c r="S67" s="5">
        <f t="shared" ca="1" si="9"/>
        <v>40</v>
      </c>
      <c r="T67" s="6">
        <f ca="1">IFERROR(__xludf.DUMMYFUNCTION("IMPORTRANGE(""https://docs.google.com/spreadsheets/d/1rOGZhKHVnDGFqGTO7UNOJSkSJyQwVuEb2-yhWQit7lw/edit?gid=290696378#gid=290696378"", address(row($D65),column($D65),,,""CRT-Q""))"),0)</f>
        <v>0</v>
      </c>
      <c r="U67" s="8" t="e">
        <f t="shared" ca="1" si="10"/>
        <v>#DIV/0!</v>
      </c>
      <c r="V67" s="6">
        <f t="shared" ca="1" si="0"/>
        <v>68</v>
      </c>
      <c r="W67" s="4">
        <f t="shared" ca="1" si="11"/>
        <v>42</v>
      </c>
      <c r="X67" s="4">
        <v>0</v>
      </c>
      <c r="Y67" s="4">
        <v>0</v>
      </c>
      <c r="Z67" s="4">
        <f t="shared" ca="1" si="1"/>
        <v>68</v>
      </c>
      <c r="AA67" s="10">
        <f t="shared" ca="1" si="12"/>
        <v>42</v>
      </c>
    </row>
    <row r="68" spans="1:27" ht="15.85" customHeight="1" x14ac:dyDescent="0.35">
      <c r="A68" s="8">
        <v>63</v>
      </c>
      <c r="B68" s="11"/>
      <c r="C68" s="21" t="s">
        <v>728</v>
      </c>
      <c r="D68" s="5">
        <f ca="1">IFERROR(__xludf.DUMMYFUNCTION("IMPORTRANGE(""https://docs.google.com/spreadsheets/d/1rOGZhKHVnDGFqGTO7UNOJSkSJyQwVuEb2-yhWQit7lw/edit?gid=99713220#gid=99713220"", address(row($D66),column($D66),,,""DM&amp;GT-Q""))"),9)</f>
        <v>9</v>
      </c>
      <c r="E68" s="8">
        <f t="shared" ca="1" si="2"/>
        <v>31.03448275862069</v>
      </c>
      <c r="F68" s="5">
        <f ca="1">IFERROR(__xludf.DUMMYFUNCTION("IMPORTRANGE(""https://docs.google.com/spreadsheets/d/1rOGZhKHVnDGFqGTO7UNOJSkSJyQwVuEb2-yhWQit7lw/edit?gid=1654206091#gid=1654206091"", address(row($D66),column($D66),,,""UHV-Q""))"),8)</f>
        <v>8</v>
      </c>
      <c r="G68" s="8">
        <f t="shared" ca="1" si="3"/>
        <v>47.058823529411761</v>
      </c>
      <c r="H68" s="5">
        <f ca="1">IFERROR(__xludf.DUMMYFUNCTION("IMPORTRANGE(""https://docs.google.com/spreadsheets/d/1rOGZhKHVnDGFqGTO7UNOJSkSJyQwVuEb2-yhWQit7lw/edit?gid=1540132670#gid=1540132670"", address(row($D66),column($D66),,,""DL&amp;CO-Q""))"),12)</f>
        <v>12</v>
      </c>
      <c r="I68" s="8">
        <f t="shared" ca="1" si="4"/>
        <v>52.173913043478258</v>
      </c>
      <c r="J68" s="5">
        <f ca="1">IFERROR(__xludf.DUMMYFUNCTION("IMPORTRANGE(""https://docs.google.com/spreadsheets/d/1rOGZhKHVnDGFqGTO7UNOJSkSJyQwVuEb2-yhWQit7lw/edit?gid=1833881194#gid=1833881194"", address(row($D66),column($D66),,,""ADSA-Q""))"),19)</f>
        <v>19</v>
      </c>
      <c r="K68" s="8">
        <f t="shared" ca="1" si="5"/>
        <v>45.238095238095241</v>
      </c>
      <c r="L68" s="5">
        <f ca="1">IFERROR(__xludf.DUMMYFUNCTION("IMPORTRANGE(""https://docs.google.com/spreadsheets/d/1rOGZhKHVnDGFqGTO7UNOJSkSJyQwVuEb2-yhWQit7lw/edit?gid=1675789617#gid=1675789617"", address(row($D66),column($D66),,,""JAVA-Q""))"),8)</f>
        <v>8</v>
      </c>
      <c r="M68" s="8">
        <f t="shared" ca="1" si="6"/>
        <v>57.142857142857139</v>
      </c>
      <c r="N68" s="5">
        <f ca="1">IFERROR(__xludf.DUMMYFUNCTION("IMPORTRANGE(""https://docs.google.com/spreadsheets/d/1rOGZhKHVnDGFqGTO7UNOJSkSJyQwVuEb2-yhWQit7lw/edit?gid=1695357766#gid=1695357766"", address(row($D66),column($D66),,,""FOSS LAB-Q""))"),6)</f>
        <v>6</v>
      </c>
      <c r="O68" s="8">
        <f t="shared" ca="1" si="7"/>
        <v>66.666666666666657</v>
      </c>
      <c r="P68" s="5">
        <f ca="1">IFERROR(__xludf.DUMMYFUNCTION("IMPORTRANGE(""https://docs.google.com/spreadsheets/d/1rOGZhKHVnDGFqGTO7UNOJSkSJyQwVuEb2-yhWQit7lw/edit?gid=1247110859#gid=1247110859"", address(row($D66),column($D66),,,""PP-Q""))"),6)</f>
        <v>6</v>
      </c>
      <c r="Q68" s="8">
        <f t="shared" ca="1" si="8"/>
        <v>33.333333333333329</v>
      </c>
      <c r="R68" s="5">
        <f ca="1">IFERROR(__xludf.DUMMYFUNCTION("IMPORTRANGE(""https://docs.google.com/spreadsheets/d/1rOGZhKHVnDGFqGTO7UNOJSkSJyQwVuEb2-yhWQit7lw/edit?gid=675135389#gid=675135389"", address(row($D66),column($D66),,,""NPTEL-Q""))"),6)</f>
        <v>6</v>
      </c>
      <c r="S68" s="5">
        <f t="shared" ca="1" si="9"/>
        <v>60</v>
      </c>
      <c r="T68" s="6">
        <f ca="1">IFERROR(__xludf.DUMMYFUNCTION("IMPORTRANGE(""https://docs.google.com/spreadsheets/d/1rOGZhKHVnDGFqGTO7UNOJSkSJyQwVuEb2-yhWQit7lw/edit?gid=290696378#gid=290696378"", address(row($D66),column($D66),,,""CRT-Q""))"),0)</f>
        <v>0</v>
      </c>
      <c r="U68" s="8" t="e">
        <f t="shared" ca="1" si="10"/>
        <v>#DIV/0!</v>
      </c>
      <c r="V68" s="6">
        <f t="shared" ca="1" si="0"/>
        <v>74</v>
      </c>
      <c r="W68" s="4">
        <f t="shared" ca="1" si="11"/>
        <v>46</v>
      </c>
      <c r="X68" s="4">
        <v>0</v>
      </c>
      <c r="Y68" s="4">
        <v>0</v>
      </c>
      <c r="Z68" s="4">
        <f t="shared" ca="1" si="1"/>
        <v>74</v>
      </c>
      <c r="AA68" s="10">
        <f t="shared" ca="1" si="12"/>
        <v>46</v>
      </c>
    </row>
    <row r="69" spans="1:27" ht="15.85" customHeight="1" x14ac:dyDescent="0.35">
      <c r="A69" s="8">
        <v>64</v>
      </c>
      <c r="B69" s="11"/>
      <c r="C69" s="21" t="s">
        <v>729</v>
      </c>
      <c r="D69" s="5">
        <f ca="1">IFERROR(__xludf.DUMMYFUNCTION("IMPORTRANGE(""https://docs.google.com/spreadsheets/d/1rOGZhKHVnDGFqGTO7UNOJSkSJyQwVuEb2-yhWQit7lw/edit?gid=99713220#gid=99713220"", address(row($D67),column($D67),,,""DM&amp;GT-Q""))"),9)</f>
        <v>9</v>
      </c>
      <c r="E69" s="8">
        <f t="shared" ca="1" si="2"/>
        <v>31.03448275862069</v>
      </c>
      <c r="F69" s="5">
        <f ca="1">IFERROR(__xludf.DUMMYFUNCTION("IMPORTRANGE(""https://docs.google.com/spreadsheets/d/1rOGZhKHVnDGFqGTO7UNOJSkSJyQwVuEb2-yhWQit7lw/edit?gid=1654206091#gid=1654206091"", address(row($D67),column($D67),,,""UHV-Q""))"),3)</f>
        <v>3</v>
      </c>
      <c r="G69" s="8">
        <f t="shared" ca="1" si="3"/>
        <v>17.647058823529413</v>
      </c>
      <c r="H69" s="5">
        <f ca="1">IFERROR(__xludf.DUMMYFUNCTION("IMPORTRANGE(""https://docs.google.com/spreadsheets/d/1rOGZhKHVnDGFqGTO7UNOJSkSJyQwVuEb2-yhWQit7lw/edit?gid=1540132670#gid=1540132670"", address(row($D67),column($D67),,,""DL&amp;CO-Q""))"),6)</f>
        <v>6</v>
      </c>
      <c r="I69" s="8">
        <f t="shared" ca="1" si="4"/>
        <v>26.086956521739129</v>
      </c>
      <c r="J69" s="5">
        <f ca="1">IFERROR(__xludf.DUMMYFUNCTION("IMPORTRANGE(""https://docs.google.com/spreadsheets/d/1rOGZhKHVnDGFqGTO7UNOJSkSJyQwVuEb2-yhWQit7lw/edit?gid=1833881194#gid=1833881194"", address(row($D67),column($D67),,,""ADSA-Q""))"),9)</f>
        <v>9</v>
      </c>
      <c r="K69" s="8">
        <f t="shared" ca="1" si="5"/>
        <v>21.428571428571427</v>
      </c>
      <c r="L69" s="5">
        <f ca="1">IFERROR(__xludf.DUMMYFUNCTION("IMPORTRANGE(""https://docs.google.com/spreadsheets/d/1rOGZhKHVnDGFqGTO7UNOJSkSJyQwVuEb2-yhWQit7lw/edit?gid=1675789617#gid=1675789617"", address(row($D67),column($D67),,,""JAVA-Q""))"),6)</f>
        <v>6</v>
      </c>
      <c r="M69" s="8">
        <f t="shared" ca="1" si="6"/>
        <v>42.857142857142854</v>
      </c>
      <c r="N69" s="5">
        <f ca="1">IFERROR(__xludf.DUMMYFUNCTION("IMPORTRANGE(""https://docs.google.com/spreadsheets/d/1rOGZhKHVnDGFqGTO7UNOJSkSJyQwVuEb2-yhWQit7lw/edit?gid=1695357766#gid=1695357766"", address(row($D67),column($D67),,,""FOSS LAB-Q""))"),3)</f>
        <v>3</v>
      </c>
      <c r="O69" s="8">
        <f t="shared" ca="1" si="7"/>
        <v>33.333333333333329</v>
      </c>
      <c r="P69" s="5">
        <f ca="1">IFERROR(__xludf.DUMMYFUNCTION("IMPORTRANGE(""https://docs.google.com/spreadsheets/d/1rOGZhKHVnDGFqGTO7UNOJSkSJyQwVuEb2-yhWQit7lw/edit?gid=1247110859#gid=1247110859"", address(row($D67),column($D67),,,""PP-Q""))"),0)</f>
        <v>0</v>
      </c>
      <c r="Q69" s="8">
        <f t="shared" ca="1" si="8"/>
        <v>0</v>
      </c>
      <c r="R69" s="5">
        <f ca="1">IFERROR(__xludf.DUMMYFUNCTION("IMPORTRANGE(""https://docs.google.com/spreadsheets/d/1rOGZhKHVnDGFqGTO7UNOJSkSJyQwVuEb2-yhWQit7lw/edit?gid=675135389#gid=675135389"", address(row($D67),column($D67),,,""NPTEL-Q""))"),2)</f>
        <v>2</v>
      </c>
      <c r="S69" s="5">
        <f t="shared" ca="1" si="9"/>
        <v>20</v>
      </c>
      <c r="T69" s="6">
        <f ca="1">IFERROR(__xludf.DUMMYFUNCTION("IMPORTRANGE(""https://docs.google.com/spreadsheets/d/1rOGZhKHVnDGFqGTO7UNOJSkSJyQwVuEb2-yhWQit7lw/edit?gid=290696378#gid=290696378"", address(row($D67),column($D67),,,""CRT-Q""))"),0)</f>
        <v>0</v>
      </c>
      <c r="U69" s="8" t="e">
        <f t="shared" ca="1" si="10"/>
        <v>#DIV/0!</v>
      </c>
      <c r="V69" s="6">
        <f t="shared" ca="1" si="0"/>
        <v>38</v>
      </c>
      <c r="W69" s="4">
        <f t="shared" ca="1" si="11"/>
        <v>23</v>
      </c>
      <c r="X69" s="4">
        <v>0</v>
      </c>
      <c r="Y69" s="4">
        <v>0</v>
      </c>
      <c r="Z69" s="4">
        <f t="shared" ca="1" si="1"/>
        <v>38</v>
      </c>
      <c r="AA69" s="10">
        <f t="shared" ca="1" si="12"/>
        <v>23</v>
      </c>
    </row>
    <row r="70" spans="1:27" ht="15.05" customHeight="1" x14ac:dyDescent="0.35">
      <c r="A70" s="8">
        <v>65</v>
      </c>
      <c r="B70" s="11"/>
      <c r="C70" s="21" t="s">
        <v>730</v>
      </c>
      <c r="D70" s="5">
        <f ca="1">IFERROR(__xludf.DUMMYFUNCTION("IMPORTRANGE(""https://docs.google.com/spreadsheets/d/1rOGZhKHVnDGFqGTO7UNOJSkSJyQwVuEb2-yhWQit7lw/edit?gid=99713220#gid=99713220"", address(row($D68),column($D68),,,""DM&amp;GT-Q""))"),14)</f>
        <v>14</v>
      </c>
      <c r="E70" s="8">
        <f t="shared" ca="1" si="2"/>
        <v>48.275862068965516</v>
      </c>
      <c r="F70" s="5">
        <f ca="1">IFERROR(__xludf.DUMMYFUNCTION("IMPORTRANGE(""https://docs.google.com/spreadsheets/d/1rOGZhKHVnDGFqGTO7UNOJSkSJyQwVuEb2-yhWQit7lw/edit?gid=1654206091#gid=1654206091"", address(row($D68),column($D68),,,""UHV-Q""))"),7)</f>
        <v>7</v>
      </c>
      <c r="G70" s="8">
        <f t="shared" ca="1" si="3"/>
        <v>41.17647058823529</v>
      </c>
      <c r="H70" s="5">
        <f ca="1">IFERROR(__xludf.DUMMYFUNCTION("IMPORTRANGE(""https://docs.google.com/spreadsheets/d/1rOGZhKHVnDGFqGTO7UNOJSkSJyQwVuEb2-yhWQit7lw/edit?gid=1540132670#gid=1540132670"", address(row($D68),column($D68),,,""DL&amp;CO-Q""))"),9)</f>
        <v>9</v>
      </c>
      <c r="I70" s="8">
        <f t="shared" ca="1" si="4"/>
        <v>39.130434782608695</v>
      </c>
      <c r="J70" s="5">
        <f ca="1">IFERROR(__xludf.DUMMYFUNCTION("IMPORTRANGE(""https://docs.google.com/spreadsheets/d/1rOGZhKHVnDGFqGTO7UNOJSkSJyQwVuEb2-yhWQit7lw/edit?gid=1833881194#gid=1833881194"", address(row($D68),column($D68),,,""ADSA-Q""))"),28)</f>
        <v>28</v>
      </c>
      <c r="K70" s="8">
        <f t="shared" ca="1" si="5"/>
        <v>66.666666666666657</v>
      </c>
      <c r="L70" s="5">
        <f ca="1">IFERROR(__xludf.DUMMYFUNCTION("IMPORTRANGE(""https://docs.google.com/spreadsheets/d/1rOGZhKHVnDGFqGTO7UNOJSkSJyQwVuEb2-yhWQit7lw/edit?gid=1675789617#gid=1675789617"", address(row($D68),column($D68),,,""JAVA-Q""))"),14)</f>
        <v>14</v>
      </c>
      <c r="M70" s="8">
        <f t="shared" ca="1" si="6"/>
        <v>100</v>
      </c>
      <c r="N70" s="5">
        <f ca="1">IFERROR(__xludf.DUMMYFUNCTION("IMPORTRANGE(""https://docs.google.com/spreadsheets/d/1rOGZhKHVnDGFqGTO7UNOJSkSJyQwVuEb2-yhWQit7lw/edit?gid=1695357766#gid=1695357766"", address(row($D68),column($D68),,,""FOSS LAB-Q""))"),3)</f>
        <v>3</v>
      </c>
      <c r="O70" s="8">
        <f t="shared" ca="1" si="7"/>
        <v>33.333333333333329</v>
      </c>
      <c r="P70" s="5">
        <f ca="1">IFERROR(__xludf.DUMMYFUNCTION("IMPORTRANGE(""https://docs.google.com/spreadsheets/d/1rOGZhKHVnDGFqGTO7UNOJSkSJyQwVuEb2-yhWQit7lw/edit?gid=1247110859#gid=1247110859"", address(row($D68),column($D68),,,""PP-Q""))"),8)</f>
        <v>8</v>
      </c>
      <c r="Q70" s="8">
        <f t="shared" ca="1" si="8"/>
        <v>44.444444444444443</v>
      </c>
      <c r="R70" s="5">
        <f ca="1">IFERROR(__xludf.DUMMYFUNCTION("IMPORTRANGE(""https://docs.google.com/spreadsheets/d/1rOGZhKHVnDGFqGTO7UNOJSkSJyQwVuEb2-yhWQit7lw/edit?gid=675135389#gid=675135389"", address(row($D68),column($D68),,,""NPTEL-Q""))"),4)</f>
        <v>4</v>
      </c>
      <c r="S70" s="5">
        <f t="shared" ca="1" si="9"/>
        <v>40</v>
      </c>
      <c r="T70" s="6">
        <f ca="1">IFERROR(__xludf.DUMMYFUNCTION("IMPORTRANGE(""https://docs.google.com/spreadsheets/d/1rOGZhKHVnDGFqGTO7UNOJSkSJyQwVuEb2-yhWQit7lw/edit?gid=290696378#gid=290696378"", address(row($D68),column($D68),,,""CRT-Q""))"),0)</f>
        <v>0</v>
      </c>
      <c r="U70" s="8" t="e">
        <f t="shared" ca="1" si="10"/>
        <v>#DIV/0!</v>
      </c>
      <c r="V70" s="6">
        <f t="shared" ca="1" si="0"/>
        <v>87</v>
      </c>
      <c r="W70" s="4">
        <f t="shared" ca="1" si="11"/>
        <v>54</v>
      </c>
      <c r="X70" s="4">
        <v>0</v>
      </c>
      <c r="Y70" s="4">
        <v>0</v>
      </c>
      <c r="Z70" s="4">
        <f t="shared" ca="1" si="1"/>
        <v>87</v>
      </c>
      <c r="AA70" s="10">
        <f t="shared" ca="1" si="12"/>
        <v>54</v>
      </c>
    </row>
    <row r="71" spans="1:27" ht="15.05" customHeight="1" x14ac:dyDescent="0.35">
      <c r="A71" s="8">
        <v>66</v>
      </c>
      <c r="B71" s="11"/>
      <c r="C71" s="21" t="s">
        <v>731</v>
      </c>
      <c r="D71" s="5">
        <f ca="1">IFERROR(__xludf.DUMMYFUNCTION("IMPORTRANGE(""https://docs.google.com/spreadsheets/d/1rOGZhKHVnDGFqGTO7UNOJSkSJyQwVuEb2-yhWQit7lw/edit?gid=99713220#gid=99713220"", address(row($D69),column($D69),,,""DM&amp;GT-Q""))"),12)</f>
        <v>12</v>
      </c>
      <c r="E71" s="8">
        <f t="shared" ca="1" si="2"/>
        <v>41.379310344827587</v>
      </c>
      <c r="F71" s="5">
        <f ca="1">IFERROR(__xludf.DUMMYFUNCTION("IMPORTRANGE(""https://docs.google.com/spreadsheets/d/1rOGZhKHVnDGFqGTO7UNOJSkSJyQwVuEb2-yhWQit7lw/edit?gid=1654206091#gid=1654206091"", address(row($D69),column($D69),,,""UHV-Q""))"),10)</f>
        <v>10</v>
      </c>
      <c r="G71" s="8">
        <f t="shared" ca="1" si="3"/>
        <v>58.82352941176471</v>
      </c>
      <c r="H71" s="5">
        <f ca="1">IFERROR(__xludf.DUMMYFUNCTION("IMPORTRANGE(""https://docs.google.com/spreadsheets/d/1rOGZhKHVnDGFqGTO7UNOJSkSJyQwVuEb2-yhWQit7lw/edit?gid=1540132670#gid=1540132670"", address(row($D69),column($D69),,,""DL&amp;CO-Q""))"),14)</f>
        <v>14</v>
      </c>
      <c r="I71" s="8">
        <f t="shared" ca="1" si="4"/>
        <v>60.869565217391312</v>
      </c>
      <c r="J71" s="5">
        <f ca="1">IFERROR(__xludf.DUMMYFUNCTION("IMPORTRANGE(""https://docs.google.com/spreadsheets/d/1rOGZhKHVnDGFqGTO7UNOJSkSJyQwVuEb2-yhWQit7lw/edit?gid=1833881194#gid=1833881194"", address(row($D69),column($D69),,,""ADSA-Q""))"),38)</f>
        <v>38</v>
      </c>
      <c r="K71" s="8">
        <f t="shared" ca="1" si="5"/>
        <v>90.476190476190482</v>
      </c>
      <c r="L71" s="5">
        <f ca="1">IFERROR(__xludf.DUMMYFUNCTION("IMPORTRANGE(""https://docs.google.com/spreadsheets/d/1rOGZhKHVnDGFqGTO7UNOJSkSJyQwVuEb2-yhWQit7lw/edit?gid=1675789617#gid=1675789617"", address(row($D69),column($D69),,,""JAVA-Q""))"),14)</f>
        <v>14</v>
      </c>
      <c r="M71" s="8">
        <f t="shared" ca="1" si="6"/>
        <v>100</v>
      </c>
      <c r="N71" s="5">
        <f ca="1">IFERROR(__xludf.DUMMYFUNCTION("IMPORTRANGE(""https://docs.google.com/spreadsheets/d/1rOGZhKHVnDGFqGTO7UNOJSkSJyQwVuEb2-yhWQit7lw/edit?gid=1695357766#gid=1695357766"", address(row($D69),column($D69),,,""FOSS LAB-Q""))"),9)</f>
        <v>9</v>
      </c>
      <c r="O71" s="8">
        <f t="shared" ca="1" si="7"/>
        <v>100</v>
      </c>
      <c r="P71" s="5">
        <f ca="1">IFERROR(__xludf.DUMMYFUNCTION("IMPORTRANGE(""https://docs.google.com/spreadsheets/d/1rOGZhKHVnDGFqGTO7UNOJSkSJyQwVuEb2-yhWQit7lw/edit?gid=1247110859#gid=1247110859"", address(row($D69),column($D69),,,""PP-Q""))"),10)</f>
        <v>10</v>
      </c>
      <c r="Q71" s="8">
        <f t="shared" ca="1" si="8"/>
        <v>55.555555555555557</v>
      </c>
      <c r="R71" s="5">
        <f ca="1">IFERROR(__xludf.DUMMYFUNCTION("IMPORTRANGE(""https://docs.google.com/spreadsheets/d/1rOGZhKHVnDGFqGTO7UNOJSkSJyQwVuEb2-yhWQit7lw/edit?gid=675135389#gid=675135389"", address(row($D69),column($D69),,,""NPTEL-Q""))"),6)</f>
        <v>6</v>
      </c>
      <c r="S71" s="5">
        <f t="shared" ca="1" si="9"/>
        <v>60</v>
      </c>
      <c r="T71" s="6">
        <f ca="1">IFERROR(__xludf.DUMMYFUNCTION("IMPORTRANGE(""https://docs.google.com/spreadsheets/d/1rOGZhKHVnDGFqGTO7UNOJSkSJyQwVuEb2-yhWQit7lw/edit?gid=290696378#gid=290696378"", address(row($D69),column($D69),,,""CRT-Q""))"),0)</f>
        <v>0</v>
      </c>
      <c r="U71" s="8" t="e">
        <f t="shared" ca="1" si="10"/>
        <v>#DIV/0!</v>
      </c>
      <c r="V71" s="6">
        <f t="shared" ca="1" si="0"/>
        <v>113</v>
      </c>
      <c r="W71" s="4">
        <f t="shared" ca="1" si="11"/>
        <v>70</v>
      </c>
      <c r="X71" s="4">
        <v>0</v>
      </c>
      <c r="Y71" s="4">
        <v>0</v>
      </c>
      <c r="Z71" s="4">
        <f t="shared" ca="1" si="1"/>
        <v>113</v>
      </c>
      <c r="AA71" s="10">
        <f t="shared" ca="1" si="12"/>
        <v>70</v>
      </c>
    </row>
    <row r="72" spans="1:27" ht="15.85" customHeight="1" x14ac:dyDescent="0.35">
      <c r="A72" s="8">
        <v>67</v>
      </c>
      <c r="B72" s="11"/>
      <c r="C72" s="21" t="s">
        <v>732</v>
      </c>
      <c r="D72" s="5">
        <f ca="1">IFERROR(__xludf.DUMMYFUNCTION("IMPORTRANGE(""https://docs.google.com/spreadsheets/d/1rOGZhKHVnDGFqGTO7UNOJSkSJyQwVuEb2-yhWQit7lw/edit?gid=99713220#gid=99713220"", address(row($D70),column($D70),,,""DM&amp;GT-Q""))"),12)</f>
        <v>12</v>
      </c>
      <c r="E72" s="8">
        <f t="shared" ca="1" si="2"/>
        <v>41.379310344827587</v>
      </c>
      <c r="F72" s="5">
        <f ca="1">IFERROR(__xludf.DUMMYFUNCTION("IMPORTRANGE(""https://docs.google.com/spreadsheets/d/1rOGZhKHVnDGFqGTO7UNOJSkSJyQwVuEb2-yhWQit7lw/edit?gid=1654206091#gid=1654206091"", address(row($D70),column($D70),,,""UHV-Q""))"),5)</f>
        <v>5</v>
      </c>
      <c r="G72" s="8">
        <f t="shared" ca="1" si="3"/>
        <v>29.411764705882355</v>
      </c>
      <c r="H72" s="5">
        <f ca="1">IFERROR(__xludf.DUMMYFUNCTION("IMPORTRANGE(""https://docs.google.com/spreadsheets/d/1rOGZhKHVnDGFqGTO7UNOJSkSJyQwVuEb2-yhWQit7lw/edit?gid=1540132670#gid=1540132670"", address(row($D70),column($D70),,,""DL&amp;CO-Q""))"),11)</f>
        <v>11</v>
      </c>
      <c r="I72" s="8">
        <f t="shared" ca="1" si="4"/>
        <v>47.826086956521742</v>
      </c>
      <c r="J72" s="5">
        <f ca="1">IFERROR(__xludf.DUMMYFUNCTION("IMPORTRANGE(""https://docs.google.com/spreadsheets/d/1rOGZhKHVnDGFqGTO7UNOJSkSJyQwVuEb2-yhWQit7lw/edit?gid=1833881194#gid=1833881194"", address(row($D70),column($D70),,,""ADSA-Q""))"),16)</f>
        <v>16</v>
      </c>
      <c r="K72" s="8">
        <f t="shared" ca="1" si="5"/>
        <v>38.095238095238095</v>
      </c>
      <c r="L72" s="5">
        <f ca="1">IFERROR(__xludf.DUMMYFUNCTION("IMPORTRANGE(""https://docs.google.com/spreadsheets/d/1rOGZhKHVnDGFqGTO7UNOJSkSJyQwVuEb2-yhWQit7lw/edit?gid=1675789617#gid=1675789617"", address(row($D70),column($D70),,,""JAVA-Q""))"),8)</f>
        <v>8</v>
      </c>
      <c r="M72" s="8">
        <f t="shared" ca="1" si="6"/>
        <v>57.142857142857139</v>
      </c>
      <c r="N72" s="5">
        <f ca="1">IFERROR(__xludf.DUMMYFUNCTION("IMPORTRANGE(""https://docs.google.com/spreadsheets/d/1rOGZhKHVnDGFqGTO7UNOJSkSJyQwVuEb2-yhWQit7lw/edit?gid=1695357766#gid=1695357766"", address(row($D70),column($D70),,,""FOSS LAB-Q""))"),6)</f>
        <v>6</v>
      </c>
      <c r="O72" s="8">
        <f t="shared" ca="1" si="7"/>
        <v>66.666666666666657</v>
      </c>
      <c r="P72" s="5">
        <f ca="1">IFERROR(__xludf.DUMMYFUNCTION("IMPORTRANGE(""https://docs.google.com/spreadsheets/d/1rOGZhKHVnDGFqGTO7UNOJSkSJyQwVuEb2-yhWQit7lw/edit?gid=1247110859#gid=1247110859"", address(row($D70),column($D70),,,""PP-Q""))"),12)</f>
        <v>12</v>
      </c>
      <c r="Q72" s="8">
        <f t="shared" ca="1" si="8"/>
        <v>66.666666666666657</v>
      </c>
      <c r="R72" s="5">
        <f ca="1">IFERROR(__xludf.DUMMYFUNCTION("IMPORTRANGE(""https://docs.google.com/spreadsheets/d/1rOGZhKHVnDGFqGTO7UNOJSkSJyQwVuEb2-yhWQit7lw/edit?gid=675135389#gid=675135389"", address(row($D70),column($D70),,,""NPTEL-Q""))"),4)</f>
        <v>4</v>
      </c>
      <c r="S72" s="5">
        <f t="shared" ca="1" si="9"/>
        <v>40</v>
      </c>
      <c r="T72" s="6">
        <f ca="1">IFERROR(__xludf.DUMMYFUNCTION("IMPORTRANGE(""https://docs.google.com/spreadsheets/d/1rOGZhKHVnDGFqGTO7UNOJSkSJyQwVuEb2-yhWQit7lw/edit?gid=290696378#gid=290696378"", address(row($D70),column($D70),,,""CRT-Q""))"),0)</f>
        <v>0</v>
      </c>
      <c r="U72" s="8" t="e">
        <f t="shared" ca="1" si="10"/>
        <v>#DIV/0!</v>
      </c>
      <c r="V72" s="6">
        <f t="shared" ca="1" si="0"/>
        <v>74</v>
      </c>
      <c r="W72" s="4">
        <f t="shared" ca="1" si="11"/>
        <v>46</v>
      </c>
      <c r="X72" s="4">
        <v>0</v>
      </c>
      <c r="Y72" s="4">
        <v>0</v>
      </c>
      <c r="Z72" s="4">
        <f t="shared" ca="1" si="1"/>
        <v>74</v>
      </c>
      <c r="AA72" s="10">
        <f t="shared" ca="1" si="12"/>
        <v>46</v>
      </c>
    </row>
    <row r="73" spans="1:27" ht="15.85" customHeight="1" x14ac:dyDescent="0.35">
      <c r="A73" s="8">
        <v>68</v>
      </c>
      <c r="B73" s="11"/>
      <c r="C73" s="21" t="s">
        <v>733</v>
      </c>
      <c r="D73" s="5">
        <f ca="1">IFERROR(__xludf.DUMMYFUNCTION("IMPORTRANGE(""https://docs.google.com/spreadsheets/d/1rOGZhKHVnDGFqGTO7UNOJSkSJyQwVuEb2-yhWQit7lw/edit?gid=99713220#gid=99713220"", address(row($D71),column($D71),,,""DM&amp;GT-Q""))"),15)</f>
        <v>15</v>
      </c>
      <c r="E73" s="8">
        <f t="shared" ca="1" si="2"/>
        <v>51.724137931034484</v>
      </c>
      <c r="F73" s="5">
        <f ca="1">IFERROR(__xludf.DUMMYFUNCTION("IMPORTRANGE(""https://docs.google.com/spreadsheets/d/1rOGZhKHVnDGFqGTO7UNOJSkSJyQwVuEb2-yhWQit7lw/edit?gid=1654206091#gid=1654206091"", address(row($D71),column($D71),,,""UHV-Q""))"),10)</f>
        <v>10</v>
      </c>
      <c r="G73" s="8">
        <f t="shared" ca="1" si="3"/>
        <v>58.82352941176471</v>
      </c>
      <c r="H73" s="5">
        <f ca="1">IFERROR(__xludf.DUMMYFUNCTION("IMPORTRANGE(""https://docs.google.com/spreadsheets/d/1rOGZhKHVnDGFqGTO7UNOJSkSJyQwVuEb2-yhWQit7lw/edit?gid=1540132670#gid=1540132670"", address(row($D71),column($D71),,,""DL&amp;CO-Q""))"),16)</f>
        <v>16</v>
      </c>
      <c r="I73" s="8">
        <f t="shared" ca="1" si="4"/>
        <v>69.565217391304344</v>
      </c>
      <c r="J73" s="5">
        <f ca="1">IFERROR(__xludf.DUMMYFUNCTION("IMPORTRANGE(""https://docs.google.com/spreadsheets/d/1rOGZhKHVnDGFqGTO7UNOJSkSJyQwVuEb2-yhWQit7lw/edit?gid=1833881194#gid=1833881194"", address(row($D71),column($D71),,,""ADSA-Q""))"),38)</f>
        <v>38</v>
      </c>
      <c r="K73" s="8">
        <f t="shared" ca="1" si="5"/>
        <v>90.476190476190482</v>
      </c>
      <c r="L73" s="5">
        <f ca="1">IFERROR(__xludf.DUMMYFUNCTION("IMPORTRANGE(""https://docs.google.com/spreadsheets/d/1rOGZhKHVnDGFqGTO7UNOJSkSJyQwVuEb2-yhWQit7lw/edit?gid=1675789617#gid=1675789617"", address(row($D71),column($D71),,,""JAVA-Q""))"),10)</f>
        <v>10</v>
      </c>
      <c r="M73" s="8">
        <f t="shared" ca="1" si="6"/>
        <v>71.428571428571431</v>
      </c>
      <c r="N73" s="5">
        <f ca="1">IFERROR(__xludf.DUMMYFUNCTION("IMPORTRANGE(""https://docs.google.com/spreadsheets/d/1rOGZhKHVnDGFqGTO7UNOJSkSJyQwVuEb2-yhWQit7lw/edit?gid=1695357766#gid=1695357766"", address(row($D71),column($D71),,,""FOSS LAB-Q""))"),9)</f>
        <v>9</v>
      </c>
      <c r="O73" s="8">
        <f t="shared" ca="1" si="7"/>
        <v>100</v>
      </c>
      <c r="P73" s="5">
        <f ca="1">IFERROR(__xludf.DUMMYFUNCTION("IMPORTRANGE(""https://docs.google.com/spreadsheets/d/1rOGZhKHVnDGFqGTO7UNOJSkSJyQwVuEb2-yhWQit7lw/edit?gid=1247110859#gid=1247110859"", address(row($D71),column($D71),,,""PP-Q""))"),14)</f>
        <v>14</v>
      </c>
      <c r="Q73" s="8">
        <f t="shared" ca="1" si="8"/>
        <v>77.777777777777786</v>
      </c>
      <c r="R73" s="5">
        <f ca="1">IFERROR(__xludf.DUMMYFUNCTION("IMPORTRANGE(""https://docs.google.com/spreadsheets/d/1rOGZhKHVnDGFqGTO7UNOJSkSJyQwVuEb2-yhWQit7lw/edit?gid=675135389#gid=675135389"", address(row($D71),column($D71),,,""NPTEL-Q""))"),6)</f>
        <v>6</v>
      </c>
      <c r="S73" s="5">
        <f t="shared" ca="1" si="9"/>
        <v>60</v>
      </c>
      <c r="T73" s="6">
        <f ca="1">IFERROR(__xludf.DUMMYFUNCTION("IMPORTRANGE(""https://docs.google.com/spreadsheets/d/1rOGZhKHVnDGFqGTO7UNOJSkSJyQwVuEb2-yhWQit7lw/edit?gid=290696378#gid=290696378"", address(row($D71),column($D71),,,""CRT-Q""))"),0)</f>
        <v>0</v>
      </c>
      <c r="U73" s="8" t="e">
        <f t="shared" ca="1" si="10"/>
        <v>#DIV/0!</v>
      </c>
      <c r="V73" s="6">
        <f t="shared" ca="1" si="0"/>
        <v>118</v>
      </c>
      <c r="W73" s="4">
        <f t="shared" ca="1" si="11"/>
        <v>73</v>
      </c>
      <c r="X73" s="4">
        <v>0</v>
      </c>
      <c r="Y73" s="4">
        <v>0</v>
      </c>
      <c r="Z73" s="4">
        <f t="shared" ca="1" si="1"/>
        <v>118</v>
      </c>
      <c r="AA73" s="10">
        <f t="shared" ca="1" si="12"/>
        <v>73</v>
      </c>
    </row>
    <row r="74" spans="1:27" ht="15.85" customHeight="1" x14ac:dyDescent="0.35">
      <c r="A74" s="8">
        <v>69</v>
      </c>
      <c r="B74" s="11"/>
      <c r="C74" s="21" t="s">
        <v>734</v>
      </c>
      <c r="D74" s="5">
        <f ca="1">IFERROR(__xludf.DUMMYFUNCTION("IMPORTRANGE(""https://docs.google.com/spreadsheets/d/1rOGZhKHVnDGFqGTO7UNOJSkSJyQwVuEb2-yhWQit7lw/edit?gid=99713220#gid=99713220"", address(row($D72),column($D72),,,""DM&amp;GT-Q""))"),13)</f>
        <v>13</v>
      </c>
      <c r="E74" s="8">
        <f t="shared" ca="1" si="2"/>
        <v>44.827586206896555</v>
      </c>
      <c r="F74" s="5">
        <f ca="1">IFERROR(__xludf.DUMMYFUNCTION("IMPORTRANGE(""https://docs.google.com/spreadsheets/d/1rOGZhKHVnDGFqGTO7UNOJSkSJyQwVuEb2-yhWQit7lw/edit?gid=1654206091#gid=1654206091"", address(row($D72),column($D72),,,""UHV-Q""))"),8)</f>
        <v>8</v>
      </c>
      <c r="G74" s="8">
        <f t="shared" ca="1" si="3"/>
        <v>47.058823529411761</v>
      </c>
      <c r="H74" s="5">
        <f ca="1">IFERROR(__xludf.DUMMYFUNCTION("IMPORTRANGE(""https://docs.google.com/spreadsheets/d/1rOGZhKHVnDGFqGTO7UNOJSkSJyQwVuEb2-yhWQit7lw/edit?gid=1540132670#gid=1540132670"", address(row($D72),column($D72),,,""DL&amp;CO-Q""))"),15)</f>
        <v>15</v>
      </c>
      <c r="I74" s="8">
        <f t="shared" ca="1" si="4"/>
        <v>65.217391304347828</v>
      </c>
      <c r="J74" s="5">
        <f ca="1">IFERROR(__xludf.DUMMYFUNCTION("IMPORTRANGE(""https://docs.google.com/spreadsheets/d/1rOGZhKHVnDGFqGTO7UNOJSkSJyQwVuEb2-yhWQit7lw/edit?gid=1833881194#gid=1833881194"", address(row($D72),column($D72),,,""ADSA-Q""))"),32)</f>
        <v>32</v>
      </c>
      <c r="K74" s="8">
        <f t="shared" ca="1" si="5"/>
        <v>76.19047619047619</v>
      </c>
      <c r="L74" s="5">
        <f ca="1">IFERROR(__xludf.DUMMYFUNCTION("IMPORTRANGE(""https://docs.google.com/spreadsheets/d/1rOGZhKHVnDGFqGTO7UNOJSkSJyQwVuEb2-yhWQit7lw/edit?gid=1675789617#gid=1675789617"", address(row($D72),column($D72),,,""JAVA-Q""))"),4)</f>
        <v>4</v>
      </c>
      <c r="M74" s="8">
        <f t="shared" ca="1" si="6"/>
        <v>28.571428571428569</v>
      </c>
      <c r="N74" s="5">
        <f ca="1">IFERROR(__xludf.DUMMYFUNCTION("IMPORTRANGE(""https://docs.google.com/spreadsheets/d/1rOGZhKHVnDGFqGTO7UNOJSkSJyQwVuEb2-yhWQit7lw/edit?gid=1695357766#gid=1695357766"", address(row($D72),column($D72),,,""FOSS LAB-Q""))"),9)</f>
        <v>9</v>
      </c>
      <c r="O74" s="8">
        <f t="shared" ca="1" si="7"/>
        <v>100</v>
      </c>
      <c r="P74" s="5">
        <f ca="1">IFERROR(__xludf.DUMMYFUNCTION("IMPORTRANGE(""https://docs.google.com/spreadsheets/d/1rOGZhKHVnDGFqGTO7UNOJSkSJyQwVuEb2-yhWQit7lw/edit?gid=1247110859#gid=1247110859"", address(row($D72),column($D72),,,""PP-Q""))"),16)</f>
        <v>16</v>
      </c>
      <c r="Q74" s="8">
        <f t="shared" ca="1" si="8"/>
        <v>88.888888888888886</v>
      </c>
      <c r="R74" s="5">
        <f ca="1">IFERROR(__xludf.DUMMYFUNCTION("IMPORTRANGE(""https://docs.google.com/spreadsheets/d/1rOGZhKHVnDGFqGTO7UNOJSkSJyQwVuEb2-yhWQit7lw/edit?gid=675135389#gid=675135389"", address(row($D72),column($D72),,,""NPTEL-Q""))"),6)</f>
        <v>6</v>
      </c>
      <c r="S74" s="5">
        <f t="shared" ca="1" si="9"/>
        <v>60</v>
      </c>
      <c r="T74" s="6">
        <f ca="1">IFERROR(__xludf.DUMMYFUNCTION("IMPORTRANGE(""https://docs.google.com/spreadsheets/d/1rOGZhKHVnDGFqGTO7UNOJSkSJyQwVuEb2-yhWQit7lw/edit?gid=290696378#gid=290696378"", address(row($D72),column($D72),,,""CRT-Q""))"),0)</f>
        <v>0</v>
      </c>
      <c r="U74" s="8" t="e">
        <f t="shared" ca="1" si="10"/>
        <v>#DIV/0!</v>
      </c>
      <c r="V74" s="6">
        <f t="shared" ca="1" si="0"/>
        <v>103</v>
      </c>
      <c r="W74" s="4">
        <f t="shared" ca="1" si="11"/>
        <v>64</v>
      </c>
      <c r="X74" s="4">
        <v>0</v>
      </c>
      <c r="Y74" s="4">
        <v>0</v>
      </c>
      <c r="Z74" s="4">
        <f t="shared" ca="1" si="1"/>
        <v>103</v>
      </c>
      <c r="AA74" s="10">
        <f t="shared" ca="1" si="12"/>
        <v>64</v>
      </c>
    </row>
    <row r="75" spans="1:27" ht="15.85" customHeight="1" x14ac:dyDescent="0.35">
      <c r="A75" s="8">
        <v>70</v>
      </c>
      <c r="B75" s="11"/>
      <c r="C75" s="21" t="s">
        <v>735</v>
      </c>
      <c r="D75" s="5">
        <f ca="1">IFERROR(__xludf.DUMMYFUNCTION("IMPORTRANGE(""https://docs.google.com/spreadsheets/d/1rOGZhKHVnDGFqGTO7UNOJSkSJyQwVuEb2-yhWQit7lw/edit?gid=99713220#gid=99713220"", address(row($D73),column($D73),,,""DM&amp;GT-Q""))"),12)</f>
        <v>12</v>
      </c>
      <c r="E75" s="8">
        <f t="shared" ca="1" si="2"/>
        <v>41.379310344827587</v>
      </c>
      <c r="F75" s="5">
        <f ca="1">IFERROR(__xludf.DUMMYFUNCTION("IMPORTRANGE(""https://docs.google.com/spreadsheets/d/1rOGZhKHVnDGFqGTO7UNOJSkSJyQwVuEb2-yhWQit7lw/edit?gid=1654206091#gid=1654206091"", address(row($D73),column($D73),,,""UHV-Q""))"),8)</f>
        <v>8</v>
      </c>
      <c r="G75" s="8">
        <f t="shared" ca="1" si="3"/>
        <v>47.058823529411761</v>
      </c>
      <c r="H75" s="5">
        <f ca="1">IFERROR(__xludf.DUMMYFUNCTION("IMPORTRANGE(""https://docs.google.com/spreadsheets/d/1rOGZhKHVnDGFqGTO7UNOJSkSJyQwVuEb2-yhWQit7lw/edit?gid=1540132670#gid=1540132670"", address(row($D73),column($D73),,,""DL&amp;CO-Q""))"),12)</f>
        <v>12</v>
      </c>
      <c r="I75" s="8">
        <f t="shared" ca="1" si="4"/>
        <v>52.173913043478258</v>
      </c>
      <c r="J75" s="5">
        <f ca="1">IFERROR(__xludf.DUMMYFUNCTION("IMPORTRANGE(""https://docs.google.com/spreadsheets/d/1rOGZhKHVnDGFqGTO7UNOJSkSJyQwVuEb2-yhWQit7lw/edit?gid=1833881194#gid=1833881194"", address(row($D73),column($D73),,,""ADSA-Q""))"),22)</f>
        <v>22</v>
      </c>
      <c r="K75" s="8">
        <f t="shared" ca="1" si="5"/>
        <v>52.380952380952387</v>
      </c>
      <c r="L75" s="5">
        <f ca="1">IFERROR(__xludf.DUMMYFUNCTION("IMPORTRANGE(""https://docs.google.com/spreadsheets/d/1rOGZhKHVnDGFqGTO7UNOJSkSJyQwVuEb2-yhWQit7lw/edit?gid=1675789617#gid=1675789617"", address(row($D73),column($D73),,,""JAVA-Q""))"),8)</f>
        <v>8</v>
      </c>
      <c r="M75" s="8">
        <f t="shared" ca="1" si="6"/>
        <v>57.142857142857139</v>
      </c>
      <c r="N75" s="5">
        <f ca="1">IFERROR(__xludf.DUMMYFUNCTION("IMPORTRANGE(""https://docs.google.com/spreadsheets/d/1rOGZhKHVnDGFqGTO7UNOJSkSJyQwVuEb2-yhWQit7lw/edit?gid=1695357766#gid=1695357766"", address(row($D73),column($D73),,,""FOSS LAB-Q""))"),3)</f>
        <v>3</v>
      </c>
      <c r="O75" s="8">
        <f t="shared" ca="1" si="7"/>
        <v>33.333333333333329</v>
      </c>
      <c r="P75" s="5">
        <f ca="1">IFERROR(__xludf.DUMMYFUNCTION("IMPORTRANGE(""https://docs.google.com/spreadsheets/d/1rOGZhKHVnDGFqGTO7UNOJSkSJyQwVuEb2-yhWQit7lw/edit?gid=1247110859#gid=1247110859"", address(row($D73),column($D73),,,""PP-Q""))"),6)</f>
        <v>6</v>
      </c>
      <c r="Q75" s="8">
        <f t="shared" ca="1" si="8"/>
        <v>33.333333333333329</v>
      </c>
      <c r="R75" s="5">
        <f ca="1">IFERROR(__xludf.DUMMYFUNCTION("IMPORTRANGE(""https://docs.google.com/spreadsheets/d/1rOGZhKHVnDGFqGTO7UNOJSkSJyQwVuEb2-yhWQit7lw/edit?gid=675135389#gid=675135389"", address(row($D73),column($D73),,,""NPTEL-Q""))"),6)</f>
        <v>6</v>
      </c>
      <c r="S75" s="5">
        <f t="shared" ca="1" si="9"/>
        <v>60</v>
      </c>
      <c r="T75" s="6">
        <f ca="1">IFERROR(__xludf.DUMMYFUNCTION("IMPORTRANGE(""https://docs.google.com/spreadsheets/d/1rOGZhKHVnDGFqGTO7UNOJSkSJyQwVuEb2-yhWQit7lw/edit?gid=290696378#gid=290696378"", address(row($D73),column($D73),,,""CRT-Q""))"),0)</f>
        <v>0</v>
      </c>
      <c r="U75" s="8" t="e">
        <f t="shared" ca="1" si="10"/>
        <v>#DIV/0!</v>
      </c>
      <c r="V75" s="6">
        <f t="shared" ca="1" si="0"/>
        <v>77</v>
      </c>
      <c r="W75" s="4">
        <f t="shared" ca="1" si="11"/>
        <v>48</v>
      </c>
      <c r="X75" s="4">
        <v>0</v>
      </c>
      <c r="Y75" s="4">
        <v>0</v>
      </c>
      <c r="Z75" s="4">
        <f t="shared" ca="1" si="1"/>
        <v>77</v>
      </c>
      <c r="AA75" s="10">
        <f t="shared" ca="1" si="12"/>
        <v>48</v>
      </c>
    </row>
    <row r="76" spans="1:27" ht="15.85" customHeight="1" x14ac:dyDescent="0.35">
      <c r="A76" s="8">
        <v>71</v>
      </c>
      <c r="B76" s="11"/>
      <c r="C76" s="21" t="s">
        <v>736</v>
      </c>
      <c r="D76" s="5">
        <f ca="1">IFERROR(__xludf.DUMMYFUNCTION("IMPORTRANGE(""https://docs.google.com/spreadsheets/d/1rOGZhKHVnDGFqGTO7UNOJSkSJyQwVuEb2-yhWQit7lw/edit?gid=99713220#gid=99713220"", address(row($D74),column($D74),,,""DM&amp;GT-Q""))"),14)</f>
        <v>14</v>
      </c>
      <c r="E76" s="8">
        <f t="shared" ca="1" si="2"/>
        <v>48.275862068965516</v>
      </c>
      <c r="F76" s="5">
        <f ca="1">IFERROR(__xludf.DUMMYFUNCTION("IMPORTRANGE(""https://docs.google.com/spreadsheets/d/1rOGZhKHVnDGFqGTO7UNOJSkSJyQwVuEb2-yhWQit7lw/edit?gid=1654206091#gid=1654206091"", address(row($D74),column($D74),,,""UHV-Q""))"),12)</f>
        <v>12</v>
      </c>
      <c r="G76" s="8">
        <f t="shared" ca="1" si="3"/>
        <v>70.588235294117652</v>
      </c>
      <c r="H76" s="5">
        <f ca="1">IFERROR(__xludf.DUMMYFUNCTION("IMPORTRANGE(""https://docs.google.com/spreadsheets/d/1rOGZhKHVnDGFqGTO7UNOJSkSJyQwVuEb2-yhWQit7lw/edit?gid=1540132670#gid=1540132670"", address(row($D74),column($D74),,,""DL&amp;CO-Q""))"),12)</f>
        <v>12</v>
      </c>
      <c r="I76" s="8">
        <f t="shared" ca="1" si="4"/>
        <v>52.173913043478258</v>
      </c>
      <c r="J76" s="5">
        <f ca="1">IFERROR(__xludf.DUMMYFUNCTION("IMPORTRANGE(""https://docs.google.com/spreadsheets/d/1rOGZhKHVnDGFqGTO7UNOJSkSJyQwVuEb2-yhWQit7lw/edit?gid=1833881194#gid=1833881194"", address(row($D74),column($D74),,,""ADSA-Q""))"),27)</f>
        <v>27</v>
      </c>
      <c r="K76" s="8">
        <f t="shared" ca="1" si="5"/>
        <v>64.285714285714292</v>
      </c>
      <c r="L76" s="5">
        <f ca="1">IFERROR(__xludf.DUMMYFUNCTION("IMPORTRANGE(""https://docs.google.com/spreadsheets/d/1rOGZhKHVnDGFqGTO7UNOJSkSJyQwVuEb2-yhWQit7lw/edit?gid=1675789617#gid=1675789617"", address(row($D74),column($D74),,,""JAVA-Q""))"),14)</f>
        <v>14</v>
      </c>
      <c r="M76" s="8">
        <f t="shared" ca="1" si="6"/>
        <v>100</v>
      </c>
      <c r="N76" s="5">
        <f ca="1">IFERROR(__xludf.DUMMYFUNCTION("IMPORTRANGE(""https://docs.google.com/spreadsheets/d/1rOGZhKHVnDGFqGTO7UNOJSkSJyQwVuEb2-yhWQit7lw/edit?gid=1695357766#gid=1695357766"", address(row($D74),column($D74),,,""FOSS LAB-Q""))"),9)</f>
        <v>9</v>
      </c>
      <c r="O76" s="8">
        <f t="shared" ca="1" si="7"/>
        <v>100</v>
      </c>
      <c r="P76" s="5">
        <f ca="1">IFERROR(__xludf.DUMMYFUNCTION("IMPORTRANGE(""https://docs.google.com/spreadsheets/d/1rOGZhKHVnDGFqGTO7UNOJSkSJyQwVuEb2-yhWQit7lw/edit?gid=1247110859#gid=1247110859"", address(row($D74),column($D74),,,""PP-Q""))"),8)</f>
        <v>8</v>
      </c>
      <c r="Q76" s="8">
        <f t="shared" ca="1" si="8"/>
        <v>44.444444444444443</v>
      </c>
      <c r="R76" s="5">
        <f ca="1">IFERROR(__xludf.DUMMYFUNCTION("IMPORTRANGE(""https://docs.google.com/spreadsheets/d/1rOGZhKHVnDGFqGTO7UNOJSkSJyQwVuEb2-yhWQit7lw/edit?gid=675135389#gid=675135389"", address(row($D74),column($D74),,,""NPTEL-Q""))"),6)</f>
        <v>6</v>
      </c>
      <c r="S76" s="5">
        <f t="shared" ca="1" si="9"/>
        <v>60</v>
      </c>
      <c r="T76" s="6">
        <f ca="1">IFERROR(__xludf.DUMMYFUNCTION("IMPORTRANGE(""https://docs.google.com/spreadsheets/d/1rOGZhKHVnDGFqGTO7UNOJSkSJyQwVuEb2-yhWQit7lw/edit?gid=290696378#gid=290696378"", address(row($D74),column($D74),,,""CRT-Q""))"),0)</f>
        <v>0</v>
      </c>
      <c r="U76" s="8" t="e">
        <f t="shared" ca="1" si="10"/>
        <v>#DIV/0!</v>
      </c>
      <c r="V76" s="6">
        <f t="shared" ca="1" si="0"/>
        <v>102</v>
      </c>
      <c r="W76" s="4">
        <f t="shared" ca="1" si="11"/>
        <v>63</v>
      </c>
      <c r="X76" s="4">
        <v>0</v>
      </c>
      <c r="Y76" s="4">
        <v>0</v>
      </c>
      <c r="Z76" s="4">
        <f t="shared" ca="1" si="1"/>
        <v>102</v>
      </c>
      <c r="AA76" s="10">
        <f t="shared" ca="1" si="12"/>
        <v>63</v>
      </c>
    </row>
    <row r="77" spans="1:27" ht="15.85" customHeight="1" x14ac:dyDescent="0.35">
      <c r="A77" s="8">
        <v>72</v>
      </c>
      <c r="B77" s="11"/>
      <c r="C77" s="21" t="s">
        <v>737</v>
      </c>
      <c r="D77" s="5">
        <f ca="1">IFERROR(__xludf.DUMMYFUNCTION("IMPORTRANGE(""https://docs.google.com/spreadsheets/d/1rOGZhKHVnDGFqGTO7UNOJSkSJyQwVuEb2-yhWQit7lw/edit?gid=99713220#gid=99713220"", address(row($D75),column($D75),,,""DM&amp;GT-Q""))"),13)</f>
        <v>13</v>
      </c>
      <c r="E77" s="8">
        <f t="shared" ca="1" si="2"/>
        <v>44.827586206896555</v>
      </c>
      <c r="F77" s="5">
        <f ca="1">IFERROR(__xludf.DUMMYFUNCTION("IMPORTRANGE(""https://docs.google.com/spreadsheets/d/1rOGZhKHVnDGFqGTO7UNOJSkSJyQwVuEb2-yhWQit7lw/edit?gid=1654206091#gid=1654206091"", address(row($D75),column($D75),,,""UHV-Q""))"),8)</f>
        <v>8</v>
      </c>
      <c r="G77" s="8">
        <f t="shared" ca="1" si="3"/>
        <v>47.058823529411761</v>
      </c>
      <c r="H77" s="5">
        <f ca="1">IFERROR(__xludf.DUMMYFUNCTION("IMPORTRANGE(""https://docs.google.com/spreadsheets/d/1rOGZhKHVnDGFqGTO7UNOJSkSJyQwVuEb2-yhWQit7lw/edit?gid=1540132670#gid=1540132670"", address(row($D75),column($D75),,,""DL&amp;CO-Q""))"),14)</f>
        <v>14</v>
      </c>
      <c r="I77" s="8">
        <f t="shared" ca="1" si="4"/>
        <v>60.869565217391312</v>
      </c>
      <c r="J77" s="5">
        <f ca="1">IFERROR(__xludf.DUMMYFUNCTION("IMPORTRANGE(""https://docs.google.com/spreadsheets/d/1rOGZhKHVnDGFqGTO7UNOJSkSJyQwVuEb2-yhWQit7lw/edit?gid=1833881194#gid=1833881194"", address(row($D75),column($D75),,,""ADSA-Q""))"),26)</f>
        <v>26</v>
      </c>
      <c r="K77" s="8">
        <f t="shared" ca="1" si="5"/>
        <v>61.904761904761905</v>
      </c>
      <c r="L77" s="5">
        <f ca="1">IFERROR(__xludf.DUMMYFUNCTION("IMPORTRANGE(""https://docs.google.com/spreadsheets/d/1rOGZhKHVnDGFqGTO7UNOJSkSJyQwVuEb2-yhWQit7lw/edit?gid=1675789617#gid=1675789617"", address(row($D75),column($D75),,,""JAVA-Q""))"),14)</f>
        <v>14</v>
      </c>
      <c r="M77" s="8">
        <f t="shared" ca="1" si="6"/>
        <v>100</v>
      </c>
      <c r="N77" s="5">
        <f ca="1">IFERROR(__xludf.DUMMYFUNCTION("IMPORTRANGE(""https://docs.google.com/spreadsheets/d/1rOGZhKHVnDGFqGTO7UNOJSkSJyQwVuEb2-yhWQit7lw/edit?gid=1695357766#gid=1695357766"", address(row($D75),column($D75),,,""FOSS LAB-Q""))"),6)</f>
        <v>6</v>
      </c>
      <c r="O77" s="8">
        <f t="shared" ca="1" si="7"/>
        <v>66.666666666666657</v>
      </c>
      <c r="P77" s="5">
        <f ca="1">IFERROR(__xludf.DUMMYFUNCTION("IMPORTRANGE(""https://docs.google.com/spreadsheets/d/1rOGZhKHVnDGFqGTO7UNOJSkSJyQwVuEb2-yhWQit7lw/edit?gid=1247110859#gid=1247110859"", address(row($D75),column($D75),,,""PP-Q""))"),6)</f>
        <v>6</v>
      </c>
      <c r="Q77" s="8">
        <f t="shared" ca="1" si="8"/>
        <v>33.333333333333329</v>
      </c>
      <c r="R77" s="5">
        <f ca="1">IFERROR(__xludf.DUMMYFUNCTION("IMPORTRANGE(""https://docs.google.com/spreadsheets/d/1rOGZhKHVnDGFqGTO7UNOJSkSJyQwVuEb2-yhWQit7lw/edit?gid=675135389#gid=675135389"", address(row($D75),column($D75),,,""NPTEL-Q""))"),6)</f>
        <v>6</v>
      </c>
      <c r="S77" s="5">
        <f t="shared" ca="1" si="9"/>
        <v>60</v>
      </c>
      <c r="T77" s="6">
        <f ca="1">IFERROR(__xludf.DUMMYFUNCTION("IMPORTRANGE(""https://docs.google.com/spreadsheets/d/1rOGZhKHVnDGFqGTO7UNOJSkSJyQwVuEb2-yhWQit7lw/edit?gid=290696378#gid=290696378"", address(row($D75),column($D75),,,""CRT-Q""))"),0)</f>
        <v>0</v>
      </c>
      <c r="U77" s="8" t="e">
        <f t="shared" ca="1" si="10"/>
        <v>#DIV/0!</v>
      </c>
      <c r="V77" s="6">
        <f t="shared" ca="1" si="0"/>
        <v>93</v>
      </c>
      <c r="W77" s="4">
        <f t="shared" ca="1" si="11"/>
        <v>57</v>
      </c>
      <c r="X77" s="4">
        <v>0</v>
      </c>
      <c r="Y77" s="4">
        <v>0</v>
      </c>
      <c r="Z77" s="4">
        <f t="shared" ca="1" si="1"/>
        <v>93</v>
      </c>
      <c r="AA77" s="10">
        <f t="shared" ca="1" si="12"/>
        <v>57</v>
      </c>
    </row>
    <row r="78" spans="1:27" ht="15.85" customHeight="1" x14ac:dyDescent="0.35">
      <c r="A78" s="8">
        <v>73</v>
      </c>
      <c r="B78" s="11"/>
      <c r="C78" s="21" t="s">
        <v>738</v>
      </c>
      <c r="D78" s="5">
        <f ca="1">IFERROR(__xludf.DUMMYFUNCTION("IMPORTRANGE(""https://docs.google.com/spreadsheets/d/1rOGZhKHVnDGFqGTO7UNOJSkSJyQwVuEb2-yhWQit7lw/edit?gid=99713220#gid=99713220"", address(row($D76),column($D76),,,""DM&amp;GT-Q""))"),14)</f>
        <v>14</v>
      </c>
      <c r="E78" s="8">
        <f t="shared" ca="1" si="2"/>
        <v>48.275862068965516</v>
      </c>
      <c r="F78" s="5">
        <f ca="1">IFERROR(__xludf.DUMMYFUNCTION("IMPORTRANGE(""https://docs.google.com/spreadsheets/d/1rOGZhKHVnDGFqGTO7UNOJSkSJyQwVuEb2-yhWQit7lw/edit?gid=1654206091#gid=1654206091"", address(row($D76),column($D76),,,""UHV-Q""))"),10)</f>
        <v>10</v>
      </c>
      <c r="G78" s="8">
        <f t="shared" ca="1" si="3"/>
        <v>58.82352941176471</v>
      </c>
      <c r="H78" s="5">
        <f ca="1">IFERROR(__xludf.DUMMYFUNCTION("IMPORTRANGE(""https://docs.google.com/spreadsheets/d/1rOGZhKHVnDGFqGTO7UNOJSkSJyQwVuEb2-yhWQit7lw/edit?gid=1540132670#gid=1540132670"", address(row($D76),column($D76),,,""DL&amp;CO-Q""))"),12)</f>
        <v>12</v>
      </c>
      <c r="I78" s="8">
        <f t="shared" ca="1" si="4"/>
        <v>52.173913043478258</v>
      </c>
      <c r="J78" s="5">
        <f ca="1">IFERROR(__xludf.DUMMYFUNCTION("IMPORTRANGE(""https://docs.google.com/spreadsheets/d/1rOGZhKHVnDGFqGTO7UNOJSkSJyQwVuEb2-yhWQit7lw/edit?gid=1833881194#gid=1833881194"", address(row($D76),column($D76),,,""ADSA-Q""))"),34)</f>
        <v>34</v>
      </c>
      <c r="K78" s="8">
        <f t="shared" ca="1" si="5"/>
        <v>80.952380952380949</v>
      </c>
      <c r="L78" s="5">
        <f ca="1">IFERROR(__xludf.DUMMYFUNCTION("IMPORTRANGE(""https://docs.google.com/spreadsheets/d/1rOGZhKHVnDGFqGTO7UNOJSkSJyQwVuEb2-yhWQit7lw/edit?gid=1675789617#gid=1675789617"", address(row($D76),column($D76),,,""JAVA-Q""))"),14)</f>
        <v>14</v>
      </c>
      <c r="M78" s="8">
        <f t="shared" ca="1" si="6"/>
        <v>100</v>
      </c>
      <c r="N78" s="5">
        <f ca="1">IFERROR(__xludf.DUMMYFUNCTION("IMPORTRANGE(""https://docs.google.com/spreadsheets/d/1rOGZhKHVnDGFqGTO7UNOJSkSJyQwVuEb2-yhWQit7lw/edit?gid=1695357766#gid=1695357766"", address(row($D76),column($D76),,,""FOSS LAB-Q""))"),6)</f>
        <v>6</v>
      </c>
      <c r="O78" s="8">
        <f t="shared" ca="1" si="7"/>
        <v>66.666666666666657</v>
      </c>
      <c r="P78" s="5">
        <f ca="1">IFERROR(__xludf.DUMMYFUNCTION("IMPORTRANGE(""https://docs.google.com/spreadsheets/d/1rOGZhKHVnDGFqGTO7UNOJSkSJyQwVuEb2-yhWQit7lw/edit?gid=1247110859#gid=1247110859"", address(row($D76),column($D76),,,""PP-Q""))"),6)</f>
        <v>6</v>
      </c>
      <c r="Q78" s="8">
        <f t="shared" ca="1" si="8"/>
        <v>33.333333333333329</v>
      </c>
      <c r="R78" s="5">
        <f ca="1">IFERROR(__xludf.DUMMYFUNCTION("IMPORTRANGE(""https://docs.google.com/spreadsheets/d/1rOGZhKHVnDGFqGTO7UNOJSkSJyQwVuEb2-yhWQit7lw/edit?gid=675135389#gid=675135389"", address(row($D76),column($D76),,,""NPTEL-Q""))"),6)</f>
        <v>6</v>
      </c>
      <c r="S78" s="5">
        <f t="shared" ca="1" si="9"/>
        <v>60</v>
      </c>
      <c r="T78" s="6">
        <f ca="1">IFERROR(__xludf.DUMMYFUNCTION("IMPORTRANGE(""https://docs.google.com/spreadsheets/d/1rOGZhKHVnDGFqGTO7UNOJSkSJyQwVuEb2-yhWQit7lw/edit?gid=290696378#gid=290696378"", address(row($D76),column($D76),,,""CRT-Q""))"),0)</f>
        <v>0</v>
      </c>
      <c r="U78" s="8" t="e">
        <f t="shared" ca="1" si="10"/>
        <v>#DIV/0!</v>
      </c>
      <c r="V78" s="6">
        <f t="shared" ca="1" si="0"/>
        <v>102</v>
      </c>
      <c r="W78" s="4">
        <f t="shared" ca="1" si="11"/>
        <v>63</v>
      </c>
      <c r="X78" s="4">
        <v>0</v>
      </c>
      <c r="Y78" s="4">
        <v>0</v>
      </c>
      <c r="Z78" s="4">
        <f t="shared" ca="1" si="1"/>
        <v>102</v>
      </c>
      <c r="AA78" s="10">
        <f t="shared" ca="1" si="12"/>
        <v>63</v>
      </c>
    </row>
    <row r="79" spans="1:27" ht="15.85" customHeight="1" x14ac:dyDescent="0.35">
      <c r="A79" s="8">
        <v>74</v>
      </c>
      <c r="B79" s="11"/>
      <c r="C79" s="21" t="s">
        <v>739</v>
      </c>
      <c r="D79" s="5">
        <f ca="1">IFERROR(__xludf.DUMMYFUNCTION("IMPORTRANGE(""https://docs.google.com/spreadsheets/d/1rOGZhKHVnDGFqGTO7UNOJSkSJyQwVuEb2-yhWQit7lw/edit?gid=99713220#gid=99713220"", address(row($D77),column($D77),,,""DM&amp;GT-Q""))"),13)</f>
        <v>13</v>
      </c>
      <c r="E79" s="8">
        <f t="shared" ca="1" si="2"/>
        <v>44.827586206896555</v>
      </c>
      <c r="F79" s="5">
        <f ca="1">IFERROR(__xludf.DUMMYFUNCTION("IMPORTRANGE(""https://docs.google.com/spreadsheets/d/1rOGZhKHVnDGFqGTO7UNOJSkSJyQwVuEb2-yhWQit7lw/edit?gid=1654206091#gid=1654206091"", address(row($D77),column($D77),,,""UHV-Q""))"),10)</f>
        <v>10</v>
      </c>
      <c r="G79" s="8">
        <f t="shared" ca="1" si="3"/>
        <v>58.82352941176471</v>
      </c>
      <c r="H79" s="5">
        <f ca="1">IFERROR(__xludf.DUMMYFUNCTION("IMPORTRANGE(""https://docs.google.com/spreadsheets/d/1rOGZhKHVnDGFqGTO7UNOJSkSJyQwVuEb2-yhWQit7lw/edit?gid=1540132670#gid=1540132670"", address(row($D77),column($D77),,,""DL&amp;CO-Q""))"),21)</f>
        <v>21</v>
      </c>
      <c r="I79" s="8">
        <f t="shared" ca="1" si="4"/>
        <v>91.304347826086953</v>
      </c>
      <c r="J79" s="5">
        <f ca="1">IFERROR(__xludf.DUMMYFUNCTION("IMPORTRANGE(""https://docs.google.com/spreadsheets/d/1rOGZhKHVnDGFqGTO7UNOJSkSJyQwVuEb2-yhWQit7lw/edit?gid=1833881194#gid=1833881194"", address(row($D77),column($D77),,,""ADSA-Q""))"),27)</f>
        <v>27</v>
      </c>
      <c r="K79" s="8">
        <f t="shared" ca="1" si="5"/>
        <v>64.285714285714292</v>
      </c>
      <c r="L79" s="5">
        <f ca="1">IFERROR(__xludf.DUMMYFUNCTION("IMPORTRANGE(""https://docs.google.com/spreadsheets/d/1rOGZhKHVnDGFqGTO7UNOJSkSJyQwVuEb2-yhWQit7lw/edit?gid=1675789617#gid=1675789617"", address(row($D77),column($D77),,,""JAVA-Q""))"),10)</f>
        <v>10</v>
      </c>
      <c r="M79" s="8">
        <f t="shared" ca="1" si="6"/>
        <v>71.428571428571431</v>
      </c>
      <c r="N79" s="5">
        <f ca="1">IFERROR(__xludf.DUMMYFUNCTION("IMPORTRANGE(""https://docs.google.com/spreadsheets/d/1rOGZhKHVnDGFqGTO7UNOJSkSJyQwVuEb2-yhWQit7lw/edit?gid=1695357766#gid=1695357766"", address(row($D77),column($D77),,,""FOSS LAB-Q""))"),9)</f>
        <v>9</v>
      </c>
      <c r="O79" s="8">
        <f t="shared" ca="1" si="7"/>
        <v>100</v>
      </c>
      <c r="P79" s="5">
        <f ca="1">IFERROR(__xludf.DUMMYFUNCTION("IMPORTRANGE(""https://docs.google.com/spreadsheets/d/1rOGZhKHVnDGFqGTO7UNOJSkSJyQwVuEb2-yhWQit7lw/edit?gid=1247110859#gid=1247110859"", address(row($D77),column($D77),,,""PP-Q""))"),16)</f>
        <v>16</v>
      </c>
      <c r="Q79" s="8">
        <f t="shared" ca="1" si="8"/>
        <v>88.888888888888886</v>
      </c>
      <c r="R79" s="5">
        <f ca="1">IFERROR(__xludf.DUMMYFUNCTION("IMPORTRANGE(""https://docs.google.com/spreadsheets/d/1rOGZhKHVnDGFqGTO7UNOJSkSJyQwVuEb2-yhWQit7lw/edit?gid=675135389#gid=675135389"", address(row($D77),column($D77),,,""NPTEL-Q""))"),6)</f>
        <v>6</v>
      </c>
      <c r="S79" s="5">
        <f t="shared" ca="1" si="9"/>
        <v>60</v>
      </c>
      <c r="T79" s="6">
        <f ca="1">IFERROR(__xludf.DUMMYFUNCTION("IMPORTRANGE(""https://docs.google.com/spreadsheets/d/1rOGZhKHVnDGFqGTO7UNOJSkSJyQwVuEb2-yhWQit7lw/edit?gid=290696378#gid=290696378"", address(row($D77),column($D77),,,""CRT-Q""))"),0)</f>
        <v>0</v>
      </c>
      <c r="U79" s="8" t="e">
        <f t="shared" ca="1" si="10"/>
        <v>#DIV/0!</v>
      </c>
      <c r="V79" s="6">
        <f t="shared" ca="1" si="0"/>
        <v>112</v>
      </c>
      <c r="W79" s="4">
        <f t="shared" ca="1" si="11"/>
        <v>69</v>
      </c>
      <c r="X79" s="4">
        <v>0</v>
      </c>
      <c r="Y79" s="4">
        <v>0</v>
      </c>
      <c r="Z79" s="4">
        <f t="shared" ca="1" si="1"/>
        <v>112</v>
      </c>
      <c r="AA79" s="10">
        <f t="shared" ca="1" si="12"/>
        <v>69</v>
      </c>
    </row>
    <row r="80" spans="1:27" ht="15.85" customHeight="1" x14ac:dyDescent="0.3">
      <c r="Y80" s="12"/>
      <c r="Z80" s="12"/>
      <c r="AA80" s="12"/>
    </row>
    <row r="81" spans="2:27" ht="15.85" customHeight="1" x14ac:dyDescent="0.3">
      <c r="B81" s="26" t="s">
        <v>740</v>
      </c>
      <c r="C81" s="24"/>
      <c r="Y81" s="12"/>
      <c r="Z81" s="12"/>
      <c r="AA81" s="12"/>
    </row>
    <row r="82" spans="2:27" ht="15.85" customHeight="1" x14ac:dyDescent="0.3">
      <c r="B82" s="13" t="s">
        <v>170</v>
      </c>
      <c r="C82" s="14">
        <f ca="1">COUNTIF(AA6:AA79,"&gt;=75")</f>
        <v>28</v>
      </c>
      <c r="Y82" s="12"/>
      <c r="Z82" s="12"/>
      <c r="AA82" s="12"/>
    </row>
    <row r="83" spans="2:27" ht="15.85" customHeight="1" x14ac:dyDescent="0.3">
      <c r="B83" s="13" t="s">
        <v>171</v>
      </c>
      <c r="C83" s="14">
        <f ca="1">COUNTIFS(AA6:AA79,"&gt;=65",AA6:AA79,"&lt;75")</f>
        <v>18</v>
      </c>
      <c r="Y83" s="12"/>
      <c r="Z83" s="12"/>
      <c r="AA83" s="12"/>
    </row>
    <row r="84" spans="2:27" ht="15.85" customHeight="1" x14ac:dyDescent="0.3">
      <c r="B84" s="13" t="s">
        <v>172</v>
      </c>
      <c r="C84" s="14">
        <f ca="1">COUNTIFS(AA6:AA79,"&gt;=50",AA6:AA79,"&lt;65")</f>
        <v>17</v>
      </c>
      <c r="Y84" s="12"/>
      <c r="Z84" s="12"/>
      <c r="AA84" s="12"/>
    </row>
    <row r="85" spans="2:27" ht="15.85" customHeight="1" x14ac:dyDescent="0.3">
      <c r="B85" s="13" t="s">
        <v>173</v>
      </c>
      <c r="C85" s="14">
        <f ca="1">COUNTIFS(AA6:AA79,"&gt;=25",AA6:AA79,"&lt;50")</f>
        <v>10</v>
      </c>
      <c r="Y85" s="12"/>
      <c r="Z85" s="12"/>
      <c r="AA85" s="12"/>
    </row>
    <row r="86" spans="2:27" ht="15.85" customHeight="1" x14ac:dyDescent="0.3">
      <c r="B86" s="13" t="s">
        <v>174</v>
      </c>
      <c r="C86" s="14">
        <f ca="1">COUNTIFS(AA6:AA79,"&gt;=1",AA6:AA79,"&lt;25")</f>
        <v>1</v>
      </c>
      <c r="Y86" s="12"/>
      <c r="Z86" s="12"/>
      <c r="AA86" s="12"/>
    </row>
    <row r="87" spans="2:27" ht="15.85" customHeight="1" x14ac:dyDescent="0.3">
      <c r="B87" s="13">
        <f>0</f>
        <v>0</v>
      </c>
      <c r="C87" s="15">
        <f ca="1">COUNTIFS(AA6:AA79,"=0")</f>
        <v>0</v>
      </c>
      <c r="Y87" s="12"/>
      <c r="Z87" s="12"/>
      <c r="AA87" s="12"/>
    </row>
    <row r="88" spans="2:27" ht="15.85" customHeight="1" x14ac:dyDescent="0.3">
      <c r="B88" s="16"/>
      <c r="C88" s="16">
        <f ca="1">SUM(C82:C87)</f>
        <v>74</v>
      </c>
      <c r="Y88" s="12"/>
      <c r="Z88" s="12"/>
      <c r="AA88" s="12"/>
    </row>
    <row r="89" spans="2:27" ht="15.85" customHeight="1" x14ac:dyDescent="0.3">
      <c r="Y89" s="12"/>
      <c r="Z89" s="12"/>
      <c r="AA89" s="12"/>
    </row>
    <row r="90" spans="2:27" ht="15.85" customHeight="1" x14ac:dyDescent="0.3">
      <c r="Y90" s="12"/>
      <c r="Z90" s="12"/>
      <c r="AA90" s="12"/>
    </row>
    <row r="91" spans="2:27" ht="15.85" customHeight="1" x14ac:dyDescent="0.3">
      <c r="Y91" s="12"/>
      <c r="Z91" s="12"/>
      <c r="AA91" s="12"/>
    </row>
    <row r="92" spans="2:27" ht="15.85" customHeight="1" x14ac:dyDescent="0.3">
      <c r="Y92" s="12"/>
      <c r="Z92" s="12"/>
      <c r="AA92" s="12"/>
    </row>
    <row r="93" spans="2:27" ht="15.85" customHeight="1" x14ac:dyDescent="0.3">
      <c r="Y93" s="12"/>
      <c r="Z93" s="12"/>
      <c r="AA93" s="12"/>
    </row>
    <row r="94" spans="2:27" ht="15.85" customHeight="1" x14ac:dyDescent="0.3">
      <c r="Y94" s="12"/>
      <c r="Z94" s="12"/>
      <c r="AA94" s="12"/>
    </row>
    <row r="95" spans="2:27" ht="15.85" customHeight="1" x14ac:dyDescent="0.3">
      <c r="Y95" s="12"/>
      <c r="Z95" s="12"/>
      <c r="AA95" s="12"/>
    </row>
    <row r="96" spans="2:27" ht="15.85" customHeight="1" x14ac:dyDescent="0.3">
      <c r="Y96" s="12"/>
      <c r="Z96" s="12"/>
      <c r="AA96" s="12"/>
    </row>
    <row r="97" spans="25:27" ht="15.85" customHeight="1" x14ac:dyDescent="0.3">
      <c r="Y97" s="12"/>
      <c r="Z97" s="12"/>
      <c r="AA97" s="12"/>
    </row>
    <row r="98" spans="25:27" ht="15.85" customHeight="1" x14ac:dyDescent="0.3">
      <c r="Y98" s="12"/>
      <c r="Z98" s="12"/>
      <c r="AA98" s="12"/>
    </row>
    <row r="99" spans="25:27" ht="15.85" customHeight="1" x14ac:dyDescent="0.3">
      <c r="Y99" s="12"/>
      <c r="Z99" s="12"/>
      <c r="AA99" s="12"/>
    </row>
    <row r="100" spans="25:27" ht="15.85" customHeight="1" x14ac:dyDescent="0.3">
      <c r="Y100" s="12"/>
      <c r="Z100" s="12"/>
      <c r="AA100" s="12"/>
    </row>
    <row r="101" spans="25:27" ht="15.85" customHeight="1" x14ac:dyDescent="0.3">
      <c r="Y101" s="12"/>
      <c r="Z101" s="12"/>
      <c r="AA101" s="12"/>
    </row>
    <row r="102" spans="25:27" ht="15.85" customHeight="1" x14ac:dyDescent="0.3">
      <c r="Y102" s="12"/>
      <c r="Z102" s="12"/>
      <c r="AA102" s="12"/>
    </row>
    <row r="103" spans="25:27" ht="15.85" customHeight="1" x14ac:dyDescent="0.3">
      <c r="Y103" s="12"/>
      <c r="Z103" s="12"/>
      <c r="AA103" s="12"/>
    </row>
    <row r="104" spans="25:27" ht="15.85" customHeight="1" x14ac:dyDescent="0.3">
      <c r="Y104" s="12"/>
      <c r="Z104" s="12"/>
      <c r="AA104" s="12"/>
    </row>
    <row r="105" spans="25:27" ht="15.85" customHeight="1" x14ac:dyDescent="0.3">
      <c r="Y105" s="12"/>
      <c r="Z105" s="12"/>
      <c r="AA105" s="12"/>
    </row>
    <row r="106" spans="25:27" ht="15.85" customHeight="1" x14ac:dyDescent="0.3">
      <c r="Y106" s="12"/>
      <c r="Z106" s="12"/>
      <c r="AA106" s="12"/>
    </row>
    <row r="107" spans="25:27" ht="15.85" customHeight="1" x14ac:dyDescent="0.3">
      <c r="Y107" s="12"/>
      <c r="Z107" s="12"/>
      <c r="AA107" s="12"/>
    </row>
    <row r="108" spans="25:27" ht="15.85" customHeight="1" x14ac:dyDescent="0.3">
      <c r="Y108" s="12"/>
      <c r="Z108" s="12"/>
      <c r="AA108" s="12"/>
    </row>
    <row r="109" spans="25:27" ht="15.85" customHeight="1" x14ac:dyDescent="0.3">
      <c r="Y109" s="12"/>
      <c r="Z109" s="12"/>
      <c r="AA109" s="12"/>
    </row>
    <row r="110" spans="25:27" ht="15.85" customHeight="1" x14ac:dyDescent="0.3">
      <c r="Y110" s="12"/>
      <c r="Z110" s="12"/>
      <c r="AA110" s="12"/>
    </row>
    <row r="111" spans="25:27" ht="15.85" customHeight="1" x14ac:dyDescent="0.3">
      <c r="Y111" s="12"/>
      <c r="Z111" s="12"/>
      <c r="AA111" s="12"/>
    </row>
    <row r="112" spans="25:27" ht="15.85" customHeight="1" x14ac:dyDescent="0.3">
      <c r="Y112" s="12"/>
      <c r="Z112" s="12"/>
      <c r="AA112" s="12"/>
    </row>
    <row r="113" spans="25:27" ht="15.85" customHeight="1" x14ac:dyDescent="0.3">
      <c r="Y113" s="12"/>
      <c r="Z113" s="12"/>
      <c r="AA113" s="12"/>
    </row>
    <row r="114" spans="25:27" ht="15.85" customHeight="1" x14ac:dyDescent="0.3">
      <c r="Y114" s="12"/>
      <c r="Z114" s="12"/>
      <c r="AA114" s="12"/>
    </row>
    <row r="115" spans="25:27" ht="15.85" customHeight="1" x14ac:dyDescent="0.3">
      <c r="Y115" s="12"/>
      <c r="Z115" s="12"/>
      <c r="AA115" s="12"/>
    </row>
    <row r="116" spans="25:27" ht="15.85" customHeight="1" x14ac:dyDescent="0.3">
      <c r="Y116" s="12"/>
      <c r="Z116" s="12"/>
      <c r="AA116" s="12"/>
    </row>
    <row r="117" spans="25:27" ht="15.85" customHeight="1" x14ac:dyDescent="0.3">
      <c r="Y117" s="12"/>
      <c r="Z117" s="12"/>
      <c r="AA117" s="12"/>
    </row>
    <row r="118" spans="25:27" ht="15.85" customHeight="1" x14ac:dyDescent="0.3">
      <c r="Y118" s="12"/>
      <c r="Z118" s="12"/>
      <c r="AA118" s="12"/>
    </row>
    <row r="119" spans="25:27" ht="15.85" customHeight="1" x14ac:dyDescent="0.3">
      <c r="Y119" s="12"/>
      <c r="Z119" s="12"/>
      <c r="AA119" s="12"/>
    </row>
    <row r="120" spans="25:27" ht="15.85" customHeight="1" x14ac:dyDescent="0.3">
      <c r="Y120" s="12"/>
      <c r="Z120" s="12"/>
      <c r="AA120" s="12"/>
    </row>
    <row r="121" spans="25:27" ht="15.85" customHeight="1" x14ac:dyDescent="0.3">
      <c r="Y121" s="12"/>
      <c r="Z121" s="12"/>
      <c r="AA121" s="12"/>
    </row>
    <row r="122" spans="25:27" ht="15.85" customHeight="1" x14ac:dyDescent="0.3">
      <c r="Y122" s="12"/>
      <c r="Z122" s="12"/>
      <c r="AA122" s="12"/>
    </row>
    <row r="123" spans="25:27" ht="15.85" customHeight="1" x14ac:dyDescent="0.3">
      <c r="Y123" s="12"/>
      <c r="Z123" s="12"/>
      <c r="AA123" s="12"/>
    </row>
    <row r="124" spans="25:27" ht="15.85" customHeight="1" x14ac:dyDescent="0.3">
      <c r="Y124" s="12"/>
      <c r="Z124" s="12"/>
      <c r="AA124" s="12"/>
    </row>
    <row r="125" spans="25:27" ht="15.85" customHeight="1" x14ac:dyDescent="0.3">
      <c r="Y125" s="12"/>
      <c r="Z125" s="12"/>
      <c r="AA125" s="12"/>
    </row>
    <row r="126" spans="25:27" ht="15.85" customHeight="1" x14ac:dyDescent="0.3">
      <c r="Y126" s="12"/>
      <c r="Z126" s="12"/>
      <c r="AA126" s="12"/>
    </row>
    <row r="127" spans="25:27" ht="15.85" customHeight="1" x14ac:dyDescent="0.3">
      <c r="Y127" s="12"/>
      <c r="Z127" s="12"/>
      <c r="AA127" s="12"/>
    </row>
    <row r="128" spans="25:27" ht="15.85" customHeight="1" x14ac:dyDescent="0.3">
      <c r="Y128" s="12"/>
      <c r="Z128" s="12"/>
      <c r="AA128" s="12"/>
    </row>
    <row r="129" spans="25:27" ht="15.85" customHeight="1" x14ac:dyDescent="0.3">
      <c r="Y129" s="12"/>
      <c r="Z129" s="12"/>
      <c r="AA129" s="12"/>
    </row>
    <row r="130" spans="25:27" ht="15.85" customHeight="1" x14ac:dyDescent="0.3">
      <c r="Y130" s="12"/>
      <c r="Z130" s="12"/>
      <c r="AA130" s="12"/>
    </row>
    <row r="131" spans="25:27" ht="15.85" customHeight="1" x14ac:dyDescent="0.3">
      <c r="Y131" s="12"/>
      <c r="Z131" s="12"/>
      <c r="AA131" s="12"/>
    </row>
    <row r="132" spans="25:27" ht="15.85" customHeight="1" x14ac:dyDescent="0.3">
      <c r="Y132" s="12"/>
      <c r="Z132" s="12"/>
      <c r="AA132" s="12"/>
    </row>
    <row r="133" spans="25:27" ht="15.85" customHeight="1" x14ac:dyDescent="0.3">
      <c r="Y133" s="12"/>
      <c r="Z133" s="12"/>
      <c r="AA133" s="12"/>
    </row>
    <row r="134" spans="25:27" ht="15.85" customHeight="1" x14ac:dyDescent="0.3">
      <c r="Y134" s="12"/>
      <c r="Z134" s="12"/>
      <c r="AA134" s="12"/>
    </row>
    <row r="135" spans="25:27" ht="15.85" customHeight="1" x14ac:dyDescent="0.3">
      <c r="Y135" s="12"/>
      <c r="Z135" s="12"/>
      <c r="AA135" s="12"/>
    </row>
    <row r="136" spans="25:27" ht="15.85" customHeight="1" x14ac:dyDescent="0.3">
      <c r="Y136" s="12"/>
      <c r="Z136" s="12"/>
      <c r="AA136" s="12"/>
    </row>
    <row r="137" spans="25:27" ht="15.85" customHeight="1" x14ac:dyDescent="0.3">
      <c r="Y137" s="12"/>
      <c r="Z137" s="12"/>
      <c r="AA137" s="12"/>
    </row>
    <row r="138" spans="25:27" ht="15.85" customHeight="1" x14ac:dyDescent="0.3">
      <c r="Y138" s="12"/>
      <c r="Z138" s="12"/>
      <c r="AA138" s="12"/>
    </row>
    <row r="139" spans="25:27" ht="15.85" customHeight="1" x14ac:dyDescent="0.3">
      <c r="Y139" s="12"/>
      <c r="Z139" s="12"/>
      <c r="AA139" s="12"/>
    </row>
    <row r="140" spans="25:27" ht="15.85" customHeight="1" x14ac:dyDescent="0.3">
      <c r="Y140" s="12"/>
      <c r="Z140" s="12"/>
      <c r="AA140" s="12"/>
    </row>
    <row r="141" spans="25:27" ht="15.85" customHeight="1" x14ac:dyDescent="0.3">
      <c r="Y141" s="12"/>
      <c r="Z141" s="12"/>
      <c r="AA141" s="12"/>
    </row>
    <row r="142" spans="25:27" ht="15.85" customHeight="1" x14ac:dyDescent="0.3">
      <c r="Y142" s="12"/>
      <c r="Z142" s="12"/>
      <c r="AA142" s="12"/>
    </row>
    <row r="143" spans="25:27" ht="15.85" customHeight="1" x14ac:dyDescent="0.3">
      <c r="Y143" s="12"/>
      <c r="Z143" s="12"/>
      <c r="AA143" s="12"/>
    </row>
    <row r="144" spans="25:27" ht="15.85" customHeight="1" x14ac:dyDescent="0.3">
      <c r="Y144" s="12"/>
      <c r="Z144" s="12"/>
      <c r="AA144" s="12"/>
    </row>
    <row r="145" spans="25:27" ht="15.85" customHeight="1" x14ac:dyDescent="0.3">
      <c r="Y145" s="12"/>
      <c r="Z145" s="12"/>
      <c r="AA145" s="12"/>
    </row>
    <row r="146" spans="25:27" ht="15.85" customHeight="1" x14ac:dyDescent="0.3">
      <c r="Y146" s="12"/>
      <c r="Z146" s="12"/>
      <c r="AA146" s="12"/>
    </row>
    <row r="147" spans="25:27" ht="15.85" customHeight="1" x14ac:dyDescent="0.3">
      <c r="Y147" s="12"/>
      <c r="Z147" s="12"/>
      <c r="AA147" s="12"/>
    </row>
    <row r="148" spans="25:27" ht="15.85" customHeight="1" x14ac:dyDescent="0.3">
      <c r="Y148" s="12"/>
      <c r="Z148" s="12"/>
      <c r="AA148" s="12"/>
    </row>
    <row r="149" spans="25:27" ht="15.85" customHeight="1" x14ac:dyDescent="0.3">
      <c r="Y149" s="12"/>
      <c r="Z149" s="12"/>
      <c r="AA149" s="12"/>
    </row>
    <row r="150" spans="25:27" ht="15.85" customHeight="1" x14ac:dyDescent="0.3">
      <c r="Y150" s="12"/>
      <c r="Z150" s="12"/>
      <c r="AA150" s="12"/>
    </row>
    <row r="151" spans="25:27" ht="15.85" customHeight="1" x14ac:dyDescent="0.3">
      <c r="Y151" s="12"/>
      <c r="Z151" s="12"/>
      <c r="AA151" s="12"/>
    </row>
    <row r="152" spans="25:27" ht="15.85" customHeight="1" x14ac:dyDescent="0.3">
      <c r="Y152" s="12"/>
      <c r="Z152" s="12"/>
      <c r="AA152" s="12"/>
    </row>
    <row r="153" spans="25:27" ht="15.85" customHeight="1" x14ac:dyDescent="0.3">
      <c r="Y153" s="12"/>
      <c r="Z153" s="12"/>
      <c r="AA153" s="12"/>
    </row>
    <row r="154" spans="25:27" ht="15.85" customHeight="1" x14ac:dyDescent="0.3">
      <c r="Y154" s="12"/>
      <c r="Z154" s="12"/>
      <c r="AA154" s="12"/>
    </row>
    <row r="155" spans="25:27" ht="15.85" customHeight="1" x14ac:dyDescent="0.3">
      <c r="Y155" s="12"/>
      <c r="Z155" s="12"/>
      <c r="AA155" s="12"/>
    </row>
    <row r="156" spans="25:27" ht="15.85" customHeight="1" x14ac:dyDescent="0.3">
      <c r="Y156" s="12"/>
      <c r="Z156" s="12"/>
      <c r="AA156" s="12"/>
    </row>
    <row r="157" spans="25:27" ht="15.85" customHeight="1" x14ac:dyDescent="0.3">
      <c r="Y157" s="12"/>
      <c r="Z157" s="12"/>
      <c r="AA157" s="12"/>
    </row>
    <row r="158" spans="25:27" ht="15.85" customHeight="1" x14ac:dyDescent="0.3">
      <c r="Y158" s="12"/>
      <c r="Z158" s="12"/>
      <c r="AA158" s="12"/>
    </row>
    <row r="159" spans="25:27" ht="15.85" customHeight="1" x14ac:dyDescent="0.3">
      <c r="Y159" s="12"/>
      <c r="Z159" s="12"/>
      <c r="AA159" s="12"/>
    </row>
    <row r="160" spans="25:27" ht="15.85" customHeight="1" x14ac:dyDescent="0.3">
      <c r="Y160" s="12"/>
      <c r="Z160" s="12"/>
      <c r="AA160" s="12"/>
    </row>
    <row r="161" spans="25:27" ht="15.85" customHeight="1" x14ac:dyDescent="0.3">
      <c r="Y161" s="12"/>
      <c r="Z161" s="12"/>
      <c r="AA161" s="12"/>
    </row>
    <row r="162" spans="25:27" ht="15.85" customHeight="1" x14ac:dyDescent="0.3">
      <c r="Y162" s="12"/>
      <c r="Z162" s="12"/>
      <c r="AA162" s="12"/>
    </row>
    <row r="163" spans="25:27" ht="15.85" customHeight="1" x14ac:dyDescent="0.3">
      <c r="Y163" s="12"/>
      <c r="Z163" s="12"/>
      <c r="AA163" s="12"/>
    </row>
    <row r="164" spans="25:27" ht="15.85" customHeight="1" x14ac:dyDescent="0.3">
      <c r="Y164" s="12"/>
      <c r="Z164" s="12"/>
      <c r="AA164" s="12"/>
    </row>
    <row r="165" spans="25:27" ht="15.85" customHeight="1" x14ac:dyDescent="0.3">
      <c r="Y165" s="12"/>
      <c r="Z165" s="12"/>
      <c r="AA165" s="12"/>
    </row>
    <row r="166" spans="25:27" ht="15.85" customHeight="1" x14ac:dyDescent="0.3">
      <c r="Y166" s="12"/>
      <c r="Z166" s="12"/>
      <c r="AA166" s="12"/>
    </row>
    <row r="167" spans="25:27" ht="15.85" customHeight="1" x14ac:dyDescent="0.3">
      <c r="Y167" s="12"/>
      <c r="Z167" s="12"/>
      <c r="AA167" s="12"/>
    </row>
    <row r="168" spans="25:27" ht="15.85" customHeight="1" x14ac:dyDescent="0.3">
      <c r="Y168" s="12"/>
      <c r="Z168" s="12"/>
      <c r="AA168" s="12"/>
    </row>
    <row r="169" spans="25:27" ht="15.85" customHeight="1" x14ac:dyDescent="0.3">
      <c r="Y169" s="12"/>
      <c r="Z169" s="12"/>
      <c r="AA169" s="12"/>
    </row>
    <row r="170" spans="25:27" ht="15.85" customHeight="1" x14ac:dyDescent="0.3">
      <c r="Y170" s="12"/>
      <c r="Z170" s="12"/>
      <c r="AA170" s="12"/>
    </row>
    <row r="171" spans="25:27" ht="15.85" customHeight="1" x14ac:dyDescent="0.3">
      <c r="Y171" s="12"/>
      <c r="Z171" s="12"/>
      <c r="AA171" s="12"/>
    </row>
    <row r="172" spans="25:27" ht="15.85" customHeight="1" x14ac:dyDescent="0.3">
      <c r="Y172" s="12"/>
      <c r="Z172" s="12"/>
      <c r="AA172" s="12"/>
    </row>
    <row r="173" spans="25:27" ht="15.85" customHeight="1" x14ac:dyDescent="0.3">
      <c r="Y173" s="12"/>
      <c r="Z173" s="12"/>
      <c r="AA173" s="12"/>
    </row>
    <row r="174" spans="25:27" ht="15.85" customHeight="1" x14ac:dyDescent="0.3">
      <c r="Y174" s="12"/>
      <c r="Z174" s="12"/>
      <c r="AA174" s="12"/>
    </row>
    <row r="175" spans="25:27" ht="15.85" customHeight="1" x14ac:dyDescent="0.3">
      <c r="Y175" s="12"/>
      <c r="Z175" s="12"/>
      <c r="AA175" s="12"/>
    </row>
    <row r="176" spans="25:27" ht="15.85" customHeight="1" x14ac:dyDescent="0.3">
      <c r="Y176" s="12"/>
      <c r="Z176" s="12"/>
      <c r="AA176" s="12"/>
    </row>
    <row r="177" spans="25:27" ht="15.85" customHeight="1" x14ac:dyDescent="0.3">
      <c r="Y177" s="12"/>
      <c r="Z177" s="12"/>
      <c r="AA177" s="12"/>
    </row>
    <row r="178" spans="25:27" ht="15.85" customHeight="1" x14ac:dyDescent="0.3">
      <c r="Y178" s="12"/>
      <c r="Z178" s="12"/>
      <c r="AA178" s="12"/>
    </row>
    <row r="179" spans="25:27" ht="15.85" customHeight="1" x14ac:dyDescent="0.3">
      <c r="Y179" s="12"/>
      <c r="Z179" s="12"/>
      <c r="AA179" s="12"/>
    </row>
    <row r="180" spans="25:27" ht="15.85" customHeight="1" x14ac:dyDescent="0.3">
      <c r="Y180" s="12"/>
      <c r="Z180" s="12"/>
      <c r="AA180" s="12"/>
    </row>
    <row r="181" spans="25:27" ht="15.85" customHeight="1" x14ac:dyDescent="0.3">
      <c r="Y181" s="12"/>
      <c r="Z181" s="12"/>
      <c r="AA181" s="12"/>
    </row>
    <row r="182" spans="25:27" ht="15.85" customHeight="1" x14ac:dyDescent="0.3">
      <c r="Y182" s="12"/>
      <c r="Z182" s="12"/>
      <c r="AA182" s="12"/>
    </row>
    <row r="183" spans="25:27" ht="15.85" customHeight="1" x14ac:dyDescent="0.3">
      <c r="Y183" s="12"/>
      <c r="Z183" s="12"/>
      <c r="AA183" s="12"/>
    </row>
    <row r="184" spans="25:27" ht="15.85" customHeight="1" x14ac:dyDescent="0.3">
      <c r="Y184" s="12"/>
      <c r="Z184" s="12"/>
      <c r="AA184" s="12"/>
    </row>
    <row r="185" spans="25:27" ht="15.85" customHeight="1" x14ac:dyDescent="0.3">
      <c r="Y185" s="12"/>
      <c r="Z185" s="12"/>
      <c r="AA185" s="12"/>
    </row>
    <row r="186" spans="25:27" ht="15.85" customHeight="1" x14ac:dyDescent="0.3">
      <c r="Y186" s="12"/>
      <c r="Z186" s="12"/>
      <c r="AA186" s="12"/>
    </row>
    <row r="187" spans="25:27" ht="15.85" customHeight="1" x14ac:dyDescent="0.3">
      <c r="Y187" s="12"/>
      <c r="Z187" s="12"/>
      <c r="AA187" s="12"/>
    </row>
    <row r="188" spans="25:27" ht="15.85" customHeight="1" x14ac:dyDescent="0.3">
      <c r="Y188" s="12"/>
      <c r="Z188" s="12"/>
      <c r="AA188" s="12"/>
    </row>
    <row r="189" spans="25:27" ht="15.85" customHeight="1" x14ac:dyDescent="0.3">
      <c r="Y189" s="12"/>
      <c r="Z189" s="12"/>
      <c r="AA189" s="12"/>
    </row>
    <row r="190" spans="25:27" ht="15.85" customHeight="1" x14ac:dyDescent="0.3">
      <c r="Y190" s="12"/>
      <c r="Z190" s="12"/>
      <c r="AA190" s="12"/>
    </row>
    <row r="191" spans="25:27" ht="15.85" customHeight="1" x14ac:dyDescent="0.3">
      <c r="Y191" s="12"/>
      <c r="Z191" s="12"/>
      <c r="AA191" s="12"/>
    </row>
    <row r="192" spans="25:27" ht="15.85" customHeight="1" x14ac:dyDescent="0.3">
      <c r="Y192" s="12"/>
      <c r="Z192" s="12"/>
      <c r="AA192" s="12"/>
    </row>
    <row r="193" spans="25:27" ht="15.85" customHeight="1" x14ac:dyDescent="0.3">
      <c r="Y193" s="12"/>
      <c r="Z193" s="12"/>
      <c r="AA193" s="12"/>
    </row>
    <row r="194" spans="25:27" ht="15.85" customHeight="1" x14ac:dyDescent="0.3">
      <c r="Y194" s="12"/>
      <c r="Z194" s="12"/>
      <c r="AA194" s="12"/>
    </row>
    <row r="195" spans="25:27" ht="15.85" customHeight="1" x14ac:dyDescent="0.3">
      <c r="Y195" s="12"/>
      <c r="Z195" s="12"/>
      <c r="AA195" s="12"/>
    </row>
    <row r="196" spans="25:27" ht="15.85" customHeight="1" x14ac:dyDescent="0.3">
      <c r="Y196" s="12"/>
      <c r="Z196" s="12"/>
      <c r="AA196" s="12"/>
    </row>
    <row r="197" spans="25:27" ht="15.85" customHeight="1" x14ac:dyDescent="0.3">
      <c r="Y197" s="12"/>
      <c r="Z197" s="12"/>
      <c r="AA197" s="12"/>
    </row>
    <row r="198" spans="25:27" ht="15.85" customHeight="1" x14ac:dyDescent="0.3">
      <c r="Y198" s="12"/>
      <c r="Z198" s="12"/>
      <c r="AA198" s="12"/>
    </row>
    <row r="199" spans="25:27" ht="15.85" customHeight="1" x14ac:dyDescent="0.3">
      <c r="Y199" s="12"/>
      <c r="Z199" s="12"/>
      <c r="AA199" s="12"/>
    </row>
    <row r="200" spans="25:27" ht="15.85" customHeight="1" x14ac:dyDescent="0.3">
      <c r="Y200" s="12"/>
      <c r="Z200" s="12"/>
      <c r="AA200" s="12"/>
    </row>
    <row r="201" spans="25:27" ht="15.85" customHeight="1" x14ac:dyDescent="0.3">
      <c r="Y201" s="12"/>
      <c r="Z201" s="12"/>
      <c r="AA201" s="12"/>
    </row>
    <row r="202" spans="25:27" ht="15.85" customHeight="1" x14ac:dyDescent="0.3">
      <c r="Y202" s="12"/>
      <c r="Z202" s="12"/>
      <c r="AA202" s="12"/>
    </row>
    <row r="203" spans="25:27" ht="15.85" customHeight="1" x14ac:dyDescent="0.3">
      <c r="Y203" s="12"/>
      <c r="Z203" s="12"/>
      <c r="AA203" s="12"/>
    </row>
    <row r="204" spans="25:27" ht="15.85" customHeight="1" x14ac:dyDescent="0.3">
      <c r="Y204" s="12"/>
      <c r="Z204" s="12"/>
      <c r="AA204" s="12"/>
    </row>
    <row r="205" spans="25:27" ht="15.85" customHeight="1" x14ac:dyDescent="0.3">
      <c r="Y205" s="12"/>
      <c r="Z205" s="12"/>
      <c r="AA205" s="12"/>
    </row>
    <row r="206" spans="25:27" ht="15.85" customHeight="1" x14ac:dyDescent="0.3">
      <c r="Y206" s="12"/>
      <c r="Z206" s="12"/>
      <c r="AA206" s="12"/>
    </row>
    <row r="207" spans="25:27" ht="15.85" customHeight="1" x14ac:dyDescent="0.3">
      <c r="Y207" s="12"/>
      <c r="Z207" s="12"/>
      <c r="AA207" s="12"/>
    </row>
    <row r="208" spans="25:27" ht="15.85" customHeight="1" x14ac:dyDescent="0.3">
      <c r="Y208" s="12"/>
      <c r="Z208" s="12"/>
      <c r="AA208" s="12"/>
    </row>
    <row r="209" spans="25:27" ht="15.85" customHeight="1" x14ac:dyDescent="0.3">
      <c r="Y209" s="12"/>
      <c r="Z209" s="12"/>
      <c r="AA209" s="12"/>
    </row>
    <row r="210" spans="25:27" ht="15.85" customHeight="1" x14ac:dyDescent="0.3">
      <c r="Y210" s="12"/>
      <c r="Z210" s="12"/>
      <c r="AA210" s="12"/>
    </row>
    <row r="211" spans="25:27" ht="15.85" customHeight="1" x14ac:dyDescent="0.3">
      <c r="Y211" s="12"/>
      <c r="Z211" s="12"/>
      <c r="AA211" s="12"/>
    </row>
    <row r="212" spans="25:27" ht="15.85" customHeight="1" x14ac:dyDescent="0.3">
      <c r="Y212" s="12"/>
      <c r="Z212" s="12"/>
      <c r="AA212" s="12"/>
    </row>
    <row r="213" spans="25:27" ht="15.85" customHeight="1" x14ac:dyDescent="0.3">
      <c r="Y213" s="12"/>
      <c r="Z213" s="12"/>
      <c r="AA213" s="12"/>
    </row>
    <row r="214" spans="25:27" ht="15.85" customHeight="1" x14ac:dyDescent="0.3">
      <c r="Y214" s="12"/>
      <c r="Z214" s="12"/>
      <c r="AA214" s="12"/>
    </row>
    <row r="215" spans="25:27" ht="15.85" customHeight="1" x14ac:dyDescent="0.3">
      <c r="Y215" s="12"/>
      <c r="Z215" s="12"/>
      <c r="AA215" s="12"/>
    </row>
    <row r="216" spans="25:27" ht="15.85" customHeight="1" x14ac:dyDescent="0.3">
      <c r="Y216" s="12"/>
      <c r="Z216" s="12"/>
      <c r="AA216" s="12"/>
    </row>
    <row r="217" spans="25:27" ht="15.85" customHeight="1" x14ac:dyDescent="0.3">
      <c r="Y217" s="12"/>
      <c r="Z217" s="12"/>
      <c r="AA217" s="12"/>
    </row>
    <row r="218" spans="25:27" ht="15.85" customHeight="1" x14ac:dyDescent="0.3">
      <c r="Y218" s="12"/>
      <c r="Z218" s="12"/>
      <c r="AA218" s="12"/>
    </row>
    <row r="219" spans="25:27" ht="15.85" customHeight="1" x14ac:dyDescent="0.3">
      <c r="Y219" s="12"/>
      <c r="Z219" s="12"/>
      <c r="AA219" s="12"/>
    </row>
    <row r="220" spans="25:27" ht="15.85" customHeight="1" x14ac:dyDescent="0.3">
      <c r="Y220" s="12"/>
      <c r="Z220" s="12"/>
      <c r="AA220" s="12"/>
    </row>
    <row r="221" spans="25:27" ht="15.85" customHeight="1" x14ac:dyDescent="0.3">
      <c r="Y221" s="12"/>
      <c r="Z221" s="12"/>
      <c r="AA221" s="12"/>
    </row>
    <row r="222" spans="25:27" ht="15.85" customHeight="1" x14ac:dyDescent="0.3">
      <c r="Y222" s="12"/>
      <c r="Z222" s="12"/>
      <c r="AA222" s="12"/>
    </row>
    <row r="223" spans="25:27" ht="15.85" customHeight="1" x14ac:dyDescent="0.3">
      <c r="Y223" s="12"/>
      <c r="Z223" s="12"/>
      <c r="AA223" s="12"/>
    </row>
    <row r="224" spans="25:27" ht="15.85" customHeight="1" x14ac:dyDescent="0.3">
      <c r="Y224" s="12"/>
      <c r="Z224" s="12"/>
      <c r="AA224" s="12"/>
    </row>
    <row r="225" spans="25:27" ht="15.85" customHeight="1" x14ac:dyDescent="0.3">
      <c r="Y225" s="12"/>
      <c r="Z225" s="12"/>
      <c r="AA225" s="12"/>
    </row>
    <row r="226" spans="25:27" ht="15.85" customHeight="1" x14ac:dyDescent="0.3">
      <c r="Y226" s="12"/>
      <c r="Z226" s="12"/>
      <c r="AA226" s="12"/>
    </row>
    <row r="227" spans="25:27" ht="15.85" customHeight="1" x14ac:dyDescent="0.3">
      <c r="Y227" s="12"/>
      <c r="Z227" s="12"/>
      <c r="AA227" s="12"/>
    </row>
    <row r="228" spans="25:27" ht="15.85" customHeight="1" x14ac:dyDescent="0.3">
      <c r="Y228" s="12"/>
      <c r="Z228" s="12"/>
      <c r="AA228" s="12"/>
    </row>
    <row r="229" spans="25:27" ht="15.85" customHeight="1" x14ac:dyDescent="0.3">
      <c r="Y229" s="12"/>
      <c r="Z229" s="12"/>
      <c r="AA229" s="12"/>
    </row>
    <row r="230" spans="25:27" ht="15.85" customHeight="1" x14ac:dyDescent="0.3">
      <c r="Y230" s="12"/>
      <c r="Z230" s="12"/>
      <c r="AA230" s="12"/>
    </row>
    <row r="231" spans="25:27" ht="15.85" customHeight="1" x14ac:dyDescent="0.3">
      <c r="Y231" s="12"/>
      <c r="Z231" s="12"/>
      <c r="AA231" s="12"/>
    </row>
    <row r="232" spans="25:27" ht="15.85" customHeight="1" x14ac:dyDescent="0.3">
      <c r="Y232" s="12"/>
      <c r="Z232" s="12"/>
      <c r="AA232" s="12"/>
    </row>
    <row r="233" spans="25:27" ht="15.85" customHeight="1" x14ac:dyDescent="0.3">
      <c r="Y233" s="12"/>
      <c r="Z233" s="12"/>
      <c r="AA233" s="12"/>
    </row>
    <row r="234" spans="25:27" ht="15.85" customHeight="1" x14ac:dyDescent="0.3">
      <c r="Y234" s="12"/>
      <c r="Z234" s="12"/>
      <c r="AA234" s="12"/>
    </row>
    <row r="235" spans="25:27" ht="15.85" customHeight="1" x14ac:dyDescent="0.3">
      <c r="Y235" s="12"/>
      <c r="Z235" s="12"/>
      <c r="AA235" s="12"/>
    </row>
    <row r="236" spans="25:27" ht="15.85" customHeight="1" x14ac:dyDescent="0.3">
      <c r="Y236" s="12"/>
      <c r="Z236" s="12"/>
      <c r="AA236" s="12"/>
    </row>
    <row r="237" spans="25:27" ht="15.85" customHeight="1" x14ac:dyDescent="0.3">
      <c r="Y237" s="12"/>
      <c r="Z237" s="12"/>
      <c r="AA237" s="12"/>
    </row>
    <row r="238" spans="25:27" ht="15.85" customHeight="1" x14ac:dyDescent="0.3">
      <c r="Y238" s="12"/>
      <c r="Z238" s="12"/>
      <c r="AA238" s="12"/>
    </row>
    <row r="239" spans="25:27" ht="15.85" customHeight="1" x14ac:dyDescent="0.3">
      <c r="Y239" s="12"/>
      <c r="Z239" s="12"/>
      <c r="AA239" s="12"/>
    </row>
    <row r="240" spans="25:27" ht="15.85" customHeight="1" x14ac:dyDescent="0.3">
      <c r="Y240" s="12"/>
      <c r="Z240" s="12"/>
      <c r="AA240" s="12"/>
    </row>
    <row r="241" spans="25:27" ht="15.85" customHeight="1" x14ac:dyDescent="0.3">
      <c r="Y241" s="12"/>
      <c r="Z241" s="12"/>
      <c r="AA241" s="12"/>
    </row>
    <row r="242" spans="25:27" ht="15.85" customHeight="1" x14ac:dyDescent="0.3">
      <c r="Y242" s="12"/>
      <c r="Z242" s="12"/>
      <c r="AA242" s="12"/>
    </row>
    <row r="243" spans="25:27" ht="15.85" customHeight="1" x14ac:dyDescent="0.3">
      <c r="Y243" s="12"/>
      <c r="Z243" s="12"/>
      <c r="AA243" s="12"/>
    </row>
    <row r="244" spans="25:27" ht="15.85" customHeight="1" x14ac:dyDescent="0.3">
      <c r="Y244" s="12"/>
      <c r="Z244" s="12"/>
      <c r="AA244" s="12"/>
    </row>
    <row r="245" spans="25:27" ht="15.85" customHeight="1" x14ac:dyDescent="0.3">
      <c r="Y245" s="12"/>
      <c r="Z245" s="12"/>
      <c r="AA245" s="12"/>
    </row>
    <row r="246" spans="25:27" ht="15.85" customHeight="1" x14ac:dyDescent="0.3">
      <c r="Y246" s="12"/>
      <c r="Z246" s="12"/>
      <c r="AA246" s="12"/>
    </row>
    <row r="247" spans="25:27" ht="15.85" customHeight="1" x14ac:dyDescent="0.3">
      <c r="Y247" s="12"/>
      <c r="Z247" s="12"/>
      <c r="AA247" s="12"/>
    </row>
    <row r="248" spans="25:27" ht="15.85" customHeight="1" x14ac:dyDescent="0.3">
      <c r="Y248" s="12"/>
      <c r="Z248" s="12"/>
      <c r="AA248" s="12"/>
    </row>
    <row r="249" spans="25:27" ht="15.85" customHeight="1" x14ac:dyDescent="0.3">
      <c r="Y249" s="12"/>
      <c r="Z249" s="12"/>
      <c r="AA249" s="12"/>
    </row>
    <row r="250" spans="25:27" ht="15.85" customHeight="1" x14ac:dyDescent="0.3">
      <c r="Y250" s="12"/>
      <c r="Z250" s="12"/>
      <c r="AA250" s="12"/>
    </row>
    <row r="251" spans="25:27" ht="15.85" customHeight="1" x14ac:dyDescent="0.3">
      <c r="Y251" s="12"/>
      <c r="Z251" s="12"/>
      <c r="AA251" s="12"/>
    </row>
    <row r="252" spans="25:27" ht="15.85" customHeight="1" x14ac:dyDescent="0.3">
      <c r="Y252" s="12"/>
      <c r="Z252" s="12"/>
      <c r="AA252" s="12"/>
    </row>
    <row r="253" spans="25:27" ht="15.85" customHeight="1" x14ac:dyDescent="0.3">
      <c r="Y253" s="12"/>
      <c r="Z253" s="12"/>
      <c r="AA253" s="12"/>
    </row>
    <row r="254" spans="25:27" ht="15.85" customHeight="1" x14ac:dyDescent="0.3">
      <c r="Y254" s="12"/>
      <c r="Z254" s="12"/>
      <c r="AA254" s="12"/>
    </row>
    <row r="255" spans="25:27" ht="15.85" customHeight="1" x14ac:dyDescent="0.3">
      <c r="Y255" s="12"/>
      <c r="Z255" s="12"/>
      <c r="AA255" s="12"/>
    </row>
    <row r="256" spans="25:27" ht="15.85" customHeight="1" x14ac:dyDescent="0.3">
      <c r="Y256" s="12"/>
      <c r="Z256" s="12"/>
      <c r="AA256" s="12"/>
    </row>
    <row r="257" spans="25:27" ht="15.85" customHeight="1" x14ac:dyDescent="0.3">
      <c r="Y257" s="12"/>
      <c r="Z257" s="12"/>
      <c r="AA257" s="12"/>
    </row>
    <row r="258" spans="25:27" ht="15.85" customHeight="1" x14ac:dyDescent="0.3">
      <c r="Y258" s="12"/>
      <c r="Z258" s="12"/>
      <c r="AA258" s="12"/>
    </row>
    <row r="259" spans="25:27" ht="15.85" customHeight="1" x14ac:dyDescent="0.3">
      <c r="Y259" s="12"/>
      <c r="Z259" s="12"/>
      <c r="AA259" s="12"/>
    </row>
    <row r="260" spans="25:27" ht="15.85" customHeight="1" x14ac:dyDescent="0.3">
      <c r="Y260" s="12"/>
      <c r="Z260" s="12"/>
      <c r="AA260" s="12"/>
    </row>
    <row r="261" spans="25:27" ht="15.85" customHeight="1" x14ac:dyDescent="0.3">
      <c r="Y261" s="12"/>
      <c r="Z261" s="12"/>
      <c r="AA261" s="12"/>
    </row>
    <row r="262" spans="25:27" ht="15.85" customHeight="1" x14ac:dyDescent="0.3">
      <c r="Y262" s="12"/>
      <c r="Z262" s="12"/>
      <c r="AA262" s="12"/>
    </row>
    <row r="263" spans="25:27" ht="15.85" customHeight="1" x14ac:dyDescent="0.3">
      <c r="Y263" s="12"/>
      <c r="Z263" s="12"/>
      <c r="AA263" s="12"/>
    </row>
    <row r="264" spans="25:27" ht="15.85" customHeight="1" x14ac:dyDescent="0.3">
      <c r="Y264" s="12"/>
      <c r="Z264" s="12"/>
      <c r="AA264" s="12"/>
    </row>
    <row r="265" spans="25:27" ht="15.85" customHeight="1" x14ac:dyDescent="0.3">
      <c r="Y265" s="12"/>
      <c r="Z265" s="12"/>
      <c r="AA265" s="12"/>
    </row>
    <row r="266" spans="25:27" ht="15.85" customHeight="1" x14ac:dyDescent="0.3">
      <c r="Y266" s="12"/>
      <c r="Z266" s="12"/>
      <c r="AA266" s="12"/>
    </row>
    <row r="267" spans="25:27" ht="15.85" customHeight="1" x14ac:dyDescent="0.3">
      <c r="Y267" s="12"/>
      <c r="Z267" s="12"/>
      <c r="AA267" s="12"/>
    </row>
    <row r="268" spans="25:27" ht="15.85" customHeight="1" x14ac:dyDescent="0.3">
      <c r="Y268" s="12"/>
      <c r="Z268" s="12"/>
      <c r="AA268" s="12"/>
    </row>
    <row r="269" spans="25:27" ht="15.85" customHeight="1" x14ac:dyDescent="0.3">
      <c r="Y269" s="12"/>
      <c r="Z269" s="12"/>
      <c r="AA269" s="12"/>
    </row>
    <row r="270" spans="25:27" ht="15.85" customHeight="1" x14ac:dyDescent="0.3">
      <c r="Y270" s="12"/>
      <c r="Z270" s="12"/>
      <c r="AA270" s="12"/>
    </row>
    <row r="271" spans="25:27" ht="15.85" customHeight="1" x14ac:dyDescent="0.3">
      <c r="Y271" s="12"/>
      <c r="Z271" s="12"/>
      <c r="AA271" s="12"/>
    </row>
    <row r="272" spans="25:27" ht="15.85" customHeight="1" x14ac:dyDescent="0.3">
      <c r="Y272" s="12"/>
      <c r="Z272" s="12"/>
      <c r="AA272" s="12"/>
    </row>
    <row r="273" spans="25:27" ht="15.85" customHeight="1" x14ac:dyDescent="0.3">
      <c r="Y273" s="12"/>
      <c r="Z273" s="12"/>
      <c r="AA273" s="12"/>
    </row>
    <row r="274" spans="25:27" ht="15.85" customHeight="1" x14ac:dyDescent="0.3">
      <c r="Y274" s="12"/>
      <c r="Z274" s="12"/>
      <c r="AA274" s="12"/>
    </row>
    <row r="275" spans="25:27" ht="15.85" customHeight="1" x14ac:dyDescent="0.3">
      <c r="Y275" s="12"/>
      <c r="Z275" s="12"/>
      <c r="AA275" s="12"/>
    </row>
    <row r="276" spans="25:27" ht="15.85" customHeight="1" x14ac:dyDescent="0.3">
      <c r="Y276" s="12"/>
      <c r="Z276" s="12"/>
      <c r="AA276" s="12"/>
    </row>
    <row r="277" spans="25:27" ht="15.85" customHeight="1" x14ac:dyDescent="0.3">
      <c r="Y277" s="12"/>
      <c r="Z277" s="12"/>
      <c r="AA277" s="12"/>
    </row>
    <row r="278" spans="25:27" ht="15.85" customHeight="1" x14ac:dyDescent="0.3">
      <c r="Y278" s="12"/>
      <c r="Z278" s="12"/>
      <c r="AA278" s="12"/>
    </row>
    <row r="279" spans="25:27" ht="15.85" customHeight="1" x14ac:dyDescent="0.3">
      <c r="Y279" s="12"/>
      <c r="Z279" s="12"/>
      <c r="AA279" s="12"/>
    </row>
    <row r="280" spans="25:27" ht="15.85" customHeight="1" x14ac:dyDescent="0.3"/>
    <row r="281" spans="25:27" ht="15.85" customHeight="1" x14ac:dyDescent="0.3"/>
    <row r="282" spans="25:27" ht="15.85" customHeight="1" x14ac:dyDescent="0.3"/>
    <row r="283" spans="25:27" ht="15.85" customHeight="1" x14ac:dyDescent="0.3"/>
    <row r="284" spans="25:27" ht="15.85" customHeight="1" x14ac:dyDescent="0.3"/>
    <row r="285" spans="25:27" ht="15.85" customHeight="1" x14ac:dyDescent="0.3"/>
    <row r="286" spans="25:27" ht="15.85" customHeight="1" x14ac:dyDescent="0.3"/>
    <row r="287" spans="25:27" ht="15.85" customHeight="1" x14ac:dyDescent="0.3"/>
    <row r="288" spans="25:27" ht="15.85" customHeight="1" x14ac:dyDescent="0.3"/>
    <row r="289" ht="15.85" customHeight="1" x14ac:dyDescent="0.3"/>
    <row r="290" ht="15.85" customHeight="1" x14ac:dyDescent="0.3"/>
    <row r="291" ht="15.85" customHeight="1" x14ac:dyDescent="0.3"/>
    <row r="292" ht="15.85" customHeight="1" x14ac:dyDescent="0.3"/>
    <row r="293" ht="15.85" customHeight="1" x14ac:dyDescent="0.3"/>
    <row r="294" ht="15.85" customHeight="1" x14ac:dyDescent="0.3"/>
    <row r="295" ht="15.85" customHeight="1" x14ac:dyDescent="0.3"/>
    <row r="296" ht="15.85" customHeight="1" x14ac:dyDescent="0.3"/>
    <row r="297" ht="15.85" customHeight="1" x14ac:dyDescent="0.3"/>
    <row r="298" ht="15.85" customHeight="1" x14ac:dyDescent="0.3"/>
    <row r="299" ht="15.85" customHeight="1" x14ac:dyDescent="0.3"/>
    <row r="300" ht="15.85" customHeight="1" x14ac:dyDescent="0.3"/>
    <row r="301" ht="15.85" customHeight="1" x14ac:dyDescent="0.3"/>
    <row r="302" ht="15.85" customHeight="1" x14ac:dyDescent="0.3"/>
    <row r="303" ht="15.85" customHeight="1" x14ac:dyDescent="0.3"/>
    <row r="304" ht="15.85" customHeight="1" x14ac:dyDescent="0.3"/>
    <row r="305" ht="15.85" customHeight="1" x14ac:dyDescent="0.3"/>
    <row r="306" ht="15.85" customHeight="1" x14ac:dyDescent="0.3"/>
    <row r="307" ht="15.85" customHeight="1" x14ac:dyDescent="0.3"/>
    <row r="308" ht="15.85" customHeight="1" x14ac:dyDescent="0.3"/>
    <row r="309" ht="15.85" customHeight="1" x14ac:dyDescent="0.3"/>
    <row r="310" ht="15.85" customHeight="1" x14ac:dyDescent="0.3"/>
    <row r="311" ht="15.85" customHeight="1" x14ac:dyDescent="0.3"/>
    <row r="312" ht="15.85" customHeight="1" x14ac:dyDescent="0.3"/>
    <row r="313" ht="15.85" customHeight="1" x14ac:dyDescent="0.3"/>
    <row r="314" ht="15.85" customHeight="1" x14ac:dyDescent="0.3"/>
    <row r="315" ht="15.85" customHeight="1" x14ac:dyDescent="0.3"/>
    <row r="316" ht="15.85" customHeight="1" x14ac:dyDescent="0.3"/>
    <row r="317" ht="15.85" customHeight="1" x14ac:dyDescent="0.3"/>
    <row r="318" ht="15.85" customHeight="1" x14ac:dyDescent="0.3"/>
    <row r="319" ht="15.85" customHeight="1" x14ac:dyDescent="0.3"/>
    <row r="320" ht="15.85" customHeight="1" x14ac:dyDescent="0.3"/>
    <row r="321" ht="15.85" customHeight="1" x14ac:dyDescent="0.3"/>
    <row r="322" ht="15.85" customHeight="1" x14ac:dyDescent="0.3"/>
    <row r="323" ht="15.85" customHeight="1" x14ac:dyDescent="0.3"/>
    <row r="324" ht="15.85" customHeight="1" x14ac:dyDescent="0.3"/>
    <row r="325" ht="15.85" customHeight="1" x14ac:dyDescent="0.3"/>
    <row r="326" ht="15.85" customHeight="1" x14ac:dyDescent="0.3"/>
    <row r="327" ht="15.85" customHeight="1" x14ac:dyDescent="0.3"/>
    <row r="328" ht="15.85" customHeight="1" x14ac:dyDescent="0.3"/>
    <row r="329" ht="15.85" customHeight="1" x14ac:dyDescent="0.3"/>
    <row r="330" ht="15.85" customHeight="1" x14ac:dyDescent="0.3"/>
    <row r="331" ht="15.85" customHeight="1" x14ac:dyDescent="0.3"/>
    <row r="332" ht="15.85" customHeight="1" x14ac:dyDescent="0.3"/>
    <row r="333" ht="15.85" customHeight="1" x14ac:dyDescent="0.3"/>
    <row r="334" ht="15.85" customHeight="1" x14ac:dyDescent="0.3"/>
    <row r="335" ht="15.85" customHeight="1" x14ac:dyDescent="0.3"/>
    <row r="336" ht="15.85" customHeight="1" x14ac:dyDescent="0.3"/>
    <row r="337" ht="15.85" customHeight="1" x14ac:dyDescent="0.3"/>
    <row r="338" ht="15.85" customHeight="1" x14ac:dyDescent="0.3"/>
    <row r="339" ht="15.85" customHeight="1" x14ac:dyDescent="0.3"/>
    <row r="340" ht="15.85" customHeight="1" x14ac:dyDescent="0.3"/>
    <row r="341" ht="15.85" customHeight="1" x14ac:dyDescent="0.3"/>
    <row r="342" ht="15.85" customHeight="1" x14ac:dyDescent="0.3"/>
    <row r="343" ht="15.85" customHeight="1" x14ac:dyDescent="0.3"/>
    <row r="344" ht="15.85" customHeight="1" x14ac:dyDescent="0.3"/>
    <row r="345" ht="15.85" customHeight="1" x14ac:dyDescent="0.3"/>
    <row r="346" ht="15.85" customHeight="1" x14ac:dyDescent="0.3"/>
    <row r="347" ht="15.85" customHeight="1" x14ac:dyDescent="0.3"/>
    <row r="348" ht="15.85" customHeight="1" x14ac:dyDescent="0.3"/>
    <row r="349" ht="15.85" customHeight="1" x14ac:dyDescent="0.3"/>
    <row r="350" ht="15.85" customHeight="1" x14ac:dyDescent="0.3"/>
    <row r="351" ht="15.85" customHeight="1" x14ac:dyDescent="0.3"/>
    <row r="352" ht="15.85" customHeight="1" x14ac:dyDescent="0.3"/>
    <row r="353" ht="15.85" customHeight="1" x14ac:dyDescent="0.3"/>
    <row r="354" ht="15.85" customHeight="1" x14ac:dyDescent="0.3"/>
    <row r="355" ht="15.85" customHeight="1" x14ac:dyDescent="0.3"/>
    <row r="356" ht="15.85" customHeight="1" x14ac:dyDescent="0.3"/>
    <row r="357" ht="15.85" customHeight="1" x14ac:dyDescent="0.3"/>
    <row r="358" ht="15.85" customHeight="1" x14ac:dyDescent="0.3"/>
    <row r="359" ht="15.85" customHeight="1" x14ac:dyDescent="0.3"/>
    <row r="360" ht="15.85" customHeight="1" x14ac:dyDescent="0.3"/>
    <row r="361" ht="15.85" customHeight="1" x14ac:dyDescent="0.3"/>
    <row r="362" ht="15.85" customHeight="1" x14ac:dyDescent="0.3"/>
    <row r="363" ht="15.85" customHeight="1" x14ac:dyDescent="0.3"/>
    <row r="364" ht="15.85" customHeight="1" x14ac:dyDescent="0.3"/>
    <row r="365" ht="15.85" customHeight="1" x14ac:dyDescent="0.3"/>
    <row r="366" ht="15.85" customHeight="1" x14ac:dyDescent="0.3"/>
    <row r="367" ht="15.85" customHeight="1" x14ac:dyDescent="0.3"/>
    <row r="368" ht="15.85" customHeight="1" x14ac:dyDescent="0.3"/>
    <row r="369" ht="15.85" customHeight="1" x14ac:dyDescent="0.3"/>
    <row r="370" ht="15.85" customHeight="1" x14ac:dyDescent="0.3"/>
    <row r="371" ht="15.85" customHeight="1" x14ac:dyDescent="0.3"/>
    <row r="372" ht="15.85" customHeight="1" x14ac:dyDescent="0.3"/>
    <row r="373" ht="15.85" customHeight="1" x14ac:dyDescent="0.3"/>
    <row r="374" ht="15.85" customHeight="1" x14ac:dyDescent="0.3"/>
    <row r="375" ht="15.85" customHeight="1" x14ac:dyDescent="0.3"/>
    <row r="376" ht="15.85" customHeight="1" x14ac:dyDescent="0.3"/>
    <row r="377" ht="15.85" customHeight="1" x14ac:dyDescent="0.3"/>
    <row r="378" ht="15.85" customHeight="1" x14ac:dyDescent="0.3"/>
    <row r="379" ht="15.85" customHeight="1" x14ac:dyDescent="0.3"/>
    <row r="380" ht="15.85" customHeight="1" x14ac:dyDescent="0.3"/>
    <row r="381" ht="15.85" customHeight="1" x14ac:dyDescent="0.3"/>
    <row r="382" ht="15.85" customHeight="1" x14ac:dyDescent="0.3"/>
    <row r="383" ht="15.85" customHeight="1" x14ac:dyDescent="0.3"/>
    <row r="384" ht="15.85" customHeight="1" x14ac:dyDescent="0.3"/>
    <row r="385" ht="15.85" customHeight="1" x14ac:dyDescent="0.3"/>
    <row r="386" ht="15.85" customHeight="1" x14ac:dyDescent="0.3"/>
    <row r="387" ht="15.85" customHeight="1" x14ac:dyDescent="0.3"/>
    <row r="388" ht="15.85" customHeight="1" x14ac:dyDescent="0.3"/>
    <row r="389" ht="15.85" customHeight="1" x14ac:dyDescent="0.3"/>
    <row r="390" ht="15.85" customHeight="1" x14ac:dyDescent="0.3"/>
    <row r="391" ht="15.85" customHeight="1" x14ac:dyDescent="0.3"/>
    <row r="392" ht="15.85" customHeight="1" x14ac:dyDescent="0.3"/>
    <row r="393" ht="15.85" customHeight="1" x14ac:dyDescent="0.3"/>
    <row r="394" ht="15.85" customHeight="1" x14ac:dyDescent="0.3"/>
    <row r="395" ht="15.85" customHeight="1" x14ac:dyDescent="0.3"/>
    <row r="396" ht="15.85" customHeight="1" x14ac:dyDescent="0.3"/>
    <row r="397" ht="15.85" customHeight="1" x14ac:dyDescent="0.3"/>
    <row r="398" ht="15.85" customHeight="1" x14ac:dyDescent="0.3"/>
    <row r="399" ht="15.85" customHeight="1" x14ac:dyDescent="0.3"/>
    <row r="400" ht="15.85" customHeight="1" x14ac:dyDescent="0.3"/>
    <row r="401" ht="15.85" customHeight="1" x14ac:dyDescent="0.3"/>
    <row r="402" ht="15.85" customHeight="1" x14ac:dyDescent="0.3"/>
    <row r="403" ht="15.85" customHeight="1" x14ac:dyDescent="0.3"/>
    <row r="404" ht="15.85" customHeight="1" x14ac:dyDescent="0.3"/>
    <row r="405" ht="15.85" customHeight="1" x14ac:dyDescent="0.3"/>
    <row r="406" ht="15.85" customHeight="1" x14ac:dyDescent="0.3"/>
    <row r="407" ht="15.85" customHeight="1" x14ac:dyDescent="0.3"/>
    <row r="408" ht="15.85" customHeight="1" x14ac:dyDescent="0.3"/>
    <row r="409" ht="15.85" customHeight="1" x14ac:dyDescent="0.3"/>
    <row r="410" ht="15.85" customHeight="1" x14ac:dyDescent="0.3"/>
    <row r="411" ht="15.85" customHeight="1" x14ac:dyDescent="0.3"/>
    <row r="412" ht="15.85" customHeight="1" x14ac:dyDescent="0.3"/>
    <row r="413" ht="15.85" customHeight="1" x14ac:dyDescent="0.3"/>
    <row r="414" ht="15.85" customHeight="1" x14ac:dyDescent="0.3"/>
    <row r="415" ht="15.85" customHeight="1" x14ac:dyDescent="0.3"/>
    <row r="416" ht="15.85" customHeight="1" x14ac:dyDescent="0.3"/>
    <row r="417" ht="15.85" customHeight="1" x14ac:dyDescent="0.3"/>
    <row r="418" ht="15.85" customHeight="1" x14ac:dyDescent="0.3"/>
    <row r="419" ht="15.85" customHeight="1" x14ac:dyDescent="0.3"/>
    <row r="420" ht="15.85" customHeight="1" x14ac:dyDescent="0.3"/>
    <row r="421" ht="15.85" customHeight="1" x14ac:dyDescent="0.3"/>
    <row r="422" ht="15.85" customHeight="1" x14ac:dyDescent="0.3"/>
    <row r="423" ht="15.85" customHeight="1" x14ac:dyDescent="0.3"/>
    <row r="424" ht="15.85" customHeight="1" x14ac:dyDescent="0.3"/>
    <row r="425" ht="15.85" customHeight="1" x14ac:dyDescent="0.3"/>
    <row r="426" ht="15.85" customHeight="1" x14ac:dyDescent="0.3"/>
    <row r="427" ht="15.85" customHeight="1" x14ac:dyDescent="0.3"/>
    <row r="428" ht="15.85" customHeight="1" x14ac:dyDescent="0.3"/>
    <row r="429" ht="15.85" customHeight="1" x14ac:dyDescent="0.3"/>
    <row r="430" ht="15.85" customHeight="1" x14ac:dyDescent="0.3"/>
    <row r="431" ht="15.85" customHeight="1" x14ac:dyDescent="0.3"/>
    <row r="432" ht="15.85" customHeight="1" x14ac:dyDescent="0.3"/>
    <row r="433" ht="15.85" customHeight="1" x14ac:dyDescent="0.3"/>
    <row r="434" ht="15.85" customHeight="1" x14ac:dyDescent="0.3"/>
    <row r="435" ht="15.85" customHeight="1" x14ac:dyDescent="0.3"/>
    <row r="436" ht="15.85" customHeight="1" x14ac:dyDescent="0.3"/>
    <row r="437" ht="15.85" customHeight="1" x14ac:dyDescent="0.3"/>
    <row r="438" ht="15.85" customHeight="1" x14ac:dyDescent="0.3"/>
    <row r="439" ht="15.85" customHeight="1" x14ac:dyDescent="0.3"/>
    <row r="440" ht="15.85" customHeight="1" x14ac:dyDescent="0.3"/>
    <row r="441" ht="15.85" customHeight="1" x14ac:dyDescent="0.3"/>
    <row r="442" ht="15.85" customHeight="1" x14ac:dyDescent="0.3"/>
    <row r="443" ht="15.85" customHeight="1" x14ac:dyDescent="0.3"/>
    <row r="444" ht="15.85" customHeight="1" x14ac:dyDescent="0.3"/>
    <row r="445" ht="15.85" customHeight="1" x14ac:dyDescent="0.3"/>
    <row r="446" ht="15.85" customHeight="1" x14ac:dyDescent="0.3"/>
    <row r="447" ht="15.85" customHeight="1" x14ac:dyDescent="0.3"/>
    <row r="448" ht="15.85" customHeight="1" x14ac:dyDescent="0.3"/>
    <row r="449" ht="15.85" customHeight="1" x14ac:dyDescent="0.3"/>
    <row r="450" ht="15.85" customHeight="1" x14ac:dyDescent="0.3"/>
    <row r="451" ht="15.85" customHeight="1" x14ac:dyDescent="0.3"/>
    <row r="452" ht="15.85" customHeight="1" x14ac:dyDescent="0.3"/>
    <row r="453" ht="15.85" customHeight="1" x14ac:dyDescent="0.3"/>
    <row r="454" ht="15.85" customHeight="1" x14ac:dyDescent="0.3"/>
    <row r="455" ht="15.85" customHeight="1" x14ac:dyDescent="0.3"/>
    <row r="456" ht="15.85" customHeight="1" x14ac:dyDescent="0.3"/>
    <row r="457" ht="15.85" customHeight="1" x14ac:dyDescent="0.3"/>
    <row r="458" ht="15.85" customHeight="1" x14ac:dyDescent="0.3"/>
    <row r="459" ht="15.85" customHeight="1" x14ac:dyDescent="0.3"/>
    <row r="460" ht="15.85" customHeight="1" x14ac:dyDescent="0.3"/>
    <row r="461" ht="15.85" customHeight="1" x14ac:dyDescent="0.3"/>
    <row r="462" ht="15.85" customHeight="1" x14ac:dyDescent="0.3"/>
    <row r="463" ht="15.85" customHeight="1" x14ac:dyDescent="0.3"/>
    <row r="464" ht="15.85" customHeight="1" x14ac:dyDescent="0.3"/>
    <row r="465" ht="15.85" customHeight="1" x14ac:dyDescent="0.3"/>
    <row r="466" ht="15.85" customHeight="1" x14ac:dyDescent="0.3"/>
    <row r="467" ht="15.85" customHeight="1" x14ac:dyDescent="0.3"/>
    <row r="468" ht="15.85" customHeight="1" x14ac:dyDescent="0.3"/>
    <row r="469" ht="15.85" customHeight="1" x14ac:dyDescent="0.3"/>
    <row r="470" ht="15.85" customHeight="1" x14ac:dyDescent="0.3"/>
    <row r="471" ht="15.85" customHeight="1" x14ac:dyDescent="0.3"/>
    <row r="472" ht="15.85" customHeight="1" x14ac:dyDescent="0.3"/>
    <row r="473" ht="15.85" customHeight="1" x14ac:dyDescent="0.3"/>
    <row r="474" ht="15.85" customHeight="1" x14ac:dyDescent="0.3"/>
    <row r="475" ht="15.85" customHeight="1" x14ac:dyDescent="0.3"/>
    <row r="476" ht="15.85" customHeight="1" x14ac:dyDescent="0.3"/>
    <row r="477" ht="15.85" customHeight="1" x14ac:dyDescent="0.3"/>
    <row r="478" ht="15.85" customHeight="1" x14ac:dyDescent="0.3"/>
    <row r="479" ht="15.85" customHeight="1" x14ac:dyDescent="0.3"/>
    <row r="480" ht="15.85" customHeight="1" x14ac:dyDescent="0.3"/>
    <row r="481" ht="15.85" customHeight="1" x14ac:dyDescent="0.3"/>
    <row r="482" ht="15.85" customHeight="1" x14ac:dyDescent="0.3"/>
    <row r="483" ht="15.85" customHeight="1" x14ac:dyDescent="0.3"/>
    <row r="484" ht="15.85" customHeight="1" x14ac:dyDescent="0.3"/>
    <row r="485" ht="15.85" customHeight="1" x14ac:dyDescent="0.3"/>
    <row r="486" ht="15.85" customHeight="1" x14ac:dyDescent="0.3"/>
    <row r="487" ht="15.85" customHeight="1" x14ac:dyDescent="0.3"/>
    <row r="488" ht="15.85" customHeight="1" x14ac:dyDescent="0.3"/>
    <row r="489" ht="15.85" customHeight="1" x14ac:dyDescent="0.3"/>
    <row r="490" ht="15.85" customHeight="1" x14ac:dyDescent="0.3"/>
    <row r="491" ht="15.85" customHeight="1" x14ac:dyDescent="0.3"/>
    <row r="492" ht="15.85" customHeight="1" x14ac:dyDescent="0.3"/>
    <row r="493" ht="15.85" customHeight="1" x14ac:dyDescent="0.3"/>
    <row r="494" ht="15.85" customHeight="1" x14ac:dyDescent="0.3"/>
    <row r="495" ht="15.85" customHeight="1" x14ac:dyDescent="0.3"/>
    <row r="496" ht="15.85" customHeight="1" x14ac:dyDescent="0.3"/>
    <row r="497" ht="15.85" customHeight="1" x14ac:dyDescent="0.3"/>
    <row r="498" ht="15.85" customHeight="1" x14ac:dyDescent="0.3"/>
    <row r="499" ht="15.85" customHeight="1" x14ac:dyDescent="0.3"/>
    <row r="500" ht="15.85" customHeight="1" x14ac:dyDescent="0.3"/>
    <row r="501" ht="15.85" customHeight="1" x14ac:dyDescent="0.3"/>
    <row r="502" ht="15.85" customHeight="1" x14ac:dyDescent="0.3"/>
    <row r="503" ht="15.85" customHeight="1" x14ac:dyDescent="0.3"/>
    <row r="504" ht="15.85" customHeight="1" x14ac:dyDescent="0.3"/>
    <row r="505" ht="15.85" customHeight="1" x14ac:dyDescent="0.3"/>
    <row r="506" ht="15.85" customHeight="1" x14ac:dyDescent="0.3"/>
    <row r="507" ht="15.85" customHeight="1" x14ac:dyDescent="0.3"/>
    <row r="508" ht="15.85" customHeight="1" x14ac:dyDescent="0.3"/>
    <row r="509" ht="15.85" customHeight="1" x14ac:dyDescent="0.3"/>
    <row r="510" ht="15.85" customHeight="1" x14ac:dyDescent="0.3"/>
    <row r="511" ht="15.85" customHeight="1" x14ac:dyDescent="0.3"/>
    <row r="512" ht="15.85" customHeight="1" x14ac:dyDescent="0.3"/>
    <row r="513" ht="15.85" customHeight="1" x14ac:dyDescent="0.3"/>
    <row r="514" ht="15.85" customHeight="1" x14ac:dyDescent="0.3"/>
    <row r="515" ht="15.85" customHeight="1" x14ac:dyDescent="0.3"/>
    <row r="516" ht="15.85" customHeight="1" x14ac:dyDescent="0.3"/>
    <row r="517" ht="15.85" customHeight="1" x14ac:dyDescent="0.3"/>
    <row r="518" ht="15.85" customHeight="1" x14ac:dyDescent="0.3"/>
    <row r="519" ht="15.85" customHeight="1" x14ac:dyDescent="0.3"/>
    <row r="520" ht="15.85" customHeight="1" x14ac:dyDescent="0.3"/>
    <row r="521" ht="15.85" customHeight="1" x14ac:dyDescent="0.3"/>
    <row r="522" ht="15.85" customHeight="1" x14ac:dyDescent="0.3"/>
    <row r="523" ht="15.85" customHeight="1" x14ac:dyDescent="0.3"/>
    <row r="524" ht="15.85" customHeight="1" x14ac:dyDescent="0.3"/>
    <row r="525" ht="15.85" customHeight="1" x14ac:dyDescent="0.3"/>
    <row r="526" ht="15.85" customHeight="1" x14ac:dyDescent="0.3"/>
    <row r="527" ht="15.85" customHeight="1" x14ac:dyDescent="0.3"/>
    <row r="528" ht="15.85" customHeight="1" x14ac:dyDescent="0.3"/>
    <row r="529" ht="15.85" customHeight="1" x14ac:dyDescent="0.3"/>
    <row r="530" ht="15.85" customHeight="1" x14ac:dyDescent="0.3"/>
    <row r="531" ht="15.85" customHeight="1" x14ac:dyDescent="0.3"/>
    <row r="532" ht="15.85" customHeight="1" x14ac:dyDescent="0.3"/>
    <row r="533" ht="15.85" customHeight="1" x14ac:dyDescent="0.3"/>
    <row r="534" ht="15.85" customHeight="1" x14ac:dyDescent="0.3"/>
    <row r="535" ht="15.85" customHeight="1" x14ac:dyDescent="0.3"/>
    <row r="536" ht="15.85" customHeight="1" x14ac:dyDescent="0.3"/>
    <row r="537" ht="15.85" customHeight="1" x14ac:dyDescent="0.3"/>
    <row r="538" ht="15.85" customHeight="1" x14ac:dyDescent="0.3"/>
    <row r="539" ht="15.85" customHeight="1" x14ac:dyDescent="0.3"/>
    <row r="540" ht="15.85" customHeight="1" x14ac:dyDescent="0.3"/>
    <row r="541" ht="15.85" customHeight="1" x14ac:dyDescent="0.3"/>
    <row r="542" ht="15.85" customHeight="1" x14ac:dyDescent="0.3"/>
    <row r="543" ht="15.85" customHeight="1" x14ac:dyDescent="0.3"/>
    <row r="544" ht="15.85" customHeight="1" x14ac:dyDescent="0.3"/>
    <row r="545" ht="15.85" customHeight="1" x14ac:dyDescent="0.3"/>
    <row r="546" ht="15.85" customHeight="1" x14ac:dyDescent="0.3"/>
    <row r="547" ht="15.85" customHeight="1" x14ac:dyDescent="0.3"/>
    <row r="548" ht="15.85" customHeight="1" x14ac:dyDescent="0.3"/>
    <row r="549" ht="15.85" customHeight="1" x14ac:dyDescent="0.3"/>
    <row r="550" ht="15.85" customHeight="1" x14ac:dyDescent="0.3"/>
    <row r="551" ht="15.85" customHeight="1" x14ac:dyDescent="0.3"/>
    <row r="552" ht="15.85" customHeight="1" x14ac:dyDescent="0.3"/>
    <row r="553" ht="15.85" customHeight="1" x14ac:dyDescent="0.3"/>
    <row r="554" ht="15.85" customHeight="1" x14ac:dyDescent="0.3"/>
    <row r="555" ht="15.85" customHeight="1" x14ac:dyDescent="0.3"/>
    <row r="556" ht="15.85" customHeight="1" x14ac:dyDescent="0.3"/>
    <row r="557" ht="15.85" customHeight="1" x14ac:dyDescent="0.3"/>
    <row r="558" ht="15.85" customHeight="1" x14ac:dyDescent="0.3"/>
    <row r="559" ht="15.85" customHeight="1" x14ac:dyDescent="0.3"/>
    <row r="560" ht="15.85" customHeight="1" x14ac:dyDescent="0.3"/>
    <row r="561" ht="15.85" customHeight="1" x14ac:dyDescent="0.3"/>
    <row r="562" ht="15.85" customHeight="1" x14ac:dyDescent="0.3"/>
    <row r="563" ht="15.85" customHeight="1" x14ac:dyDescent="0.3"/>
    <row r="564" ht="15.85" customHeight="1" x14ac:dyDescent="0.3"/>
    <row r="565" ht="15.85" customHeight="1" x14ac:dyDescent="0.3"/>
    <row r="566" ht="15.85" customHeight="1" x14ac:dyDescent="0.3"/>
    <row r="567" ht="15.85" customHeight="1" x14ac:dyDescent="0.3"/>
    <row r="568" ht="15.85" customHeight="1" x14ac:dyDescent="0.3"/>
    <row r="569" ht="15.85" customHeight="1" x14ac:dyDescent="0.3"/>
    <row r="570" ht="15.85" customHeight="1" x14ac:dyDescent="0.3"/>
    <row r="571" ht="15.85" customHeight="1" x14ac:dyDescent="0.3"/>
    <row r="572" ht="15.85" customHeight="1" x14ac:dyDescent="0.3"/>
    <row r="573" ht="15.85" customHeight="1" x14ac:dyDescent="0.3"/>
    <row r="574" ht="15.85" customHeight="1" x14ac:dyDescent="0.3"/>
    <row r="575" ht="15.85" customHeight="1" x14ac:dyDescent="0.3"/>
    <row r="576" ht="15.85" customHeight="1" x14ac:dyDescent="0.3"/>
    <row r="577" ht="15.85" customHeight="1" x14ac:dyDescent="0.3"/>
    <row r="578" ht="15.85" customHeight="1" x14ac:dyDescent="0.3"/>
    <row r="579" ht="15.85" customHeight="1" x14ac:dyDescent="0.3"/>
    <row r="580" ht="15.85" customHeight="1" x14ac:dyDescent="0.3"/>
    <row r="581" ht="15.85" customHeight="1" x14ac:dyDescent="0.3"/>
    <row r="582" ht="15.85" customHeight="1" x14ac:dyDescent="0.3"/>
    <row r="583" ht="15.85" customHeight="1" x14ac:dyDescent="0.3"/>
    <row r="584" ht="15.85" customHeight="1" x14ac:dyDescent="0.3"/>
    <row r="585" ht="15.85" customHeight="1" x14ac:dyDescent="0.3"/>
    <row r="586" ht="15.85" customHeight="1" x14ac:dyDescent="0.3"/>
    <row r="587" ht="15.85" customHeight="1" x14ac:dyDescent="0.3"/>
    <row r="588" ht="15.85" customHeight="1" x14ac:dyDescent="0.3"/>
    <row r="589" ht="15.85" customHeight="1" x14ac:dyDescent="0.3"/>
    <row r="590" ht="15.85" customHeight="1" x14ac:dyDescent="0.3"/>
    <row r="591" ht="15.85" customHeight="1" x14ac:dyDescent="0.3"/>
    <row r="592" ht="15.85" customHeight="1" x14ac:dyDescent="0.3"/>
    <row r="593" ht="15.85" customHeight="1" x14ac:dyDescent="0.3"/>
    <row r="594" ht="15.85" customHeight="1" x14ac:dyDescent="0.3"/>
    <row r="595" ht="15.85" customHeight="1" x14ac:dyDescent="0.3"/>
    <row r="596" ht="15.85" customHeight="1" x14ac:dyDescent="0.3"/>
    <row r="597" ht="15.85" customHeight="1" x14ac:dyDescent="0.3"/>
    <row r="598" ht="15.85" customHeight="1" x14ac:dyDescent="0.3"/>
    <row r="599" ht="15.85" customHeight="1" x14ac:dyDescent="0.3"/>
    <row r="600" ht="15.85" customHeight="1" x14ac:dyDescent="0.3"/>
    <row r="601" ht="15.85" customHeight="1" x14ac:dyDescent="0.3"/>
    <row r="602" ht="15.85" customHeight="1" x14ac:dyDescent="0.3"/>
    <row r="603" ht="15.85" customHeight="1" x14ac:dyDescent="0.3"/>
    <row r="604" ht="15.85" customHeight="1" x14ac:dyDescent="0.3"/>
    <row r="605" ht="15.85" customHeight="1" x14ac:dyDescent="0.3"/>
    <row r="606" ht="15.85" customHeight="1" x14ac:dyDescent="0.3"/>
    <row r="607" ht="15.85" customHeight="1" x14ac:dyDescent="0.3"/>
    <row r="608" ht="15.85" customHeight="1" x14ac:dyDescent="0.3"/>
    <row r="609" ht="15.85" customHeight="1" x14ac:dyDescent="0.3"/>
    <row r="610" ht="15.85" customHeight="1" x14ac:dyDescent="0.3"/>
    <row r="611" ht="15.85" customHeight="1" x14ac:dyDescent="0.3"/>
    <row r="612" ht="15.85" customHeight="1" x14ac:dyDescent="0.3"/>
    <row r="613" ht="15.85" customHeight="1" x14ac:dyDescent="0.3"/>
    <row r="614" ht="15.85" customHeight="1" x14ac:dyDescent="0.3"/>
    <row r="615" ht="15.85" customHeight="1" x14ac:dyDescent="0.3"/>
    <row r="616" ht="15.85" customHeight="1" x14ac:dyDescent="0.3"/>
    <row r="617" ht="15.85" customHeight="1" x14ac:dyDescent="0.3"/>
    <row r="618" ht="15.85" customHeight="1" x14ac:dyDescent="0.3"/>
    <row r="619" ht="15.85" customHeight="1" x14ac:dyDescent="0.3"/>
    <row r="620" ht="15.85" customHeight="1" x14ac:dyDescent="0.3"/>
    <row r="621" ht="15.85" customHeight="1" x14ac:dyDescent="0.3"/>
    <row r="622" ht="15.85" customHeight="1" x14ac:dyDescent="0.3"/>
    <row r="623" ht="15.85" customHeight="1" x14ac:dyDescent="0.3"/>
    <row r="624" ht="15.85" customHeight="1" x14ac:dyDescent="0.3"/>
    <row r="625" ht="15.85" customHeight="1" x14ac:dyDescent="0.3"/>
    <row r="626" ht="15.85" customHeight="1" x14ac:dyDescent="0.3"/>
    <row r="627" ht="15.85" customHeight="1" x14ac:dyDescent="0.3"/>
    <row r="628" ht="15.85" customHeight="1" x14ac:dyDescent="0.3"/>
    <row r="629" ht="15.85" customHeight="1" x14ac:dyDescent="0.3"/>
    <row r="630" ht="15.85" customHeight="1" x14ac:dyDescent="0.3"/>
    <row r="631" ht="15.85" customHeight="1" x14ac:dyDescent="0.3"/>
    <row r="632" ht="15.85" customHeight="1" x14ac:dyDescent="0.3"/>
    <row r="633" ht="15.85" customHeight="1" x14ac:dyDescent="0.3"/>
    <row r="634" ht="15.85" customHeight="1" x14ac:dyDescent="0.3"/>
    <row r="635" ht="15.85" customHeight="1" x14ac:dyDescent="0.3"/>
    <row r="636" ht="15.85" customHeight="1" x14ac:dyDescent="0.3"/>
    <row r="637" ht="15.85" customHeight="1" x14ac:dyDescent="0.3"/>
    <row r="638" ht="15.85" customHeight="1" x14ac:dyDescent="0.3"/>
    <row r="639" ht="15.85" customHeight="1" x14ac:dyDescent="0.3"/>
    <row r="640" ht="15.85" customHeight="1" x14ac:dyDescent="0.3"/>
    <row r="641" ht="15.85" customHeight="1" x14ac:dyDescent="0.3"/>
    <row r="642" ht="15.85" customHeight="1" x14ac:dyDescent="0.3"/>
    <row r="643" ht="15.85" customHeight="1" x14ac:dyDescent="0.3"/>
    <row r="644" ht="15.85" customHeight="1" x14ac:dyDescent="0.3"/>
    <row r="645" ht="15.85" customHeight="1" x14ac:dyDescent="0.3"/>
    <row r="646" ht="15.85" customHeight="1" x14ac:dyDescent="0.3"/>
    <row r="647" ht="15.85" customHeight="1" x14ac:dyDescent="0.3"/>
    <row r="648" ht="15.85" customHeight="1" x14ac:dyDescent="0.3"/>
    <row r="649" ht="15.85" customHeight="1" x14ac:dyDescent="0.3"/>
    <row r="650" ht="15.85" customHeight="1" x14ac:dyDescent="0.3"/>
    <row r="651" ht="15.85" customHeight="1" x14ac:dyDescent="0.3"/>
    <row r="652" ht="15.85" customHeight="1" x14ac:dyDescent="0.3"/>
    <row r="653" ht="15.85" customHeight="1" x14ac:dyDescent="0.3"/>
    <row r="654" ht="15.85" customHeight="1" x14ac:dyDescent="0.3"/>
    <row r="655" ht="15.85" customHeight="1" x14ac:dyDescent="0.3"/>
    <row r="656" ht="15.85" customHeight="1" x14ac:dyDescent="0.3"/>
    <row r="657" ht="15.85" customHeight="1" x14ac:dyDescent="0.3"/>
    <row r="658" ht="15.85" customHeight="1" x14ac:dyDescent="0.3"/>
    <row r="659" ht="15.85" customHeight="1" x14ac:dyDescent="0.3"/>
    <row r="660" ht="15.85" customHeight="1" x14ac:dyDescent="0.3"/>
    <row r="661" ht="15.85" customHeight="1" x14ac:dyDescent="0.3"/>
    <row r="662" ht="15.85" customHeight="1" x14ac:dyDescent="0.3"/>
    <row r="663" ht="15.85" customHeight="1" x14ac:dyDescent="0.3"/>
    <row r="664" ht="15.85" customHeight="1" x14ac:dyDescent="0.3"/>
    <row r="665" ht="15.85" customHeight="1" x14ac:dyDescent="0.3"/>
    <row r="666" ht="15.85" customHeight="1" x14ac:dyDescent="0.3"/>
    <row r="667" ht="15.85" customHeight="1" x14ac:dyDescent="0.3"/>
    <row r="668" ht="15.85" customHeight="1" x14ac:dyDescent="0.3"/>
    <row r="669" ht="15.85" customHeight="1" x14ac:dyDescent="0.3"/>
    <row r="670" ht="15.85" customHeight="1" x14ac:dyDescent="0.3"/>
    <row r="671" ht="15.85" customHeight="1" x14ac:dyDescent="0.3"/>
    <row r="672" ht="15.85" customHeight="1" x14ac:dyDescent="0.3"/>
    <row r="673" ht="15.85" customHeight="1" x14ac:dyDescent="0.3"/>
    <row r="674" ht="15.85" customHeight="1" x14ac:dyDescent="0.3"/>
    <row r="675" ht="15.85" customHeight="1" x14ac:dyDescent="0.3"/>
    <row r="676" ht="15.85" customHeight="1" x14ac:dyDescent="0.3"/>
    <row r="677" ht="15.85" customHeight="1" x14ac:dyDescent="0.3"/>
    <row r="678" ht="15.85" customHeight="1" x14ac:dyDescent="0.3"/>
    <row r="679" ht="15.85" customHeight="1" x14ac:dyDescent="0.3"/>
    <row r="680" ht="15.85" customHeight="1" x14ac:dyDescent="0.3"/>
    <row r="681" ht="15.85" customHeight="1" x14ac:dyDescent="0.3"/>
    <row r="682" ht="15.85" customHeight="1" x14ac:dyDescent="0.3"/>
    <row r="683" ht="15.85" customHeight="1" x14ac:dyDescent="0.3"/>
    <row r="684" ht="15.85" customHeight="1" x14ac:dyDescent="0.3"/>
    <row r="685" ht="15.85" customHeight="1" x14ac:dyDescent="0.3"/>
    <row r="686" ht="15.85" customHeight="1" x14ac:dyDescent="0.3"/>
    <row r="687" ht="15.85" customHeight="1" x14ac:dyDescent="0.3"/>
    <row r="688" ht="15.85" customHeight="1" x14ac:dyDescent="0.3"/>
    <row r="689" ht="15.85" customHeight="1" x14ac:dyDescent="0.3"/>
    <row r="690" ht="15.85" customHeight="1" x14ac:dyDescent="0.3"/>
    <row r="691" ht="15.85" customHeight="1" x14ac:dyDescent="0.3"/>
    <row r="692" ht="15.85" customHeight="1" x14ac:dyDescent="0.3"/>
    <row r="693" ht="15.85" customHeight="1" x14ac:dyDescent="0.3"/>
    <row r="694" ht="15.85" customHeight="1" x14ac:dyDescent="0.3"/>
    <row r="695" ht="15.85" customHeight="1" x14ac:dyDescent="0.3"/>
    <row r="696" ht="15.85" customHeight="1" x14ac:dyDescent="0.3"/>
    <row r="697" ht="15.85" customHeight="1" x14ac:dyDescent="0.3"/>
    <row r="698" ht="15.85" customHeight="1" x14ac:dyDescent="0.3"/>
    <row r="699" ht="15.85" customHeight="1" x14ac:dyDescent="0.3"/>
    <row r="700" ht="15.85" customHeight="1" x14ac:dyDescent="0.3"/>
    <row r="701" ht="15.85" customHeight="1" x14ac:dyDescent="0.3"/>
    <row r="702" ht="15.85" customHeight="1" x14ac:dyDescent="0.3"/>
    <row r="703" ht="15.85" customHeight="1" x14ac:dyDescent="0.3"/>
    <row r="704" ht="15.85" customHeight="1" x14ac:dyDescent="0.3"/>
    <row r="705" ht="15.85" customHeight="1" x14ac:dyDescent="0.3"/>
    <row r="706" ht="15.85" customHeight="1" x14ac:dyDescent="0.3"/>
    <row r="707" ht="15.85" customHeight="1" x14ac:dyDescent="0.3"/>
    <row r="708" ht="15.85" customHeight="1" x14ac:dyDescent="0.3"/>
    <row r="709" ht="15.85" customHeight="1" x14ac:dyDescent="0.3"/>
    <row r="710" ht="15.85" customHeight="1" x14ac:dyDescent="0.3"/>
    <row r="711" ht="15.85" customHeight="1" x14ac:dyDescent="0.3"/>
    <row r="712" ht="15.85" customHeight="1" x14ac:dyDescent="0.3"/>
    <row r="713" ht="15.85" customHeight="1" x14ac:dyDescent="0.3"/>
    <row r="714" ht="15.85" customHeight="1" x14ac:dyDescent="0.3"/>
    <row r="715" ht="15.85" customHeight="1" x14ac:dyDescent="0.3"/>
    <row r="716" ht="15.85" customHeight="1" x14ac:dyDescent="0.3"/>
    <row r="717" ht="15.85" customHeight="1" x14ac:dyDescent="0.3"/>
    <row r="718" ht="15.85" customHeight="1" x14ac:dyDescent="0.3"/>
    <row r="719" ht="15.85" customHeight="1" x14ac:dyDescent="0.3"/>
    <row r="720" ht="15.85" customHeight="1" x14ac:dyDescent="0.3"/>
    <row r="721" ht="15.85" customHeight="1" x14ac:dyDescent="0.3"/>
    <row r="722" ht="15.85" customHeight="1" x14ac:dyDescent="0.3"/>
    <row r="723" ht="15.85" customHeight="1" x14ac:dyDescent="0.3"/>
    <row r="724" ht="15.85" customHeight="1" x14ac:dyDescent="0.3"/>
    <row r="725" ht="15.85" customHeight="1" x14ac:dyDescent="0.3"/>
    <row r="726" ht="15.85" customHeight="1" x14ac:dyDescent="0.3"/>
    <row r="727" ht="15.85" customHeight="1" x14ac:dyDescent="0.3"/>
    <row r="728" ht="15.85" customHeight="1" x14ac:dyDescent="0.3"/>
    <row r="729" ht="15.85" customHeight="1" x14ac:dyDescent="0.3"/>
    <row r="730" ht="15.85" customHeight="1" x14ac:dyDescent="0.3"/>
    <row r="731" ht="15.85" customHeight="1" x14ac:dyDescent="0.3"/>
    <row r="732" ht="15.85" customHeight="1" x14ac:dyDescent="0.3"/>
    <row r="733" ht="15.85" customHeight="1" x14ac:dyDescent="0.3"/>
    <row r="734" ht="15.85" customHeight="1" x14ac:dyDescent="0.3"/>
    <row r="735" ht="15.85" customHeight="1" x14ac:dyDescent="0.3"/>
    <row r="736" ht="15.85" customHeight="1" x14ac:dyDescent="0.3"/>
    <row r="737" ht="15.85" customHeight="1" x14ac:dyDescent="0.3"/>
    <row r="738" ht="15.85" customHeight="1" x14ac:dyDescent="0.3"/>
    <row r="739" ht="15.85" customHeight="1" x14ac:dyDescent="0.3"/>
    <row r="740" ht="15.85" customHeight="1" x14ac:dyDescent="0.3"/>
    <row r="741" ht="15.85" customHeight="1" x14ac:dyDescent="0.3"/>
    <row r="742" ht="15.85" customHeight="1" x14ac:dyDescent="0.3"/>
    <row r="743" ht="15.85" customHeight="1" x14ac:dyDescent="0.3"/>
    <row r="744" ht="15.85" customHeight="1" x14ac:dyDescent="0.3"/>
    <row r="745" ht="15.85" customHeight="1" x14ac:dyDescent="0.3"/>
    <row r="746" ht="15.85" customHeight="1" x14ac:dyDescent="0.3"/>
    <row r="747" ht="15.85" customHeight="1" x14ac:dyDescent="0.3"/>
    <row r="748" ht="15.85" customHeight="1" x14ac:dyDescent="0.3"/>
    <row r="749" ht="15.85" customHeight="1" x14ac:dyDescent="0.3"/>
    <row r="750" ht="15.85" customHeight="1" x14ac:dyDescent="0.3"/>
    <row r="751" ht="15.85" customHeight="1" x14ac:dyDescent="0.3"/>
    <row r="752" ht="15.85" customHeight="1" x14ac:dyDescent="0.3"/>
    <row r="753" ht="15.85" customHeight="1" x14ac:dyDescent="0.3"/>
    <row r="754" ht="15.85" customHeight="1" x14ac:dyDescent="0.3"/>
    <row r="755" ht="15.85" customHeight="1" x14ac:dyDescent="0.3"/>
    <row r="756" ht="15.85" customHeight="1" x14ac:dyDescent="0.3"/>
    <row r="757" ht="15.85" customHeight="1" x14ac:dyDescent="0.3"/>
    <row r="758" ht="15.85" customHeight="1" x14ac:dyDescent="0.3"/>
    <row r="759" ht="15.85" customHeight="1" x14ac:dyDescent="0.3"/>
    <row r="760" ht="15.85" customHeight="1" x14ac:dyDescent="0.3"/>
    <row r="761" ht="15.85" customHeight="1" x14ac:dyDescent="0.3"/>
    <row r="762" ht="15.85" customHeight="1" x14ac:dyDescent="0.3"/>
    <row r="763" ht="15.85" customHeight="1" x14ac:dyDescent="0.3"/>
    <row r="764" ht="15.85" customHeight="1" x14ac:dyDescent="0.3"/>
    <row r="765" ht="15.85" customHeight="1" x14ac:dyDescent="0.3"/>
    <row r="766" ht="15.85" customHeight="1" x14ac:dyDescent="0.3"/>
    <row r="767" ht="15.85" customHeight="1" x14ac:dyDescent="0.3"/>
    <row r="768" ht="15.85" customHeight="1" x14ac:dyDescent="0.3"/>
    <row r="769" ht="15.85" customHeight="1" x14ac:dyDescent="0.3"/>
    <row r="770" ht="15.85" customHeight="1" x14ac:dyDescent="0.3"/>
    <row r="771" ht="15.85" customHeight="1" x14ac:dyDescent="0.3"/>
    <row r="772" ht="15.85" customHeight="1" x14ac:dyDescent="0.3"/>
    <row r="773" ht="15.85" customHeight="1" x14ac:dyDescent="0.3"/>
    <row r="774" ht="15.85" customHeight="1" x14ac:dyDescent="0.3"/>
    <row r="775" ht="15.85" customHeight="1" x14ac:dyDescent="0.3"/>
    <row r="776" ht="15.85" customHeight="1" x14ac:dyDescent="0.3"/>
    <row r="777" ht="15.85" customHeight="1" x14ac:dyDescent="0.3"/>
    <row r="778" ht="15.85" customHeight="1" x14ac:dyDescent="0.3"/>
    <row r="779" ht="15.85" customHeight="1" x14ac:dyDescent="0.3"/>
    <row r="780" ht="15.85" customHeight="1" x14ac:dyDescent="0.3"/>
    <row r="781" ht="15.85" customHeight="1" x14ac:dyDescent="0.3"/>
    <row r="782" ht="15.85" customHeight="1" x14ac:dyDescent="0.3"/>
    <row r="783" ht="15.85" customHeight="1" x14ac:dyDescent="0.3"/>
    <row r="784" ht="15.85" customHeight="1" x14ac:dyDescent="0.3"/>
    <row r="785" ht="15.85" customHeight="1" x14ac:dyDescent="0.3"/>
    <row r="786" ht="15.85" customHeight="1" x14ac:dyDescent="0.3"/>
    <row r="787" ht="15.85" customHeight="1" x14ac:dyDescent="0.3"/>
    <row r="788" ht="15.85" customHeight="1" x14ac:dyDescent="0.3"/>
    <row r="789" ht="15.85" customHeight="1" x14ac:dyDescent="0.3"/>
    <row r="790" ht="15.85" customHeight="1" x14ac:dyDescent="0.3"/>
    <row r="791" ht="15.85" customHeight="1" x14ac:dyDescent="0.3"/>
    <row r="792" ht="15.85" customHeight="1" x14ac:dyDescent="0.3"/>
    <row r="793" ht="15.85" customHeight="1" x14ac:dyDescent="0.3"/>
    <row r="794" ht="15.85" customHeight="1" x14ac:dyDescent="0.3"/>
    <row r="795" ht="15.85" customHeight="1" x14ac:dyDescent="0.3"/>
    <row r="796" ht="15.85" customHeight="1" x14ac:dyDescent="0.3"/>
    <row r="797" ht="15.85" customHeight="1" x14ac:dyDescent="0.3"/>
    <row r="798" ht="15.85" customHeight="1" x14ac:dyDescent="0.3"/>
    <row r="799" ht="15.85" customHeight="1" x14ac:dyDescent="0.3"/>
    <row r="800" ht="15.85" customHeight="1" x14ac:dyDescent="0.3"/>
    <row r="801" ht="15.85" customHeight="1" x14ac:dyDescent="0.3"/>
    <row r="802" ht="15.85" customHeight="1" x14ac:dyDescent="0.3"/>
    <row r="803" ht="15.85" customHeight="1" x14ac:dyDescent="0.3"/>
    <row r="804" ht="15.85" customHeight="1" x14ac:dyDescent="0.3"/>
    <row r="805" ht="15.85" customHeight="1" x14ac:dyDescent="0.3"/>
    <row r="806" ht="15.85" customHeight="1" x14ac:dyDescent="0.3"/>
    <row r="807" ht="15.85" customHeight="1" x14ac:dyDescent="0.3"/>
    <row r="808" ht="15.85" customHeight="1" x14ac:dyDescent="0.3"/>
    <row r="809" ht="15.85" customHeight="1" x14ac:dyDescent="0.3"/>
    <row r="810" ht="15.85" customHeight="1" x14ac:dyDescent="0.3"/>
    <row r="811" ht="15.85" customHeight="1" x14ac:dyDescent="0.3"/>
    <row r="812" ht="15.85" customHeight="1" x14ac:dyDescent="0.3"/>
    <row r="813" ht="15.85" customHeight="1" x14ac:dyDescent="0.3"/>
    <row r="814" ht="15.85" customHeight="1" x14ac:dyDescent="0.3"/>
    <row r="815" ht="15.85" customHeight="1" x14ac:dyDescent="0.3"/>
    <row r="816" ht="15.85" customHeight="1" x14ac:dyDescent="0.3"/>
    <row r="817" ht="15.85" customHeight="1" x14ac:dyDescent="0.3"/>
    <row r="818" ht="15.85" customHeight="1" x14ac:dyDescent="0.3"/>
    <row r="819" ht="15.85" customHeight="1" x14ac:dyDescent="0.3"/>
    <row r="820" ht="15.85" customHeight="1" x14ac:dyDescent="0.3"/>
    <row r="821" ht="15.85" customHeight="1" x14ac:dyDescent="0.3"/>
    <row r="822" ht="15.85" customHeight="1" x14ac:dyDescent="0.3"/>
    <row r="823" ht="15.85" customHeight="1" x14ac:dyDescent="0.3"/>
    <row r="824" ht="15.85" customHeight="1" x14ac:dyDescent="0.3"/>
    <row r="825" ht="15.85" customHeight="1" x14ac:dyDescent="0.3"/>
    <row r="826" ht="15.85" customHeight="1" x14ac:dyDescent="0.3"/>
    <row r="827" ht="15.85" customHeight="1" x14ac:dyDescent="0.3"/>
    <row r="828" ht="15.85" customHeight="1" x14ac:dyDescent="0.3"/>
    <row r="829" ht="15.85" customHeight="1" x14ac:dyDescent="0.3"/>
    <row r="830" ht="15.85" customHeight="1" x14ac:dyDescent="0.3"/>
    <row r="831" ht="15.85" customHeight="1" x14ac:dyDescent="0.3"/>
    <row r="832" ht="15.85" customHeight="1" x14ac:dyDescent="0.3"/>
    <row r="833" ht="15.85" customHeight="1" x14ac:dyDescent="0.3"/>
    <row r="834" ht="15.85" customHeight="1" x14ac:dyDescent="0.3"/>
    <row r="835" ht="15.85" customHeight="1" x14ac:dyDescent="0.3"/>
    <row r="836" ht="15.85" customHeight="1" x14ac:dyDescent="0.3"/>
    <row r="837" ht="15.85" customHeight="1" x14ac:dyDescent="0.3"/>
    <row r="838" ht="15.85" customHeight="1" x14ac:dyDescent="0.3"/>
    <row r="839" ht="15.85" customHeight="1" x14ac:dyDescent="0.3"/>
    <row r="840" ht="15.85" customHeight="1" x14ac:dyDescent="0.3"/>
    <row r="841" ht="15.85" customHeight="1" x14ac:dyDescent="0.3"/>
    <row r="842" ht="15.85" customHeight="1" x14ac:dyDescent="0.3"/>
    <row r="843" ht="15.85" customHeight="1" x14ac:dyDescent="0.3"/>
    <row r="844" ht="15.85" customHeight="1" x14ac:dyDescent="0.3"/>
    <row r="845" ht="15.85" customHeight="1" x14ac:dyDescent="0.3"/>
    <row r="846" ht="15.85" customHeight="1" x14ac:dyDescent="0.3"/>
    <row r="847" ht="15.85" customHeight="1" x14ac:dyDescent="0.3"/>
    <row r="848" ht="15.85" customHeight="1" x14ac:dyDescent="0.3"/>
    <row r="849" ht="15.85" customHeight="1" x14ac:dyDescent="0.3"/>
    <row r="850" ht="15.85" customHeight="1" x14ac:dyDescent="0.3"/>
    <row r="851" ht="15.85" customHeight="1" x14ac:dyDescent="0.3"/>
    <row r="852" ht="15.85" customHeight="1" x14ac:dyDescent="0.3"/>
    <row r="853" ht="15.85" customHeight="1" x14ac:dyDescent="0.3"/>
    <row r="854" ht="15.85" customHeight="1" x14ac:dyDescent="0.3"/>
    <row r="855" ht="15.85" customHeight="1" x14ac:dyDescent="0.3"/>
    <row r="856" ht="15.85" customHeight="1" x14ac:dyDescent="0.3"/>
    <row r="857" ht="15.85" customHeight="1" x14ac:dyDescent="0.3"/>
    <row r="858" ht="15.85" customHeight="1" x14ac:dyDescent="0.3"/>
    <row r="859" ht="15.85" customHeight="1" x14ac:dyDescent="0.3"/>
    <row r="860" ht="15.85" customHeight="1" x14ac:dyDescent="0.3"/>
    <row r="861" ht="15.85" customHeight="1" x14ac:dyDescent="0.3"/>
    <row r="862" ht="15.85" customHeight="1" x14ac:dyDescent="0.3"/>
    <row r="863" ht="15.85" customHeight="1" x14ac:dyDescent="0.3"/>
    <row r="864" ht="15.85" customHeight="1" x14ac:dyDescent="0.3"/>
    <row r="865" ht="15.85" customHeight="1" x14ac:dyDescent="0.3"/>
    <row r="866" ht="15.85" customHeight="1" x14ac:dyDescent="0.3"/>
    <row r="867" ht="15.85" customHeight="1" x14ac:dyDescent="0.3"/>
    <row r="868" ht="15.85" customHeight="1" x14ac:dyDescent="0.3"/>
    <row r="869" ht="15.85" customHeight="1" x14ac:dyDescent="0.3"/>
    <row r="870" ht="15.85" customHeight="1" x14ac:dyDescent="0.3"/>
    <row r="871" ht="15.85" customHeight="1" x14ac:dyDescent="0.3"/>
    <row r="872" ht="15.85" customHeight="1" x14ac:dyDescent="0.3"/>
    <row r="873" ht="15.85" customHeight="1" x14ac:dyDescent="0.3"/>
    <row r="874" ht="15.85" customHeight="1" x14ac:dyDescent="0.3"/>
    <row r="875" ht="15.85" customHeight="1" x14ac:dyDescent="0.3"/>
    <row r="876" ht="15.85" customHeight="1" x14ac:dyDescent="0.3"/>
    <row r="877" ht="15.85" customHeight="1" x14ac:dyDescent="0.3"/>
    <row r="878" ht="15.85" customHeight="1" x14ac:dyDescent="0.3"/>
    <row r="879" ht="15.85" customHeight="1" x14ac:dyDescent="0.3"/>
    <row r="880" ht="15.85" customHeight="1" x14ac:dyDescent="0.3"/>
    <row r="881" ht="15.85" customHeight="1" x14ac:dyDescent="0.3"/>
    <row r="882" ht="15.85" customHeight="1" x14ac:dyDescent="0.3"/>
    <row r="883" ht="15.85" customHeight="1" x14ac:dyDescent="0.3"/>
    <row r="884" ht="15.85" customHeight="1" x14ac:dyDescent="0.3"/>
    <row r="885" ht="15.85" customHeight="1" x14ac:dyDescent="0.3"/>
    <row r="886" ht="15.85" customHeight="1" x14ac:dyDescent="0.3"/>
    <row r="887" ht="15.85" customHeight="1" x14ac:dyDescent="0.3"/>
    <row r="888" ht="15.85" customHeight="1" x14ac:dyDescent="0.3"/>
    <row r="889" ht="15.85" customHeight="1" x14ac:dyDescent="0.3"/>
    <row r="890" ht="15.85" customHeight="1" x14ac:dyDescent="0.3"/>
    <row r="891" ht="15.85" customHeight="1" x14ac:dyDescent="0.3"/>
    <row r="892" ht="15.85" customHeight="1" x14ac:dyDescent="0.3"/>
    <row r="893" ht="15.85" customHeight="1" x14ac:dyDescent="0.3"/>
    <row r="894" ht="15.85" customHeight="1" x14ac:dyDescent="0.3"/>
    <row r="895" ht="15.85" customHeight="1" x14ac:dyDescent="0.3"/>
    <row r="896" ht="15.85" customHeight="1" x14ac:dyDescent="0.3"/>
    <row r="897" ht="15.85" customHeight="1" x14ac:dyDescent="0.3"/>
    <row r="898" ht="15.85" customHeight="1" x14ac:dyDescent="0.3"/>
    <row r="899" ht="15.85" customHeight="1" x14ac:dyDescent="0.3"/>
    <row r="900" ht="15.85" customHeight="1" x14ac:dyDescent="0.3"/>
    <row r="901" ht="15.85" customHeight="1" x14ac:dyDescent="0.3"/>
    <row r="902" ht="15.85" customHeight="1" x14ac:dyDescent="0.3"/>
    <row r="903" ht="15.85" customHeight="1" x14ac:dyDescent="0.3"/>
    <row r="904" ht="15.85" customHeight="1" x14ac:dyDescent="0.3"/>
    <row r="905" ht="15.85" customHeight="1" x14ac:dyDescent="0.3"/>
    <row r="906" ht="15.85" customHeight="1" x14ac:dyDescent="0.3"/>
    <row r="907" ht="15.85" customHeight="1" x14ac:dyDescent="0.3"/>
    <row r="908" ht="15.85" customHeight="1" x14ac:dyDescent="0.3"/>
    <row r="909" ht="15.85" customHeight="1" x14ac:dyDescent="0.3"/>
    <row r="910" ht="15.85" customHeight="1" x14ac:dyDescent="0.3"/>
    <row r="911" ht="15.85" customHeight="1" x14ac:dyDescent="0.3"/>
    <row r="912" ht="15.85" customHeight="1" x14ac:dyDescent="0.3"/>
    <row r="913" ht="15.85" customHeight="1" x14ac:dyDescent="0.3"/>
    <row r="914" ht="15.85" customHeight="1" x14ac:dyDescent="0.3"/>
    <row r="915" ht="15.85" customHeight="1" x14ac:dyDescent="0.3"/>
    <row r="916" ht="15.85" customHeight="1" x14ac:dyDescent="0.3"/>
    <row r="917" ht="15.85" customHeight="1" x14ac:dyDescent="0.3"/>
    <row r="918" ht="15.85" customHeight="1" x14ac:dyDescent="0.3"/>
    <row r="919" ht="15.85" customHeight="1" x14ac:dyDescent="0.3"/>
    <row r="920" ht="15.85" customHeight="1" x14ac:dyDescent="0.3"/>
    <row r="921" ht="15.85" customHeight="1" x14ac:dyDescent="0.3"/>
    <row r="922" ht="15.85" customHeight="1" x14ac:dyDescent="0.3"/>
    <row r="923" ht="15.85" customHeight="1" x14ac:dyDescent="0.3"/>
    <row r="924" ht="15.85" customHeight="1" x14ac:dyDescent="0.3"/>
    <row r="925" ht="15.85" customHeight="1" x14ac:dyDescent="0.3"/>
    <row r="926" ht="15.85" customHeight="1" x14ac:dyDescent="0.3"/>
    <row r="927" ht="15.85" customHeight="1" x14ac:dyDescent="0.3"/>
    <row r="928" ht="15.85" customHeight="1" x14ac:dyDescent="0.3"/>
    <row r="929" ht="15.85" customHeight="1" x14ac:dyDescent="0.3"/>
    <row r="930" ht="15.85" customHeight="1" x14ac:dyDescent="0.3"/>
    <row r="931" ht="15.85" customHeight="1" x14ac:dyDescent="0.3"/>
    <row r="932" ht="15.85" customHeight="1" x14ac:dyDescent="0.3"/>
    <row r="933" ht="15.85" customHeight="1" x14ac:dyDescent="0.3"/>
    <row r="934" ht="15.85" customHeight="1" x14ac:dyDescent="0.3"/>
    <row r="935" ht="15.85" customHeight="1" x14ac:dyDescent="0.3"/>
    <row r="936" ht="15.85" customHeight="1" x14ac:dyDescent="0.3"/>
    <row r="937" ht="15.85" customHeight="1" x14ac:dyDescent="0.3"/>
    <row r="938" ht="15.85" customHeight="1" x14ac:dyDescent="0.3"/>
    <row r="939" ht="15.85" customHeight="1" x14ac:dyDescent="0.3"/>
    <row r="940" ht="15.85" customHeight="1" x14ac:dyDescent="0.3"/>
    <row r="941" ht="15.85" customHeight="1" x14ac:dyDescent="0.3"/>
    <row r="942" ht="15.85" customHeight="1" x14ac:dyDescent="0.3"/>
    <row r="943" ht="15.85" customHeight="1" x14ac:dyDescent="0.3"/>
    <row r="944" ht="15.85" customHeight="1" x14ac:dyDescent="0.3"/>
    <row r="945" ht="15.85" customHeight="1" x14ac:dyDescent="0.3"/>
    <row r="946" ht="15.85" customHeight="1" x14ac:dyDescent="0.3"/>
    <row r="947" ht="15.85" customHeight="1" x14ac:dyDescent="0.3"/>
    <row r="948" ht="15.85" customHeight="1" x14ac:dyDescent="0.3"/>
    <row r="949" ht="15.85" customHeight="1" x14ac:dyDescent="0.3"/>
    <row r="950" ht="15.85" customHeight="1" x14ac:dyDescent="0.3"/>
    <row r="951" ht="15.85" customHeight="1" x14ac:dyDescent="0.3"/>
    <row r="952" ht="15.85" customHeight="1" x14ac:dyDescent="0.3"/>
    <row r="953" ht="15.85" customHeight="1" x14ac:dyDescent="0.3"/>
    <row r="954" ht="15.85" customHeight="1" x14ac:dyDescent="0.3"/>
    <row r="955" ht="15.85" customHeight="1" x14ac:dyDescent="0.3"/>
    <row r="956" ht="15.85" customHeight="1" x14ac:dyDescent="0.3"/>
    <row r="957" ht="15.85" customHeight="1" x14ac:dyDescent="0.3"/>
    <row r="958" ht="15.85" customHeight="1" x14ac:dyDescent="0.3"/>
    <row r="959" ht="15.85" customHeight="1" x14ac:dyDescent="0.3"/>
    <row r="960" ht="15.85" customHeight="1" x14ac:dyDescent="0.3"/>
    <row r="961" ht="15.85" customHeight="1" x14ac:dyDescent="0.3"/>
    <row r="962" ht="15.85" customHeight="1" x14ac:dyDescent="0.3"/>
    <row r="963" ht="15.85" customHeight="1" x14ac:dyDescent="0.3"/>
    <row r="964" ht="15.85" customHeight="1" x14ac:dyDescent="0.3"/>
    <row r="965" ht="15.85" customHeight="1" x14ac:dyDescent="0.3"/>
    <row r="966" ht="15.85" customHeight="1" x14ac:dyDescent="0.3"/>
    <row r="967" ht="15.85" customHeight="1" x14ac:dyDescent="0.3"/>
    <row r="968" ht="15.85" customHeight="1" x14ac:dyDescent="0.3"/>
    <row r="969" ht="15.85" customHeight="1" x14ac:dyDescent="0.3"/>
    <row r="970" ht="15.85" customHeight="1" x14ac:dyDescent="0.3"/>
    <row r="971" ht="15.85" customHeight="1" x14ac:dyDescent="0.3"/>
    <row r="972" ht="15.85" customHeight="1" x14ac:dyDescent="0.3"/>
    <row r="973" ht="15.85" customHeight="1" x14ac:dyDescent="0.3"/>
    <row r="974" ht="15.85" customHeight="1" x14ac:dyDescent="0.3"/>
    <row r="975" ht="15.85" customHeight="1" x14ac:dyDescent="0.3"/>
    <row r="976" ht="15.85" customHeight="1" x14ac:dyDescent="0.3"/>
    <row r="977" ht="15.85" customHeight="1" x14ac:dyDescent="0.3"/>
    <row r="978" ht="15.85" customHeight="1" x14ac:dyDescent="0.3"/>
    <row r="979" ht="15.85" customHeight="1" x14ac:dyDescent="0.3"/>
    <row r="980" ht="15.85" customHeight="1" x14ac:dyDescent="0.3"/>
    <row r="981" ht="15.85" customHeight="1" x14ac:dyDescent="0.3"/>
    <row r="982" ht="15.85" customHeight="1" x14ac:dyDescent="0.3"/>
    <row r="983" ht="15.85" customHeight="1" x14ac:dyDescent="0.3"/>
    <row r="984" ht="15.85" customHeight="1" x14ac:dyDescent="0.3"/>
    <row r="985" ht="15.85" customHeight="1" x14ac:dyDescent="0.3"/>
    <row r="986" ht="15.85" customHeight="1" x14ac:dyDescent="0.3"/>
    <row r="987" ht="15.85" customHeight="1" x14ac:dyDescent="0.3"/>
    <row r="988" ht="15.85" customHeight="1" x14ac:dyDescent="0.3"/>
    <row r="989" ht="15.85" customHeight="1" x14ac:dyDescent="0.3"/>
    <row r="990" ht="15.85" customHeight="1" x14ac:dyDescent="0.3"/>
    <row r="991" ht="15.85" customHeight="1" x14ac:dyDescent="0.3"/>
    <row r="992" ht="15.85" customHeight="1" x14ac:dyDescent="0.3"/>
    <row r="993" ht="15.85" customHeight="1" x14ac:dyDescent="0.3"/>
    <row r="994" ht="15.85" customHeight="1" x14ac:dyDescent="0.3"/>
    <row r="995" ht="15.85" customHeight="1" x14ac:dyDescent="0.3"/>
    <row r="996" ht="15.85" customHeight="1" x14ac:dyDescent="0.3"/>
    <row r="997" ht="15.85" customHeight="1" x14ac:dyDescent="0.3"/>
    <row r="998" ht="15.85" customHeight="1" x14ac:dyDescent="0.3"/>
    <row r="999" ht="15.85" customHeight="1" x14ac:dyDescent="0.3"/>
    <row r="1000" ht="15.85" customHeight="1" x14ac:dyDescent="0.3"/>
    <row r="1001" ht="15.85" customHeight="1" x14ac:dyDescent="0.3"/>
    <row r="1002" ht="15.85" customHeight="1" x14ac:dyDescent="0.3"/>
    <row r="1003" ht="15.85" customHeight="1" x14ac:dyDescent="0.3"/>
  </sheetData>
  <mergeCells count="14">
    <mergeCell ref="R4:S4"/>
    <mergeCell ref="A1:AA1"/>
    <mergeCell ref="A2:AA2"/>
    <mergeCell ref="A3:AA3"/>
    <mergeCell ref="D4:E4"/>
    <mergeCell ref="F4:G4"/>
    <mergeCell ref="H4:I4"/>
    <mergeCell ref="J4:K4"/>
    <mergeCell ref="T4:U4"/>
    <mergeCell ref="L4:M4"/>
    <mergeCell ref="N4:O4"/>
    <mergeCell ref="A5:C5"/>
    <mergeCell ref="B81:C81"/>
    <mergeCell ref="P4:Q4"/>
  </mergeCells>
  <conditionalFormatting sqref="W6:W79">
    <cfRule type="cellIs" dxfId="1" priority="1" operator="lessThan">
      <formula>75</formula>
    </cfRule>
  </conditionalFormatting>
  <conditionalFormatting sqref="AA6:AA79">
    <cfRule type="cellIs" dxfId="0" priority="2" operator="lessThan">
      <formula>75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CSE-M</vt:lpstr>
      <vt:lpstr>CSE-N</vt:lpstr>
      <vt:lpstr>CSE-O</vt:lpstr>
      <vt:lpstr>CSE-P</vt:lpstr>
      <vt:lpstr>CSE-Q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KARANAM SAI</dc:creator>
  <cp:lastModifiedBy>25P35A0547</cp:lastModifiedBy>
  <dcterms:created xsi:type="dcterms:W3CDTF">2026-01-23T13:29:53Z</dcterms:created>
  <dcterms:modified xsi:type="dcterms:W3CDTF">2026-01-23T13:29:53Z</dcterms:modified>
</cp:coreProperties>
</file>