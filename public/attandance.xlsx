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-M" sheetId="1" r:id="rId4"/>
    <sheet state="visible" name="CSE-N" sheetId="2" r:id="rId5"/>
    <sheet state="visible" name="CSE-O" sheetId="3" r:id="rId6"/>
    <sheet state="visible" name="CSE-P" sheetId="4" r:id="rId7"/>
    <sheet state="visible" name="CSE-Q" sheetId="5" r:id="rId8"/>
    <sheet state="visible" name="Consolidated" sheetId="6" r:id="rId9"/>
  </sheets>
  <definedNames/>
  <calcPr/>
</workbook>
</file>

<file path=xl/sharedStrings.xml><?xml version="1.0" encoding="utf-8"?>
<sst xmlns="http://schemas.openxmlformats.org/spreadsheetml/2006/main" count="804" uniqueCount="742">
  <si>
    <t>RAGHU ENGINEERING COLLEGE (A)</t>
  </si>
  <si>
    <t xml:space="preserve">Department of CSE </t>
  </si>
  <si>
    <t>2024 AB CSE-M (REC) II B.Tech I Semester Attendance as on 11.06.2.205 onwards</t>
  </si>
  <si>
    <t>S.No</t>
  </si>
  <si>
    <t>Regd. No</t>
  </si>
  <si>
    <t>Name of the student</t>
  </si>
  <si>
    <t>Total</t>
  </si>
  <si>
    <t>Percentage</t>
  </si>
  <si>
    <t>Total classes taken till today</t>
  </si>
  <si>
    <t>%</t>
  </si>
  <si>
    <t>24981A05PS</t>
  </si>
  <si>
    <t>AMBALLA JASWANTH</t>
  </si>
  <si>
    <t>24981A05PT</t>
  </si>
  <si>
    <t>ANNAM SURYA CHANDRA TRINADH</t>
  </si>
  <si>
    <t>24981A05PU</t>
  </si>
  <si>
    <t>AYIREDDI SURYA ANUGJNA</t>
  </si>
  <si>
    <t>24981A05PV</t>
  </si>
  <si>
    <t>BAKI DURGA RAO</t>
  </si>
  <si>
    <t>24981A05PW</t>
  </si>
  <si>
    <t>BASAVA YAGNA SEKHAR</t>
  </si>
  <si>
    <t>24981A05PX</t>
  </si>
  <si>
    <t>BAVIRISETTI SAI</t>
  </si>
  <si>
    <t>24981A05PY</t>
  </si>
  <si>
    <t>BELLANA SIDDU</t>
  </si>
  <si>
    <t>24981A05PZ</t>
  </si>
  <si>
    <t>BHEEMIREDDI RAMANAMMA</t>
  </si>
  <si>
    <t>24981A05Q0</t>
  </si>
  <si>
    <t>BODDETI YASWANTH</t>
  </si>
  <si>
    <t>24981A05Q1</t>
  </si>
  <si>
    <t>BODDU SAI DEEPAK</t>
  </si>
  <si>
    <t>24981A05Q2</t>
  </si>
  <si>
    <t>BONU MANASA</t>
  </si>
  <si>
    <t>24981A05Q3</t>
  </si>
  <si>
    <t>BUGATHA SRUTHI</t>
  </si>
  <si>
    <t>24981A05Q4</t>
  </si>
  <si>
    <t>BURLE DURGAPRASAD</t>
  </si>
  <si>
    <t>24981A05Q5</t>
  </si>
  <si>
    <t>BYREDDI TEJASWINI</t>
  </si>
  <si>
    <t>24981A05Q6</t>
  </si>
  <si>
    <t>CHELLANGI JYOTHI SWAROOP</t>
  </si>
  <si>
    <t>24981A05Q7</t>
  </si>
  <si>
    <t>CHANDAKA SRINU</t>
  </si>
  <si>
    <t>24981A05Q8</t>
  </si>
  <si>
    <t>CHEEPULLA LIKHITHA</t>
  </si>
  <si>
    <t>24981A05Q9</t>
  </si>
  <si>
    <t>CHINTAPALLI JYOTHSNA</t>
  </si>
  <si>
    <t>24981A05QA</t>
  </si>
  <si>
    <t>CHINTAPALLI TULASI TANUJA</t>
  </si>
  <si>
    <t>24981A05QB</t>
  </si>
  <si>
    <t>CHITTELA VENKATA NIKHIL REDDY</t>
  </si>
  <si>
    <t>24981A05QC</t>
  </si>
  <si>
    <t>DAMALAPATI PADMAJA</t>
  </si>
  <si>
    <t>24981A05QD</t>
  </si>
  <si>
    <t>VANAMAREDDI NAVEENKUMAR REDDY</t>
  </si>
  <si>
    <t>24981A05QE</t>
  </si>
  <si>
    <t>DASARI VINAY KUMAR</t>
  </si>
  <si>
    <t>24981A05QF</t>
  </si>
  <si>
    <t>DEVARASETTY SAMIKSHA</t>
  </si>
  <si>
    <t>24981A05QG</t>
  </si>
  <si>
    <t>DOKI SAI CHARAN</t>
  </si>
  <si>
    <t>24981A05QH</t>
  </si>
  <si>
    <t>EATI AKANKSHA</t>
  </si>
  <si>
    <t>24981A05QI</t>
  </si>
  <si>
    <t>GADI THIRUMALA</t>
  </si>
  <si>
    <t>24981A05QJ</t>
  </si>
  <si>
    <t>GANDEM BHARATH</t>
  </si>
  <si>
    <t>24981A05QK</t>
  </si>
  <si>
    <t>GANGU DILLESWARA RAO</t>
  </si>
  <si>
    <t>24981A05QL</t>
  </si>
  <si>
    <t>GOTTAPU MOHAN KRISHNA</t>
  </si>
  <si>
    <t>24981A05QM</t>
  </si>
  <si>
    <t>JAMI SAHITHI</t>
  </si>
  <si>
    <t>24981A05QN</t>
  </si>
  <si>
    <t>JARUGULLA VISHNU VARDHAN</t>
  </si>
  <si>
    <t>24981A05QP</t>
  </si>
  <si>
    <t>KADAVALA JYOSHIKA</t>
  </si>
  <si>
    <t>24981A05QQ</t>
  </si>
  <si>
    <t>KARRI YUGANDHAR VINAYAKA NAGENDRA</t>
  </si>
  <si>
    <t>24981A05QR</t>
  </si>
  <si>
    <t>KAVALI MADHAVA BHUVANESWAR</t>
  </si>
  <si>
    <t>24981A05QS</t>
  </si>
  <si>
    <t>KORADA DEEKSHITHA</t>
  </si>
  <si>
    <t>24981A05QT</t>
  </si>
  <si>
    <t>KORADA LALITHASRI</t>
  </si>
  <si>
    <t>24981A05QU</t>
  </si>
  <si>
    <t>KOTNI JASHWANTH KUMAR</t>
  </si>
  <si>
    <t>24981A05QV</t>
  </si>
  <si>
    <t>KOTYADA GEETHANJALI</t>
  </si>
  <si>
    <t>24981A05QW</t>
  </si>
  <si>
    <t>KOYILADA GEETH MOUNISH</t>
  </si>
  <si>
    <t>24981A05QX</t>
  </si>
  <si>
    <t>THARUN KUMAR LACHIREDDI</t>
  </si>
  <si>
    <t>24981A05QY</t>
  </si>
  <si>
    <t>LANKA RESHMA</t>
  </si>
  <si>
    <t>24981A05QZ</t>
  </si>
  <si>
    <t>LENKA RAMU NAIDU</t>
  </si>
  <si>
    <t>24981A05R0</t>
  </si>
  <si>
    <t>MARISA JNANENEDRA SAI PRADEEP</t>
  </si>
  <si>
    <t>24981A05R1</t>
  </si>
  <si>
    <t>MIDATHANA SAI VINAY</t>
  </si>
  <si>
    <t>24981A05R2</t>
  </si>
  <si>
    <t>MUTYALA MEGHANA</t>
  </si>
  <si>
    <t>24981A05R3</t>
  </si>
  <si>
    <t>NAMMI VENKATA SATYA NARAYANA</t>
  </si>
  <si>
    <t>24981A05R4</t>
  </si>
  <si>
    <t>NADUPURU YASHWANTH</t>
  </si>
  <si>
    <t>24981A05R5</t>
  </si>
  <si>
    <t>NAGURI PAVAN KUMAR REDDY</t>
  </si>
  <si>
    <t>24981A05R6</t>
  </si>
  <si>
    <t>NALLA SAI DEVA HARSHA</t>
  </si>
  <si>
    <t>24981A05R7</t>
  </si>
  <si>
    <t>NALLAPATRUNI DURGA PRASAD</t>
  </si>
  <si>
    <t>24981A05R8</t>
  </si>
  <si>
    <t>NARMALA BHARGAVI</t>
  </si>
  <si>
    <t>24981A05R9</t>
  </si>
  <si>
    <t>NERADABILLI MOHANARAO</t>
  </si>
  <si>
    <t>24981A05RA</t>
  </si>
  <si>
    <t>PADALA LEKHYA</t>
  </si>
  <si>
    <t>24981A05RB</t>
  </si>
  <si>
    <t>PERAMBUDURU KUNDHANA VAISHNAVI</t>
  </si>
  <si>
    <t>24981A05RC</t>
  </si>
  <si>
    <t>POLANKAMPALLI SANJAY</t>
  </si>
  <si>
    <t>24981A05RD</t>
  </si>
  <si>
    <t>POTNURU BHAVANI</t>
  </si>
  <si>
    <t>24981A05RE</t>
  </si>
  <si>
    <t>RAMISETTI CHAITANYA</t>
  </si>
  <si>
    <t>24981A05RF</t>
  </si>
  <si>
    <t>SAKALABAKTHULA HEMA HASINI</t>
  </si>
  <si>
    <t>24981A05RG</t>
  </si>
  <si>
    <t>SARAGADAM RESWANTH</t>
  </si>
  <si>
    <t>24981A05RH</t>
  </si>
  <si>
    <t>SETTI KRANTHI KUMAR</t>
  </si>
  <si>
    <t>24981A05RI</t>
  </si>
  <si>
    <t>SIMHADRI KANAKA RAJU</t>
  </si>
  <si>
    <t>24981A05RJ</t>
  </si>
  <si>
    <t>SIRIKI DEVI CHARAN TEJA</t>
  </si>
  <si>
    <t>24981A05RK</t>
  </si>
  <si>
    <t>TAMTAM RAM SAI CHARAN</t>
  </si>
  <si>
    <t>24981A05RL</t>
  </si>
  <si>
    <t>TELLAGADDAM YASWANTH SAI</t>
  </si>
  <si>
    <t>24981A05RM</t>
  </si>
  <si>
    <t>TERLI DEEPIKA</t>
  </si>
  <si>
    <t>24981A05RN</t>
  </si>
  <si>
    <t>THOTA SIVA DURGA RAO</t>
  </si>
  <si>
    <t>24981A05RP</t>
  </si>
  <si>
    <t>TUMMALA ASWANI SAI TEJA</t>
  </si>
  <si>
    <t>24981A05RQ</t>
  </si>
  <si>
    <t>VALLE JAYAVARDHAN</t>
  </si>
  <si>
    <t>24981A05RR</t>
  </si>
  <si>
    <t>AMBATI JANARDHAN</t>
  </si>
  <si>
    <t>24981A05RS</t>
  </si>
  <si>
    <t>ADAPALA AVINASH</t>
  </si>
  <si>
    <t>24981A05RT</t>
  </si>
  <si>
    <t>ALLU JAHNAVI</t>
  </si>
  <si>
    <t>24981A05RU</t>
  </si>
  <si>
    <t>GORLI SAI NITEESH</t>
  </si>
  <si>
    <t>CSE - M</t>
  </si>
  <si>
    <t>&gt;75</t>
  </si>
  <si>
    <t>&gt;65 AND &lt;74</t>
  </si>
  <si>
    <t>&gt;50 AND &lt;64</t>
  </si>
  <si>
    <t>&gt;25 AND &lt;49</t>
  </si>
  <si>
    <t>&gt;1 AND &lt;24</t>
  </si>
  <si>
    <t>2024 AB CSE-N (REC) II B.Tech I Semester Attendance as on 11.06.2025 onwards</t>
  </si>
  <si>
    <t>24981A05RV</t>
  </si>
  <si>
    <t>BIDDIKA AJAY</t>
  </si>
  <si>
    <t>24981A05RW</t>
  </si>
  <si>
    <t>BONGI RUCHITHA</t>
  </si>
  <si>
    <t>24981A05RX</t>
  </si>
  <si>
    <t>CHINAPANA AJAY</t>
  </si>
  <si>
    <t>24981A05RY</t>
  </si>
  <si>
    <t>CHINTA JAHNAVI</t>
  </si>
  <si>
    <t>24981A05RZ</t>
  </si>
  <si>
    <t>CHIRRA SANTHOSH REDDY</t>
  </si>
  <si>
    <t>24981A05S0</t>
  </si>
  <si>
    <t>DARLA PRAVEEN KUMAR</t>
  </si>
  <si>
    <t>24981A05S1</t>
  </si>
  <si>
    <t>DEVARAPALLI GLORY JASIKA</t>
  </si>
  <si>
    <t>24981A05S2</t>
  </si>
  <si>
    <t>DOPPALA GOUTHAM</t>
  </si>
  <si>
    <t>24981A05S3</t>
  </si>
  <si>
    <t>DURISETI USHA ABHINAYA</t>
  </si>
  <si>
    <t>24981A05S4</t>
  </si>
  <si>
    <t>GODA KAUSHIK</t>
  </si>
  <si>
    <t>24981A05S5</t>
  </si>
  <si>
    <t>GOLLAPALLI ARAVIND</t>
  </si>
  <si>
    <t>24981A05S6</t>
  </si>
  <si>
    <t>GOLLAPALLI MAHENDRA</t>
  </si>
  <si>
    <t>24981A05S7</t>
  </si>
  <si>
    <t>GORLE PARAMESH KUMAR</t>
  </si>
  <si>
    <t>24981A05S8</t>
  </si>
  <si>
    <t>GORUSETTI NITHIN</t>
  </si>
  <si>
    <t>24981A05S9</t>
  </si>
  <si>
    <t>GOWRIPATTAPU HARSHAVARDHAN</t>
  </si>
  <si>
    <t>24981A05SA</t>
  </si>
  <si>
    <t>GUNTHA RAHUL</t>
  </si>
  <si>
    <t>24981A05SB</t>
  </si>
  <si>
    <t>GURUNADHAM MANOHAR</t>
  </si>
  <si>
    <t>24981A05SC</t>
  </si>
  <si>
    <t>INJETI PRIYADARSHINI</t>
  </si>
  <si>
    <t>24981A05SD</t>
  </si>
  <si>
    <t>IPPILI HASINI</t>
  </si>
  <si>
    <t>24981A05SE</t>
  </si>
  <si>
    <t>JALIYA VIVEK</t>
  </si>
  <si>
    <t>24981A05SF</t>
  </si>
  <si>
    <t>JAMANA GURU CHARAN TEJA</t>
  </si>
  <si>
    <t>24981A05SG</t>
  </si>
  <si>
    <t>KAKARA HEMANTH KAKODHKAR</t>
  </si>
  <si>
    <t>24981A05SH</t>
  </si>
  <si>
    <t>KAMMINANA MANASA</t>
  </si>
  <si>
    <t>24981A05SI</t>
  </si>
  <si>
    <t>KARUPATI ASIRVADAM</t>
  </si>
  <si>
    <t>24981A05SJ</t>
  </si>
  <si>
    <t>KASARLA CHARANKUMAR</t>
  </si>
  <si>
    <t>24981A05SK</t>
  </si>
  <si>
    <t>KATTA ACHYUTH KUMAR</t>
  </si>
  <si>
    <t>24981A05SL</t>
  </si>
  <si>
    <t>KOLLI KARTHIK</t>
  </si>
  <si>
    <t>24981A05SM</t>
  </si>
  <si>
    <t>KONDALA VASANTHA KUMAR</t>
  </si>
  <si>
    <t>24981A05SN</t>
  </si>
  <si>
    <t>KONNI LOKESH</t>
  </si>
  <si>
    <t>24981A05SP</t>
  </si>
  <si>
    <t>KOPPISETTI SATYA VENKATA SURYA DURGAPRASAD</t>
  </si>
  <si>
    <t>24981A05SQ</t>
  </si>
  <si>
    <t>KORRA CHANDANA</t>
  </si>
  <si>
    <t>24981A05SR</t>
  </si>
  <si>
    <t>KUKKALA ANAND</t>
  </si>
  <si>
    <t>24981A05SS</t>
  </si>
  <si>
    <t>LAKKIMSETTI LOHITH KUMARA SWAMY</t>
  </si>
  <si>
    <t>24981A05ST</t>
  </si>
  <si>
    <t>LOTLA SRI SATYA NAVADEEP</t>
  </si>
  <si>
    <t>24981A05SU</t>
  </si>
  <si>
    <t>MANIKANETULA MOUNIKA</t>
  </si>
  <si>
    <t>24981A05SV</t>
  </si>
  <si>
    <t>MADUGULA SAI DORA</t>
  </si>
  <si>
    <t>24981A05SW</t>
  </si>
  <si>
    <t>MAMIDI KARTHIK</t>
  </si>
  <si>
    <t>24981A05SX</t>
  </si>
  <si>
    <t>MATTA GIRIPRIYA</t>
  </si>
  <si>
    <t>24981A05SY</t>
  </si>
  <si>
    <t>METTA DEEPTHI</t>
  </si>
  <si>
    <t>24981A05SZ</t>
  </si>
  <si>
    <t>MODALAVALASA JYOTHI SWAROOP</t>
  </si>
  <si>
    <t>24981A05T0</t>
  </si>
  <si>
    <t>MUHAMMAD AFZAL</t>
  </si>
  <si>
    <t>24981A05T1</t>
  </si>
  <si>
    <t>N KAVYA KRISHNA</t>
  </si>
  <si>
    <t>24981A05T2</t>
  </si>
  <si>
    <t>BEJJAMKI NARENDRA</t>
  </si>
  <si>
    <t>24981A05T3</t>
  </si>
  <si>
    <t>PAIDI PARIMALA</t>
  </si>
  <si>
    <t>24981A05T4</t>
  </si>
  <si>
    <t>PALLEKONDA SIRI CHANDANA</t>
  </si>
  <si>
    <t>24981A05T5</t>
  </si>
  <si>
    <t>PANDRANKI CHANDRA SEKHAR</t>
  </si>
  <si>
    <t>24981A05T6</t>
  </si>
  <si>
    <t>PARAPATI MAHESH</t>
  </si>
  <si>
    <t>24981A05T7</t>
  </si>
  <si>
    <t>PEETANI JOSHI NAGA VENKATA SAILAKSHMI</t>
  </si>
  <si>
    <t>24981A05T8</t>
  </si>
  <si>
    <t>RUTTALA KUMAR KARTHIK</t>
  </si>
  <si>
    <t>24981A05T9</t>
  </si>
  <si>
    <t>RAGINI DEVI PRASAD</t>
  </si>
  <si>
    <t>24981A05TA</t>
  </si>
  <si>
    <t>RAMPATHOTI NANI BABU</t>
  </si>
  <si>
    <t>24981A05TB</t>
  </si>
  <si>
    <t>SAGIRAJU LOHITHVARMA</t>
  </si>
  <si>
    <t>24981A05TD</t>
  </si>
  <si>
    <t>SHAIK SHANVAZ</t>
  </si>
  <si>
    <t>24981A05TE</t>
  </si>
  <si>
    <t>TEPPALA MADHU</t>
  </si>
  <si>
    <t>24981A05TF</t>
  </si>
  <si>
    <t>THONTA SRINU</t>
  </si>
  <si>
    <t>24981A05TG</t>
  </si>
  <si>
    <t>TIPPANA HEMALATHA</t>
  </si>
  <si>
    <t>24981A05TH</t>
  </si>
  <si>
    <t>VADAREVU ANITHA</t>
  </si>
  <si>
    <t>24981A05TI</t>
  </si>
  <si>
    <t>VANACHARLA CHANDAN</t>
  </si>
  <si>
    <t>24981A05TJ</t>
  </si>
  <si>
    <t>VEERABATHINI STEFFI STRONG</t>
  </si>
  <si>
    <t>24981A05TK</t>
  </si>
  <si>
    <t>VELIGATLA PARDHU VENKATA SAI</t>
  </si>
  <si>
    <t>24981A05TL</t>
  </si>
  <si>
    <t>VILLA SAI TARISH</t>
  </si>
  <si>
    <t>24981A05TM</t>
  </si>
  <si>
    <t>YERUKALA TEJA</t>
  </si>
  <si>
    <t>24981A05TN</t>
  </si>
  <si>
    <t>GOLLAPALLI VIGNESH</t>
  </si>
  <si>
    <t>24981A05TP</t>
  </si>
  <si>
    <t>DARLA VENKATA DHANUSH</t>
  </si>
  <si>
    <t>24981A05TQ</t>
  </si>
  <si>
    <t>ALLAMSETTI VAMSI</t>
  </si>
  <si>
    <t>24981A05TR</t>
  </si>
  <si>
    <t>BANGARI NIVAS</t>
  </si>
  <si>
    <t>25985A0501</t>
  </si>
  <si>
    <t>ADARI JAGAN</t>
  </si>
  <si>
    <t>25985A0502</t>
  </si>
  <si>
    <t>ALLA VARSHITH</t>
  </si>
  <si>
    <t>25985A0503</t>
  </si>
  <si>
    <t>ALUGOLU LOKESH</t>
  </si>
  <si>
    <t>25985A0504</t>
  </si>
  <si>
    <t>AMARESU BHAVANA</t>
  </si>
  <si>
    <t>25985A0505</t>
  </si>
  <si>
    <t>ANALA SANTHOSHINI</t>
  </si>
  <si>
    <t>25985A0506</t>
  </si>
  <si>
    <t>ANDIBOYINA DURGA REVATHI</t>
  </si>
  <si>
    <t>CSE - N</t>
  </si>
  <si>
    <t>2024 AB CSE-O(REC) II B.Tech I Semester Attendance as on 11.06.2025 onwards</t>
  </si>
  <si>
    <t>24981A05TS</t>
  </si>
  <si>
    <t>VANDANA THANU SRI</t>
  </si>
  <si>
    <t>24981A05TT</t>
  </si>
  <si>
    <t>BAKI SAI SRUJANA</t>
  </si>
  <si>
    <t>24981A05TU</t>
  </si>
  <si>
    <t>BOGADI VENI CHANDRIKA</t>
  </si>
  <si>
    <t>24981A05TV</t>
  </si>
  <si>
    <t>BOJJA VINEEL</t>
  </si>
  <si>
    <t>24981A05TW</t>
  </si>
  <si>
    <t>BOOSA LOKESWARI</t>
  </si>
  <si>
    <t>24981A05TX</t>
  </si>
  <si>
    <t>CHUKKA RESHMA</t>
  </si>
  <si>
    <t>24981A05TY</t>
  </si>
  <si>
    <t>DAGGUPATI KARTHIK</t>
  </si>
  <si>
    <t>24981A05TZ</t>
  </si>
  <si>
    <t>DAMARASINGI LAHARI</t>
  </si>
  <si>
    <t>24981A05U0</t>
  </si>
  <si>
    <t>DONAKA HEPSIBHA</t>
  </si>
  <si>
    <t>24981A05U1</t>
  </si>
  <si>
    <t>DOWLAPALLI YOGESH</t>
  </si>
  <si>
    <t>24981A05U2</t>
  </si>
  <si>
    <t>DURGAM NEHAL NIHARIKA</t>
  </si>
  <si>
    <t>24981A05U3</t>
  </si>
  <si>
    <t>EMANDI BHUVAN VENKATA SAI</t>
  </si>
  <si>
    <t>24981A05U5</t>
  </si>
  <si>
    <t>GANDEPALLI JAYAPRAKASH</t>
  </si>
  <si>
    <t>24981A05U6</t>
  </si>
  <si>
    <t>GINNI MOHAN SAI KUMAR REDDY</t>
  </si>
  <si>
    <t>24981A05U7</t>
  </si>
  <si>
    <t>GUDIVADA KRISHNAVENI</t>
  </si>
  <si>
    <t>24981A05U8</t>
  </si>
  <si>
    <t>GUJJELA DEVI</t>
  </si>
  <si>
    <t>24981A05U9</t>
  </si>
  <si>
    <t>ILLURI ANAND BABU</t>
  </si>
  <si>
    <t>24981A05UA</t>
  </si>
  <si>
    <t>JEERU DHEERAJ REDDY</t>
  </si>
  <si>
    <t>24981A05UB</t>
  </si>
  <si>
    <t>JALUMURI TULASI</t>
  </si>
  <si>
    <t>24981A05UC</t>
  </si>
  <si>
    <t>JOSHUA ANTHONY SUDHAKAR</t>
  </si>
  <si>
    <t>24981A05UD</t>
  </si>
  <si>
    <t>KOMMANAMANCHI SAI HANISHA</t>
  </si>
  <si>
    <t>24981A05UE</t>
  </si>
  <si>
    <t>KORANANA MANIKANTA</t>
  </si>
  <si>
    <t>24981A05UF</t>
  </si>
  <si>
    <t>VEMULAMANDA SHANMUK SAI SANTHOSH VARMA</t>
  </si>
  <si>
    <t>24981A05UG</t>
  </si>
  <si>
    <t>KAMBAPU BHAVANI</t>
  </si>
  <si>
    <t>24981A05UH</t>
  </si>
  <si>
    <t>KANDIKATLA KEERTAN RAHUL SIDDU</t>
  </si>
  <si>
    <t>24981A05UI</t>
  </si>
  <si>
    <t>YELLETI JYOTHI</t>
  </si>
  <si>
    <t>24981A05UJ</t>
  </si>
  <si>
    <t>KARINKI DINESH</t>
  </si>
  <si>
    <t>24981A05UK</t>
  </si>
  <si>
    <t>KOLA NOMIKA</t>
  </si>
  <si>
    <t>24981A05UL</t>
  </si>
  <si>
    <t>KOMMOJU VYSHNAVI</t>
  </si>
  <si>
    <t>24981A05UM</t>
  </si>
  <si>
    <t>KONAKALLA HEMANTH BABU</t>
  </si>
  <si>
    <t>24981A05UN</t>
  </si>
  <si>
    <t>KORUPOLU CHANDRIKA</t>
  </si>
  <si>
    <t>24981A05UP</t>
  </si>
  <si>
    <t>KOTHURU SAI CHARAN</t>
  </si>
  <si>
    <t>24981A05UQ</t>
  </si>
  <si>
    <t>KOTTALA JAYANTHI</t>
  </si>
  <si>
    <t>24981A05UR</t>
  </si>
  <si>
    <t>LIMMI PRAVEEN BISAI</t>
  </si>
  <si>
    <t>24981A05US</t>
  </si>
  <si>
    <t>MOLLI CHANDRA KIRAN YADAV</t>
  </si>
  <si>
    <t>24981A05UT</t>
  </si>
  <si>
    <t>MANDAVILLI SOHITHA</t>
  </si>
  <si>
    <t>24981A05UU</t>
  </si>
  <si>
    <t>MEESALA JYOTHI SAI</t>
  </si>
  <si>
    <t>24981A05UV</t>
  </si>
  <si>
    <t>MEHNAZ ZAHERA</t>
  </si>
  <si>
    <t>24981A05UW</t>
  </si>
  <si>
    <t>MOHAMMAD ASMA</t>
  </si>
  <si>
    <t>24981A05UX</t>
  </si>
  <si>
    <t>MOSYA SIDDARTH JAIN</t>
  </si>
  <si>
    <t>24981A05UY</t>
  </si>
  <si>
    <t>MULLA DAAYANA</t>
  </si>
  <si>
    <t>24981A05UZ</t>
  </si>
  <si>
    <t>MUNUKOTI VENKATA KARTHIK</t>
  </si>
  <si>
    <t>24981A05V0</t>
  </si>
  <si>
    <t>NAKKA BHAVANA REDDY</t>
  </si>
  <si>
    <t>24981A05V1</t>
  </si>
  <si>
    <t>NAGALA MOUNIKA</t>
  </si>
  <si>
    <t>24981A05V2</t>
  </si>
  <si>
    <t>NAGAVARAPU KUSUMA KUMARI</t>
  </si>
  <si>
    <t>24981A05V3</t>
  </si>
  <si>
    <t>NEELLA KARUNA KUMAR</t>
  </si>
  <si>
    <t>24981A05V4</t>
  </si>
  <si>
    <t>YENNI MEENAKSHI</t>
  </si>
  <si>
    <t>24981A05V5</t>
  </si>
  <si>
    <t>NERELLA DINESH KUMARI</t>
  </si>
  <si>
    <t>24981A05V6</t>
  </si>
  <si>
    <t>NETALA SUKUMAR</t>
  </si>
  <si>
    <t>24981A05V7</t>
  </si>
  <si>
    <t>PONUGUPATY SAI PAVAN</t>
  </si>
  <si>
    <t>24981A05V8</t>
  </si>
  <si>
    <t>PULLETI SAMPATH</t>
  </si>
  <si>
    <t>24981A05V9</t>
  </si>
  <si>
    <t>PEDAPATI BHARATH KUMAR</t>
  </si>
  <si>
    <t>24981A05VA</t>
  </si>
  <si>
    <t>PILLA VAMSI</t>
  </si>
  <si>
    <t>24981A05VB</t>
  </si>
  <si>
    <t>POTLA DILEEP</t>
  </si>
  <si>
    <t>24981A05VC</t>
  </si>
  <si>
    <t>SESETTI KUSHAL KUMAR</t>
  </si>
  <si>
    <t>24981A05VD</t>
  </si>
  <si>
    <t>ABDUL RASHED</t>
  </si>
  <si>
    <t>24981A05VE</t>
  </si>
  <si>
    <t>SHAIK ALTHAF</t>
  </si>
  <si>
    <t>24981A05VF</t>
  </si>
  <si>
    <t>SHAIK SHAMEEM BHANU</t>
  </si>
  <si>
    <t>24981A05VG</t>
  </si>
  <si>
    <t>SIMMALA SAILAJA</t>
  </si>
  <si>
    <t>24981A05VH</t>
  </si>
  <si>
    <t>SONDI RAHUL</t>
  </si>
  <si>
    <t>24981A05VI</t>
  </si>
  <si>
    <t>SURADA KIRANMAYI</t>
  </si>
  <si>
    <t>24981A05VJ</t>
  </si>
  <si>
    <t>SUVVARI SAILAJA</t>
  </si>
  <si>
    <t>24981A05VK</t>
  </si>
  <si>
    <t>UPPADA KEERTHI</t>
  </si>
  <si>
    <t>24981A05VL</t>
  </si>
  <si>
    <t>VANAPALLI DINESH</t>
  </si>
  <si>
    <t>24981A05VM</t>
  </si>
  <si>
    <t>VANKA RISHI</t>
  </si>
  <si>
    <t>24981A05VN</t>
  </si>
  <si>
    <t>ATHIKINASETTI AKASH</t>
  </si>
  <si>
    <t>24981A05VP</t>
  </si>
  <si>
    <t>BORA HARSHAVARDHAN REDDY</t>
  </si>
  <si>
    <t>24981A05VQ</t>
  </si>
  <si>
    <t>BILLASONTI KSHANDINI</t>
  </si>
  <si>
    <t>24981A05VS</t>
  </si>
  <si>
    <t>ABDUL SHAHID</t>
  </si>
  <si>
    <t>23981A05AJ</t>
  </si>
  <si>
    <t>VARTHANA VISHNU VARDHAN NANI BABU</t>
  </si>
  <si>
    <t>23981A05J9</t>
  </si>
  <si>
    <t>GAZULA VINUSHA HANI</t>
  </si>
  <si>
    <t>CSE - O</t>
  </si>
  <si>
    <t>2025 AB CSE-P (REC) II B.Tech I Semester Attendance as on 11.06.2.205 onwards</t>
  </si>
  <si>
    <t>25985A0507</t>
  </si>
  <si>
    <t>ANGULURI LAHARI</t>
  </si>
  <si>
    <t>25985A0508</t>
  </si>
  <si>
    <t>AVANIGADDA VINAY</t>
  </si>
  <si>
    <t>25985A0509</t>
  </si>
  <si>
    <t>BAIPOTHU GEYASRI</t>
  </si>
  <si>
    <t>25985A0510</t>
  </si>
  <si>
    <t>BALI MAHESH BABU</t>
  </si>
  <si>
    <t>25985A0511</t>
  </si>
  <si>
    <t>BALLA ANJI AKASH</t>
  </si>
  <si>
    <t>25985A0512</t>
  </si>
  <si>
    <t>BANDELA GANESH</t>
  </si>
  <si>
    <t>25985A0513</t>
  </si>
  <si>
    <t>BARNIKALA NITHIN</t>
  </si>
  <si>
    <t>25985A0514</t>
  </si>
  <si>
    <t>BHIMAVARAPU GEETHU</t>
  </si>
  <si>
    <t>25985A0515</t>
  </si>
  <si>
    <t>BODAPUDI DEVI PAVANI</t>
  </si>
  <si>
    <t>25985A0516</t>
  </si>
  <si>
    <t>BODDU AKSHY KUMAR</t>
  </si>
  <si>
    <t>25985A0517</t>
  </si>
  <si>
    <t>BOJJA MADHUSUDHAN RAO</t>
  </si>
  <si>
    <t>25985A0518</t>
  </si>
  <si>
    <t>BOTCHU MOKSHA SAI</t>
  </si>
  <si>
    <t>25985A0519</t>
  </si>
  <si>
    <t>BURAGAPU LASYA CHANDRIKA</t>
  </si>
  <si>
    <t>25985A0520</t>
  </si>
  <si>
    <t>BUTHADA VINAY</t>
  </si>
  <si>
    <t>25985A0521</t>
  </si>
  <si>
    <t>BYRISETTI KAMALESH</t>
  </si>
  <si>
    <t>25985A0522</t>
  </si>
  <si>
    <t>CHATLA SNEHA</t>
  </si>
  <si>
    <t>25985A0523</t>
  </si>
  <si>
    <t>CHEEKATLA UDAY SAI BHASKAR</t>
  </si>
  <si>
    <t>25985A0524</t>
  </si>
  <si>
    <t>CHIKKALA ROHITH KUMAR</t>
  </si>
  <si>
    <t>25985A0525</t>
  </si>
  <si>
    <t>CHILAKA SUVARNA KUMARI</t>
  </si>
  <si>
    <t>25985A0526</t>
  </si>
  <si>
    <t>CHINTAPALLI SAI</t>
  </si>
  <si>
    <t>25985A0527</t>
  </si>
  <si>
    <t>CHITTURI SAMUEL</t>
  </si>
  <si>
    <t>25985A0528</t>
  </si>
  <si>
    <t>DANABALA SAILAJA</t>
  </si>
  <si>
    <t>25985A0529</t>
  </si>
  <si>
    <t>DEVAGANUGULA N V D S S KOTESH</t>
  </si>
  <si>
    <t>25985A0530</t>
  </si>
  <si>
    <t>DINESH KUMAR CHIDARABOYINA</t>
  </si>
  <si>
    <t>25985A0531</t>
  </si>
  <si>
    <t>DOPPALAPUDI HEMANTH</t>
  </si>
  <si>
    <t>25985A0532</t>
  </si>
  <si>
    <t>DUVVARAPU YASWANTH</t>
  </si>
  <si>
    <t>25985A0533</t>
  </si>
  <si>
    <t>ELAPANDA PURNIMA</t>
  </si>
  <si>
    <t>25985A0534</t>
  </si>
  <si>
    <t>GEDDAM SANJAY KUMAR</t>
  </si>
  <si>
    <t>25985A0535</t>
  </si>
  <si>
    <t>GOPASANA ANUSH KUMAR</t>
  </si>
  <si>
    <t>25985A0536</t>
  </si>
  <si>
    <t>GOTTAPU BHANU PRAKASH</t>
  </si>
  <si>
    <t>25985A0537</t>
  </si>
  <si>
    <t>GUDURI KUMARA VEERA VENKATA SUBRAHMANYAM</t>
  </si>
  <si>
    <t>25985A0538</t>
  </si>
  <si>
    <t>GUNTUR PAVAN</t>
  </si>
  <si>
    <t>25985A0539</t>
  </si>
  <si>
    <t>GURAJAPU THARUN</t>
  </si>
  <si>
    <t>25985A0540</t>
  </si>
  <si>
    <t>GURANA SWAPNA</t>
  </si>
  <si>
    <t>25985A0541</t>
  </si>
  <si>
    <t>ILAPARTHI ISSAKU</t>
  </si>
  <si>
    <t>25985A0542</t>
  </si>
  <si>
    <t>JALLU KUSUMA</t>
  </si>
  <si>
    <t>25985A0543</t>
  </si>
  <si>
    <t>JAMAMU ESWARA RAO</t>
  </si>
  <si>
    <t>25985A0544</t>
  </si>
  <si>
    <t>JAMI CHARITHA</t>
  </si>
  <si>
    <t>25985A0545</t>
  </si>
  <si>
    <t>JANAPAREDDY YOGAMRUTHA</t>
  </si>
  <si>
    <t>25985A0546</t>
  </si>
  <si>
    <t>JANGILI BUNNY</t>
  </si>
  <si>
    <t>25985A0547</t>
  </si>
  <si>
    <t>JEELAKARRA RAJESH</t>
  </si>
  <si>
    <t>25985A0548</t>
  </si>
  <si>
    <t>KALLA JASWANTH</t>
  </si>
  <si>
    <t>25985A0549</t>
  </si>
  <si>
    <t>KAMANA SAI SANTHOSH</t>
  </si>
  <si>
    <t>25985A0550</t>
  </si>
  <si>
    <t>KAMBALA DHANUSH KUMAR</t>
  </si>
  <si>
    <t>25985A0551</t>
  </si>
  <si>
    <t>KANAPAREDDY SAI MOHAN</t>
  </si>
  <si>
    <t>25985A0552</t>
  </si>
  <si>
    <t>KANITHI NEHA</t>
  </si>
  <si>
    <t>25985A0553</t>
  </si>
  <si>
    <t>KANITHI VENKATARAMANA</t>
  </si>
  <si>
    <t>25985A0554</t>
  </si>
  <si>
    <t>KANUGULA THRINAYANI</t>
  </si>
  <si>
    <t>25985A0555</t>
  </si>
  <si>
    <t>KAPU DINESH</t>
  </si>
  <si>
    <t>25985A0556</t>
  </si>
  <si>
    <t>KARANAM SRAVANI</t>
  </si>
  <si>
    <t>25985A0557</t>
  </si>
  <si>
    <t>KARUKOLA AKHIL</t>
  </si>
  <si>
    <t>25985A0558</t>
  </si>
  <si>
    <t>KELLA BHARGAV VENKATA NAGA TEJA</t>
  </si>
  <si>
    <t>25985A0559</t>
  </si>
  <si>
    <t>KILLANA DILLESWARI</t>
  </si>
  <si>
    <t>25985A0560</t>
  </si>
  <si>
    <t>KOLLI DIVAKAR SAI KRISHNA</t>
  </si>
  <si>
    <t>25985A0561</t>
  </si>
  <si>
    <t>KOLUSU HARI BABU</t>
  </si>
  <si>
    <t>25985A0562</t>
  </si>
  <si>
    <t>KOPPISETTI SANTOSHKUMAR</t>
  </si>
  <si>
    <t>25985A0563</t>
  </si>
  <si>
    <t>KORUKONDA DAVID BLESSON</t>
  </si>
  <si>
    <t>25985A0564</t>
  </si>
  <si>
    <t>KOTA REENA MAITHILI</t>
  </si>
  <si>
    <t>25985A0565</t>
  </si>
  <si>
    <t>KOTUPALLI KAVYA</t>
  </si>
  <si>
    <t>25985A0566</t>
  </si>
  <si>
    <t>KUDUPUDI PAVAN SAI SATISH</t>
  </si>
  <si>
    <t>25985A0567</t>
  </si>
  <si>
    <t>KUMMARAGUNTA POOJITHA</t>
  </si>
  <si>
    <t>25985A0568</t>
  </si>
  <si>
    <t>KUMPATLA PULLAYYA NAIDU</t>
  </si>
  <si>
    <t>25985A0569</t>
  </si>
  <si>
    <t>KURUMUJU RAJESH</t>
  </si>
  <si>
    <t>25985A0570</t>
  </si>
  <si>
    <t>KUSUMA SAMUEL</t>
  </si>
  <si>
    <t>25985A0571</t>
  </si>
  <si>
    <t>LANKA SATISH</t>
  </si>
  <si>
    <t>25985A0572</t>
  </si>
  <si>
    <t>MADDILI KIRAN KUMAR</t>
  </si>
  <si>
    <t>25985A0573</t>
  </si>
  <si>
    <t>MADE NAGA CHAITHANYA</t>
  </si>
  <si>
    <t>25985A0574</t>
  </si>
  <si>
    <t>MARNI ABHINAYA</t>
  </si>
  <si>
    <t>25985A0575</t>
  </si>
  <si>
    <t>MERUGUMALLA JOSEPH</t>
  </si>
  <si>
    <t>25985A0576</t>
  </si>
  <si>
    <t>MITTANA LAXMI DEVI</t>
  </si>
  <si>
    <t>25985A0577</t>
  </si>
  <si>
    <t>MOLLETI DHANAJI</t>
  </si>
  <si>
    <t>25985A0578</t>
  </si>
  <si>
    <t>MOYILLA VEERA LAKSHMI</t>
  </si>
  <si>
    <t>25985A0579</t>
  </si>
  <si>
    <t>MUDDINETI KIRAN</t>
  </si>
  <si>
    <t>25985A0580</t>
  </si>
  <si>
    <t>MUNAKALA TARUN</t>
  </si>
  <si>
    <t>25985A0581</t>
  </si>
  <si>
    <t>NAGIRIKATAKAM SAI</t>
  </si>
  <si>
    <t>CSE - P</t>
  </si>
  <si>
    <t>2025 AB CSE-Q (REC) II B.Tech I Semester Attendance as on 11.06.2.205 onwards</t>
  </si>
  <si>
    <t>25985A0582</t>
  </si>
  <si>
    <t>NALLA VINAY KUMAR</t>
  </si>
  <si>
    <t>25985A0583</t>
  </si>
  <si>
    <t>NARAVA SRI HARI KARTHIK</t>
  </si>
  <si>
    <t>25985A0584</t>
  </si>
  <si>
    <t>NERALLA DILLESWARA RAO</t>
  </si>
  <si>
    <t>25985A0585</t>
  </si>
  <si>
    <t>PAIDI SIVA PRASAD</t>
  </si>
  <si>
    <t>25985A0586</t>
  </si>
  <si>
    <t>PAILA VYKUNTA RAO</t>
  </si>
  <si>
    <t>25985A0587</t>
  </si>
  <si>
    <t>PALLA SIVA SHANKAR</t>
  </si>
  <si>
    <t>25985A0588</t>
  </si>
  <si>
    <t>PALLA SUBHASH</t>
  </si>
  <si>
    <t>25985A0589</t>
  </si>
  <si>
    <t>PATARLAPALLI SRAVANTHI</t>
  </si>
  <si>
    <t>25985A0590</t>
  </si>
  <si>
    <t>PATHALA VENU</t>
  </si>
  <si>
    <t>25985A0591</t>
  </si>
  <si>
    <t>PENKI PARDHA SARADHI</t>
  </si>
  <si>
    <t>25985A0592</t>
  </si>
  <si>
    <t>PENUGURTHY PURNIMA</t>
  </si>
  <si>
    <t>25985A0593</t>
  </si>
  <si>
    <t>PINABOINA JAYA SURYA</t>
  </si>
  <si>
    <t>25985A0594</t>
  </si>
  <si>
    <t>PINDI PYDI VENKATA GANESH</t>
  </si>
  <si>
    <t>25985A0595</t>
  </si>
  <si>
    <t>POOLAGONI MANASA</t>
  </si>
  <si>
    <t>25985A0596</t>
  </si>
  <si>
    <t>POTHALA SRI RATNA</t>
  </si>
  <si>
    <t>25985A0597</t>
  </si>
  <si>
    <t>POTHU SRINIVASA RAO</t>
  </si>
  <si>
    <t>25985A0598</t>
  </si>
  <si>
    <t>PRASADULA VINAY KUMAR</t>
  </si>
  <si>
    <t>25985A0599</t>
  </si>
  <si>
    <t>PULIVARTHI VENKATESH</t>
  </si>
  <si>
    <t>25985A05A0</t>
  </si>
  <si>
    <t>PYDADA SAILU</t>
  </si>
  <si>
    <t>25985A05A1</t>
  </si>
  <si>
    <t>RAJETI SHINY</t>
  </si>
  <si>
    <t>25985A05A2</t>
  </si>
  <si>
    <t>RASAMSETTI YUVA SATYA PRASANNA</t>
  </si>
  <si>
    <t>25985A05A3</t>
  </si>
  <si>
    <t>RAYAPUDI SUMANTH</t>
  </si>
  <si>
    <t>25985A05A4</t>
  </si>
  <si>
    <t>RAYI MANI KANTA</t>
  </si>
  <si>
    <t>25985A05A5</t>
  </si>
  <si>
    <t>SALUGULA BHANU SRI</t>
  </si>
  <si>
    <t>25985A05A6</t>
  </si>
  <si>
    <t>SAMBANGI SRAVANI</t>
  </si>
  <si>
    <t>25985A05A7</t>
  </si>
  <si>
    <t>SANTHA NAGA CHARAN TEJA</t>
  </si>
  <si>
    <t>25985A05A8</t>
  </si>
  <si>
    <t>SARAGADAM VENKATA GANESH</t>
  </si>
  <si>
    <t>25985A05A9</t>
  </si>
  <si>
    <t>SETTYPALLI KARTHIK</t>
  </si>
  <si>
    <t>25985A05B0</t>
  </si>
  <si>
    <t>SHAIK AHMAD MOHIDDIN</t>
  </si>
  <si>
    <t>25985A05B1</t>
  </si>
  <si>
    <t>SHAIK JOHNVALI</t>
  </si>
  <si>
    <t>25985A05B2</t>
  </si>
  <si>
    <t>SHAIK RAHEEM</t>
  </si>
  <si>
    <t>25985A05B3</t>
  </si>
  <si>
    <t>SHAIK SAMEERA</t>
  </si>
  <si>
    <t>25985A05B4</t>
  </si>
  <si>
    <t>SHAIK YASIN</t>
  </si>
  <si>
    <t>25985A05B5</t>
  </si>
  <si>
    <t>SHEK BASHEER</t>
  </si>
  <si>
    <t>25985A05B6</t>
  </si>
  <si>
    <t>SONTYANA SELINA</t>
  </si>
  <si>
    <t>25985A05B7</t>
  </si>
  <si>
    <t>SUDHEER KUMAR</t>
  </si>
  <si>
    <t>25985A05B8</t>
  </si>
  <si>
    <t>SUNDARAPU HARSHA VARDHAN</t>
  </si>
  <si>
    <t>25985A05B9</t>
  </si>
  <si>
    <t>SURADA NIHARIKA</t>
  </si>
  <si>
    <t>25985A05C0</t>
  </si>
  <si>
    <t>SURAMPUDI SATYA LAKSHMI</t>
  </si>
  <si>
    <t>25985A05C1</t>
  </si>
  <si>
    <t>TADI THARUN</t>
  </si>
  <si>
    <t>25985A05C2</t>
  </si>
  <si>
    <t>TATAVOLU SATYA GANGA LAKSHMI PRASANTHI</t>
  </si>
  <si>
    <t>25985A05C3</t>
  </si>
  <si>
    <t>UDDAGIRI PHANINDRA</t>
  </si>
  <si>
    <t>25985A05C4</t>
  </si>
  <si>
    <t>UMMAREDDY NAGA DINESH</t>
  </si>
  <si>
    <t>25985A05C5</t>
  </si>
  <si>
    <t>UPPADA NITHIN KUMAR</t>
  </si>
  <si>
    <t>25985A05C6</t>
  </si>
  <si>
    <t>VANJARAPU SHANKAR</t>
  </si>
  <si>
    <t>25985A05C7</t>
  </si>
  <si>
    <t>VANTAKULA SATHWIK</t>
  </si>
  <si>
    <t>25985A05C8</t>
  </si>
  <si>
    <t>VARADA RUPA</t>
  </si>
  <si>
    <t>25985A05C9</t>
  </si>
  <si>
    <t>VARADA SOWJANYA</t>
  </si>
  <si>
    <t>25985A05D0</t>
  </si>
  <si>
    <t>VARRI PRUDVI RAJ</t>
  </si>
  <si>
    <t>25985A05D1</t>
  </si>
  <si>
    <t>VASUPALLI KARTHIK NARAYANA</t>
  </si>
  <si>
    <t>25985A05D2</t>
  </si>
  <si>
    <t>VECHALAPU NITHISHA</t>
  </si>
  <si>
    <t>25985A05D3</t>
  </si>
  <si>
    <t>YALAKALA YUVARAJU</t>
  </si>
  <si>
    <t>25985A05D4</t>
  </si>
  <si>
    <t>YELLAPU VENKATA APPALA NAIDU</t>
  </si>
  <si>
    <t>25985A05D5</t>
  </si>
  <si>
    <t>YERIPILLI PRAVEEN PRAKASH</t>
  </si>
  <si>
    <t>25985A05D6</t>
  </si>
  <si>
    <t>KATTA SRI NAGA DURGA MANIKANTA</t>
  </si>
  <si>
    <t>25985A05D7</t>
  </si>
  <si>
    <t>ANDE JYOTHI KRISHNA</t>
  </si>
  <si>
    <t>25985A05D8</t>
  </si>
  <si>
    <t>PENUMAJJI KARTEEK</t>
  </si>
  <si>
    <t>AAKULA ROHITH</t>
  </si>
  <si>
    <t>AKKIREDDY CHARAN</t>
  </si>
  <si>
    <t>ARLI UDAYASHISH</t>
  </si>
  <si>
    <t>BALISETTY HARISH</t>
  </si>
  <si>
    <t>GANSINGHGARI CHAITANYA SINGH</t>
  </si>
  <si>
    <t>GEDELA MADHU</t>
  </si>
  <si>
    <t>GUDIVADA MOHAN</t>
  </si>
  <si>
    <t>GURRAM RAVITEJA</t>
  </si>
  <si>
    <t>KARAGANA VAMSI</t>
  </si>
  <si>
    <t>KOLLI SHANMUKH</t>
  </si>
  <si>
    <t>KOTARI PURNIMA ANILA</t>
  </si>
  <si>
    <t>KUSUMA SHARON</t>
  </si>
  <si>
    <t>NEKKELLA ESWAR VARDHAN</t>
  </si>
  <si>
    <t>PARISERLA KARTHEEK</t>
  </si>
  <si>
    <t>RAYAVARAPU NIHAR</t>
  </si>
  <si>
    <t>SAGI ADITYA GAJAPATI RAJU</t>
  </si>
  <si>
    <t>VASAPILLI RASHMITHA</t>
  </si>
  <si>
    <t>CSE - Q</t>
  </si>
  <si>
    <t>CSE-M</t>
  </si>
  <si>
    <t>CSE-N</t>
  </si>
  <si>
    <t>CSE-O</t>
  </si>
  <si>
    <t>CSE-P</t>
  </si>
  <si>
    <t>CSE-Q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</si>
</sst>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000000"/>
      <name val="Times New Roman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2.0"/>
      <color theme="1"/>
      <name val="Cambria"/>
    </font>
    <font>
      <b/>
      <sz val="11.0"/>
      <color theme="1"/>
      <name val="Calibri"/>
    </font>
    <font>
      <b/>
      <sz val="11.0"/>
      <color rgb="FF000000"/>
      <name val="Calibri"/>
    </font>
    <font>
      <sz val="12.0"/>
      <color theme="1"/>
      <name val="Candara"/>
    </font>
    <font>
      <sz val="13.0"/>
      <color theme="1"/>
      <name val="Cambria"/>
    </font>
    <font>
      <sz val="13.0"/>
      <color rgb="FF000000"/>
      <name val="Candara"/>
    </font>
    <font>
      <sz val="13.0"/>
      <color theme="1"/>
      <name val="Candara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vertical="center"/>
    </xf>
    <xf borderId="8" fillId="2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7" fillId="3" fontId="3" numFmtId="0" xfId="0" applyAlignment="1" applyBorder="1" applyFill="1" applyFont="1">
      <alignment horizontal="center" vertical="bottom"/>
    </xf>
    <xf borderId="11" fillId="2" fontId="1" numFmtId="0" xfId="0" applyAlignment="1" applyBorder="1" applyFont="1">
      <alignment horizontal="center"/>
    </xf>
    <xf borderId="7" fillId="3" fontId="4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7" fillId="2" fontId="3" numFmtId="1" xfId="0" applyAlignment="1" applyBorder="1" applyFont="1" applyNumberFormat="1">
      <alignment horizontal="center"/>
    </xf>
    <xf borderId="7" fillId="3" fontId="4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vertical="bottom"/>
    </xf>
    <xf borderId="8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right"/>
    </xf>
    <xf borderId="7" fillId="3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7" fillId="0" fontId="6" numFmtId="0" xfId="0" applyBorder="1" applyFont="1"/>
    <xf borderId="7" fillId="0" fontId="6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7" fillId="0" fontId="5" numFmtId="0" xfId="0" applyAlignment="1" applyBorder="1" applyFont="1">
      <alignment readingOrder="0"/>
    </xf>
    <xf borderId="7" fillId="0" fontId="8" numFmtId="0" xfId="0" applyAlignment="1" applyBorder="1" applyFont="1">
      <alignment horizontal="left" readingOrder="0" shrinkToFit="0" vertical="bottom" wrapText="0"/>
    </xf>
    <xf borderId="7" fillId="2" fontId="1" numFmtId="0" xfId="0" applyAlignment="1" applyBorder="1" applyFont="1">
      <alignment horizontal="center"/>
    </xf>
    <xf borderId="12" fillId="0" fontId="9" numFmtId="0" xfId="0" applyAlignment="1" applyBorder="1" applyFont="1">
      <alignment vertical="bottom"/>
    </xf>
    <xf borderId="7" fillId="0" fontId="10" numFmtId="0" xfId="0" applyAlignment="1" applyBorder="1" applyFont="1">
      <alignment readingOrder="0" shrinkToFit="0" vertical="bottom" wrapText="0"/>
    </xf>
    <xf borderId="7" fillId="0" fontId="11" numFmtId="0" xfId="0" applyAlignment="1" applyBorder="1" applyFont="1">
      <alignment readingOrder="0" shrinkToFit="0" vertical="bottom" wrapText="0"/>
    </xf>
    <xf borderId="0" fillId="0" fontId="12" numFmtId="0" xfId="0" applyFont="1"/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4.14"/>
    <col customWidth="1" min="3" max="3" width="46.14"/>
    <col customWidth="1" min="4" max="4" width="6.14"/>
    <col customWidth="1" min="5" max="5" width="11.86"/>
    <col customWidth="1" min="6" max="6" width="14.43"/>
  </cols>
  <sheetData>
    <row r="1" ht="26.25" customHeight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4" t="s">
        <v>2</v>
      </c>
      <c r="B3" s="5"/>
      <c r="C3" s="5"/>
      <c r="D3" s="5"/>
      <c r="E3" s="6"/>
    </row>
    <row r="4">
      <c r="A4" s="7" t="s">
        <v>3</v>
      </c>
      <c r="B4" s="7" t="s">
        <v>4</v>
      </c>
      <c r="C4" s="8" t="s">
        <v>5</v>
      </c>
      <c r="D4" s="7" t="s">
        <v>6</v>
      </c>
      <c r="E4" s="7" t="s">
        <v>7</v>
      </c>
    </row>
    <row r="5" ht="22.5" customHeight="1">
      <c r="A5" s="9" t="s">
        <v>8</v>
      </c>
      <c r="B5" s="10"/>
      <c r="C5" s="11"/>
      <c r="D5" s="12">
        <f>IFERROR(__xludf.DUMMYFUNCTION("IMPORTRANGE(""https://docs.google.com/spreadsheets/d/1pcI0H5_o88uChaoz3Jx8Lo2Z71zohG9q1pYbJLiJRZI/edit?gid=1086065120#gid=1086065120"", address(row($Z5),column($Z5),,,""CSE-M""))"),423.0)</f>
        <v>423</v>
      </c>
      <c r="E5" s="13" t="s">
        <v>9</v>
      </c>
    </row>
    <row r="6" ht="17.25" customHeight="1">
      <c r="A6" s="14">
        <v>1.0</v>
      </c>
      <c r="B6" s="15" t="s">
        <v>10</v>
      </c>
      <c r="C6" s="15" t="s">
        <v>11</v>
      </c>
      <c r="D6" s="12">
        <f>IFERROR(__xludf.DUMMYFUNCTION("IMPORTRANGE(""https://docs.google.com/spreadsheets/d/1pcI0H5_o88uChaoz3Jx8Lo2Z71zohG9q1pYbJLiJRZI/edit?gid=1086065120#gid=1086065120"", address(row($Z6),column($Z6),,,""CSE-M""))"),279.0)</f>
        <v>279</v>
      </c>
      <c r="E6" s="16">
        <f t="shared" ref="E6:E78" si="1">ROUND(D6/$D$5*100,0)</f>
        <v>66</v>
      </c>
    </row>
    <row r="7" ht="17.25" customHeight="1">
      <c r="A7" s="17">
        <v>2.0</v>
      </c>
      <c r="B7" s="18" t="s">
        <v>12</v>
      </c>
      <c r="C7" s="18" t="s">
        <v>13</v>
      </c>
      <c r="D7" s="12">
        <f>IFERROR(__xludf.DUMMYFUNCTION("IMPORTRANGE(""https://docs.google.com/spreadsheets/d/1pcI0H5_o88uChaoz3Jx8Lo2Z71zohG9q1pYbJLiJRZI/edit?gid=1086065120#gid=1086065120"", address(row($Z7),column($Z7),,,""CSE-M""))"),273.0)</f>
        <v>273</v>
      </c>
      <c r="E7" s="16">
        <f t="shared" si="1"/>
        <v>65</v>
      </c>
    </row>
    <row r="8" ht="17.25" customHeight="1">
      <c r="A8" s="14">
        <v>3.0</v>
      </c>
      <c r="B8" s="18" t="s">
        <v>14</v>
      </c>
      <c r="C8" s="18" t="s">
        <v>15</v>
      </c>
      <c r="D8" s="12">
        <f>IFERROR(__xludf.DUMMYFUNCTION("IMPORTRANGE(""https://docs.google.com/spreadsheets/d/1pcI0H5_o88uChaoz3Jx8Lo2Z71zohG9q1pYbJLiJRZI/edit?gid=1086065120#gid=1086065120"", address(row($Z8),column($Z8),,,""CSE-M""))"),393.0)</f>
        <v>393</v>
      </c>
      <c r="E8" s="16">
        <f t="shared" si="1"/>
        <v>93</v>
      </c>
    </row>
    <row r="9" ht="17.25" customHeight="1">
      <c r="A9" s="17">
        <v>4.0</v>
      </c>
      <c r="B9" s="18" t="s">
        <v>16</v>
      </c>
      <c r="C9" s="18" t="s">
        <v>17</v>
      </c>
      <c r="D9" s="12">
        <f>IFERROR(__xludf.DUMMYFUNCTION("IMPORTRANGE(""https://docs.google.com/spreadsheets/d/1pcI0H5_o88uChaoz3Jx8Lo2Z71zohG9q1pYbJLiJRZI/edit?gid=1086065120#gid=1086065120"", address(row($Z9),column($Z9),,,""CSE-M""))"),234.0)</f>
        <v>234</v>
      </c>
      <c r="E9" s="16">
        <f t="shared" si="1"/>
        <v>55</v>
      </c>
    </row>
    <row r="10" ht="17.25" customHeight="1">
      <c r="A10" s="14">
        <v>5.0</v>
      </c>
      <c r="B10" s="18" t="s">
        <v>18</v>
      </c>
      <c r="C10" s="18" t="s">
        <v>19</v>
      </c>
      <c r="D10" s="12">
        <f>IFERROR(__xludf.DUMMYFUNCTION("IMPORTRANGE(""https://docs.google.com/spreadsheets/d/1pcI0H5_o88uChaoz3Jx8Lo2Z71zohG9q1pYbJLiJRZI/edit?gid=1086065120#gid=1086065120"", address(row($Z10),column($Z10),,,""CSE-M""))"),358.0)</f>
        <v>358</v>
      </c>
      <c r="E10" s="16">
        <f t="shared" si="1"/>
        <v>85</v>
      </c>
    </row>
    <row r="11" ht="17.25" customHeight="1">
      <c r="A11" s="17">
        <v>6.0</v>
      </c>
      <c r="B11" s="18" t="s">
        <v>20</v>
      </c>
      <c r="C11" s="18" t="s">
        <v>21</v>
      </c>
      <c r="D11" s="12">
        <f>IFERROR(__xludf.DUMMYFUNCTION("IMPORTRANGE(""https://docs.google.com/spreadsheets/d/1pcI0H5_o88uChaoz3Jx8Lo2Z71zohG9q1pYbJLiJRZI/edit?gid=1086065120#gid=1086065120"", address(row($Z11),column($Z11),,,""CSE-M""))"),247.0)</f>
        <v>247</v>
      </c>
      <c r="E11" s="16">
        <f t="shared" si="1"/>
        <v>58</v>
      </c>
    </row>
    <row r="12" ht="17.25" customHeight="1">
      <c r="A12" s="14">
        <v>7.0</v>
      </c>
      <c r="B12" s="18" t="s">
        <v>22</v>
      </c>
      <c r="C12" s="18" t="s">
        <v>23</v>
      </c>
      <c r="D12" s="12">
        <f>IFERROR(__xludf.DUMMYFUNCTION("IMPORTRANGE(""https://docs.google.com/spreadsheets/d/1pcI0H5_o88uChaoz3Jx8Lo2Z71zohG9q1pYbJLiJRZI/edit?gid=1086065120#gid=1086065120"", address(row($Z12),column($Z12),,,""CSE-M""))"),256.0)</f>
        <v>256</v>
      </c>
      <c r="E12" s="16">
        <f t="shared" si="1"/>
        <v>61</v>
      </c>
    </row>
    <row r="13" ht="17.25" customHeight="1">
      <c r="A13" s="17">
        <v>8.0</v>
      </c>
      <c r="B13" s="18" t="s">
        <v>24</v>
      </c>
      <c r="C13" s="18" t="s">
        <v>25</v>
      </c>
      <c r="D13" s="12">
        <f>IFERROR(__xludf.DUMMYFUNCTION("IMPORTRANGE(""https://docs.google.com/spreadsheets/d/1pcI0H5_o88uChaoz3Jx8Lo2Z71zohG9q1pYbJLiJRZI/edit?gid=1086065120#gid=1086065120"", address(row($Z13),column($Z13),,,""CSE-M""))"),339.0)</f>
        <v>339</v>
      </c>
      <c r="E13" s="16">
        <f t="shared" si="1"/>
        <v>80</v>
      </c>
    </row>
    <row r="14" ht="17.25" customHeight="1">
      <c r="A14" s="14">
        <v>9.0</v>
      </c>
      <c r="B14" s="18" t="s">
        <v>26</v>
      </c>
      <c r="C14" s="18" t="s">
        <v>27</v>
      </c>
      <c r="D14" s="12">
        <f>IFERROR(__xludf.DUMMYFUNCTION("IMPORTRANGE(""https://docs.google.com/spreadsheets/d/1pcI0H5_o88uChaoz3Jx8Lo2Z71zohG9q1pYbJLiJRZI/edit?gid=1086065120#gid=1086065120"", address(row($Z14),column($Z14),,,""CSE-M""))"),316.0)</f>
        <v>316</v>
      </c>
      <c r="E14" s="16">
        <f t="shared" si="1"/>
        <v>75</v>
      </c>
    </row>
    <row r="15" ht="17.25" customHeight="1">
      <c r="A15" s="17">
        <v>10.0</v>
      </c>
      <c r="B15" s="18" t="s">
        <v>28</v>
      </c>
      <c r="C15" s="18" t="s">
        <v>29</v>
      </c>
      <c r="D15" s="12">
        <f>IFERROR(__xludf.DUMMYFUNCTION("IMPORTRANGE(""https://docs.google.com/spreadsheets/d/1pcI0H5_o88uChaoz3Jx8Lo2Z71zohG9q1pYbJLiJRZI/edit?gid=1086065120#gid=1086065120"", address(row($Z15),column($Z15),,,""CSE-M""))"),214.0)</f>
        <v>214</v>
      </c>
      <c r="E15" s="16">
        <f t="shared" si="1"/>
        <v>51</v>
      </c>
    </row>
    <row r="16" ht="17.25" customHeight="1">
      <c r="A16" s="14">
        <v>11.0</v>
      </c>
      <c r="B16" s="18" t="s">
        <v>30</v>
      </c>
      <c r="C16" s="18" t="s">
        <v>31</v>
      </c>
      <c r="D16" s="12">
        <f>IFERROR(__xludf.DUMMYFUNCTION("IMPORTRANGE(""https://docs.google.com/spreadsheets/d/1pcI0H5_o88uChaoz3Jx8Lo2Z71zohG9q1pYbJLiJRZI/edit?gid=1086065120#gid=1086065120"", address(row($Z16),column($Z16),,,""CSE-M""))"),284.0)</f>
        <v>284</v>
      </c>
      <c r="E16" s="16">
        <f t="shared" si="1"/>
        <v>67</v>
      </c>
    </row>
    <row r="17" ht="17.25" customHeight="1">
      <c r="A17" s="17">
        <v>12.0</v>
      </c>
      <c r="B17" s="18" t="s">
        <v>32</v>
      </c>
      <c r="C17" s="18" t="s">
        <v>33</v>
      </c>
      <c r="D17" s="12">
        <f>IFERROR(__xludf.DUMMYFUNCTION("IMPORTRANGE(""https://docs.google.com/spreadsheets/d/1pcI0H5_o88uChaoz3Jx8Lo2Z71zohG9q1pYbJLiJRZI/edit?gid=1086065120#gid=1086065120"", address(row($Z17),column($Z17),,,""CSE-M""))"),354.0)</f>
        <v>354</v>
      </c>
      <c r="E17" s="16">
        <f t="shared" si="1"/>
        <v>84</v>
      </c>
    </row>
    <row r="18" ht="17.25" customHeight="1">
      <c r="A18" s="14">
        <v>13.0</v>
      </c>
      <c r="B18" s="18" t="s">
        <v>34</v>
      </c>
      <c r="C18" s="18" t="s">
        <v>35</v>
      </c>
      <c r="D18" s="12">
        <f>IFERROR(__xludf.DUMMYFUNCTION("IMPORTRANGE(""https://docs.google.com/spreadsheets/d/1pcI0H5_o88uChaoz3Jx8Lo2Z71zohG9q1pYbJLiJRZI/edit?gid=1086065120#gid=1086065120"", address(row($Z18),column($Z18),,,""CSE-M""))"),320.0)</f>
        <v>320</v>
      </c>
      <c r="E18" s="16">
        <f t="shared" si="1"/>
        <v>76</v>
      </c>
    </row>
    <row r="19" ht="17.25" customHeight="1">
      <c r="A19" s="17">
        <v>14.0</v>
      </c>
      <c r="B19" s="18" t="s">
        <v>36</v>
      </c>
      <c r="C19" s="18" t="s">
        <v>37</v>
      </c>
      <c r="D19" s="12">
        <f>IFERROR(__xludf.DUMMYFUNCTION("IMPORTRANGE(""https://docs.google.com/spreadsheets/d/1pcI0H5_o88uChaoz3Jx8Lo2Z71zohG9q1pYbJLiJRZI/edit?gid=1086065120#gid=1086065120"", address(row($Z19),column($Z19),,,""CSE-M""))"),345.0)</f>
        <v>345</v>
      </c>
      <c r="E19" s="16">
        <f t="shared" si="1"/>
        <v>82</v>
      </c>
    </row>
    <row r="20" ht="17.25" customHeight="1">
      <c r="A20" s="14">
        <v>15.0</v>
      </c>
      <c r="B20" s="18" t="s">
        <v>38</v>
      </c>
      <c r="C20" s="18" t="s">
        <v>39</v>
      </c>
      <c r="D20" s="12">
        <f>IFERROR(__xludf.DUMMYFUNCTION("IMPORTRANGE(""https://docs.google.com/spreadsheets/d/1pcI0H5_o88uChaoz3Jx8Lo2Z71zohG9q1pYbJLiJRZI/edit?gid=1086065120#gid=1086065120"", address(row($Z20),column($Z20),,,""CSE-M""))"),292.0)</f>
        <v>292</v>
      </c>
      <c r="E20" s="16">
        <f t="shared" si="1"/>
        <v>69</v>
      </c>
    </row>
    <row r="21" ht="15.75" customHeight="1">
      <c r="A21" s="17">
        <v>16.0</v>
      </c>
      <c r="B21" s="18" t="s">
        <v>40</v>
      </c>
      <c r="C21" s="18" t="s">
        <v>41</v>
      </c>
      <c r="D21" s="12">
        <f>IFERROR(__xludf.DUMMYFUNCTION("IMPORTRANGE(""https://docs.google.com/spreadsheets/d/1pcI0H5_o88uChaoz3Jx8Lo2Z71zohG9q1pYbJLiJRZI/edit?gid=1086065120#gid=1086065120"", address(row($Z21),column($Z21),,,""CSE-M""))"),284.0)</f>
        <v>284</v>
      </c>
      <c r="E21" s="16">
        <f t="shared" si="1"/>
        <v>67</v>
      </c>
    </row>
    <row r="22" ht="15.75" customHeight="1">
      <c r="A22" s="14">
        <v>17.0</v>
      </c>
      <c r="B22" s="18" t="s">
        <v>42</v>
      </c>
      <c r="C22" s="18" t="s">
        <v>43</v>
      </c>
      <c r="D22" s="12">
        <f>IFERROR(__xludf.DUMMYFUNCTION("IMPORTRANGE(""https://docs.google.com/spreadsheets/d/1pcI0H5_o88uChaoz3Jx8Lo2Z71zohG9q1pYbJLiJRZI/edit?gid=1086065120#gid=1086065120"", address(row($Z22),column($Z22),,,""CSE-M""))"),304.0)</f>
        <v>304</v>
      </c>
      <c r="E22" s="16">
        <f t="shared" si="1"/>
        <v>72</v>
      </c>
    </row>
    <row r="23" ht="15.75" customHeight="1">
      <c r="A23" s="17">
        <v>18.0</v>
      </c>
      <c r="B23" s="18" t="s">
        <v>44</v>
      </c>
      <c r="C23" s="18" t="s">
        <v>45</v>
      </c>
      <c r="D23" s="12">
        <f>IFERROR(__xludf.DUMMYFUNCTION("IMPORTRANGE(""https://docs.google.com/spreadsheets/d/1pcI0H5_o88uChaoz3Jx8Lo2Z71zohG9q1pYbJLiJRZI/edit?gid=1086065120#gid=1086065120"", address(row($Z23),column($Z23),,,""CSE-M""))"),343.0)</f>
        <v>343</v>
      </c>
      <c r="E23" s="16">
        <f t="shared" si="1"/>
        <v>81</v>
      </c>
    </row>
    <row r="24" ht="15.75" customHeight="1">
      <c r="A24" s="14">
        <v>19.0</v>
      </c>
      <c r="B24" s="18" t="s">
        <v>46</v>
      </c>
      <c r="C24" s="18" t="s">
        <v>47</v>
      </c>
      <c r="D24" s="12">
        <f>IFERROR(__xludf.DUMMYFUNCTION("IMPORTRANGE(""https://docs.google.com/spreadsheets/d/1pcI0H5_o88uChaoz3Jx8Lo2Z71zohG9q1pYbJLiJRZI/edit?gid=1086065120#gid=1086065120"", address(row($Z24),column($Z24),,,""CSE-M""))"),336.0)</f>
        <v>336</v>
      </c>
      <c r="E24" s="16">
        <f t="shared" si="1"/>
        <v>79</v>
      </c>
    </row>
    <row r="25" ht="15.75" customHeight="1">
      <c r="A25" s="17">
        <v>20.0</v>
      </c>
      <c r="B25" s="18" t="s">
        <v>48</v>
      </c>
      <c r="C25" s="18" t="s">
        <v>49</v>
      </c>
      <c r="D25" s="12">
        <f>IFERROR(__xludf.DUMMYFUNCTION("IMPORTRANGE(""https://docs.google.com/spreadsheets/d/1pcI0H5_o88uChaoz3Jx8Lo2Z71zohG9q1pYbJLiJRZI/edit?gid=1086065120#gid=1086065120"", address(row($Z25),column($Z25),,,""CSE-M""))"),413.0)</f>
        <v>413</v>
      </c>
      <c r="E25" s="16">
        <f t="shared" si="1"/>
        <v>98</v>
      </c>
    </row>
    <row r="26" ht="15.75" customHeight="1">
      <c r="A26" s="14">
        <v>21.0</v>
      </c>
      <c r="B26" s="18" t="s">
        <v>50</v>
      </c>
      <c r="C26" s="18" t="s">
        <v>51</v>
      </c>
      <c r="D26" s="12">
        <f>IFERROR(__xludf.DUMMYFUNCTION("IMPORTRANGE(""https://docs.google.com/spreadsheets/d/1pcI0H5_o88uChaoz3Jx8Lo2Z71zohG9q1pYbJLiJRZI/edit?gid=1086065120#gid=1086065120"", address(row($Z26),column($Z26),,,""CSE-M""))"),364.0)</f>
        <v>364</v>
      </c>
      <c r="E26" s="16">
        <f t="shared" si="1"/>
        <v>86</v>
      </c>
    </row>
    <row r="27" ht="15.75" customHeight="1">
      <c r="A27" s="17">
        <v>22.0</v>
      </c>
      <c r="B27" s="18" t="s">
        <v>52</v>
      </c>
      <c r="C27" s="18" t="s">
        <v>53</v>
      </c>
      <c r="D27" s="12">
        <f>IFERROR(__xludf.DUMMYFUNCTION("IMPORTRANGE(""https://docs.google.com/spreadsheets/d/1pcI0H5_o88uChaoz3Jx8Lo2Z71zohG9q1pYbJLiJRZI/edit?gid=1086065120#gid=1086065120"", address(row($Z27),column($Z27),,,""CSE-M""))"),285.0)</f>
        <v>285</v>
      </c>
      <c r="E27" s="16">
        <f t="shared" si="1"/>
        <v>67</v>
      </c>
    </row>
    <row r="28" ht="15.75" customHeight="1">
      <c r="A28" s="14">
        <v>23.0</v>
      </c>
      <c r="B28" s="18" t="s">
        <v>54</v>
      </c>
      <c r="C28" s="18" t="s">
        <v>55</v>
      </c>
      <c r="D28" s="12">
        <f>IFERROR(__xludf.DUMMYFUNCTION("IMPORTRANGE(""https://docs.google.com/spreadsheets/d/1pcI0H5_o88uChaoz3Jx8Lo2Z71zohG9q1pYbJLiJRZI/edit?gid=1086065120#gid=1086065120"", address(row($Z28),column($Z28),,,""CSE-M""))"),347.0)</f>
        <v>347</v>
      </c>
      <c r="E28" s="16">
        <f t="shared" si="1"/>
        <v>82</v>
      </c>
    </row>
    <row r="29" ht="15.75" customHeight="1">
      <c r="A29" s="17">
        <v>24.0</v>
      </c>
      <c r="B29" s="18" t="s">
        <v>56</v>
      </c>
      <c r="C29" s="18" t="s">
        <v>57</v>
      </c>
      <c r="D29" s="12">
        <f>IFERROR(__xludf.DUMMYFUNCTION("IMPORTRANGE(""https://docs.google.com/spreadsheets/d/1pcI0H5_o88uChaoz3Jx8Lo2Z71zohG9q1pYbJLiJRZI/edit?gid=1086065120#gid=1086065120"", address(row($Z29),column($Z29),,,""CSE-M""))"),352.0)</f>
        <v>352</v>
      </c>
      <c r="E29" s="16">
        <f t="shared" si="1"/>
        <v>83</v>
      </c>
    </row>
    <row r="30" ht="15.75" customHeight="1">
      <c r="A30" s="14">
        <v>25.0</v>
      </c>
      <c r="B30" s="18" t="s">
        <v>58</v>
      </c>
      <c r="C30" s="18" t="s">
        <v>59</v>
      </c>
      <c r="D30" s="12">
        <f>IFERROR(__xludf.DUMMYFUNCTION("IMPORTRANGE(""https://docs.google.com/spreadsheets/d/1pcI0H5_o88uChaoz3Jx8Lo2Z71zohG9q1pYbJLiJRZI/edit?gid=1086065120#gid=1086065120"", address(row($Z30),column($Z30),,,""CSE-M""))"),363.0)</f>
        <v>363</v>
      </c>
      <c r="E30" s="16">
        <f t="shared" si="1"/>
        <v>86</v>
      </c>
    </row>
    <row r="31" ht="15.75" customHeight="1">
      <c r="A31" s="17">
        <v>26.0</v>
      </c>
      <c r="B31" s="18" t="s">
        <v>60</v>
      </c>
      <c r="C31" s="18" t="s">
        <v>61</v>
      </c>
      <c r="D31" s="12">
        <f>IFERROR(__xludf.DUMMYFUNCTION("IMPORTRANGE(""https://docs.google.com/spreadsheets/d/1pcI0H5_o88uChaoz3Jx8Lo2Z71zohG9q1pYbJLiJRZI/edit?gid=1086065120#gid=1086065120"", address(row($Z31),column($Z31),,,""CSE-M""))"),315.0)</f>
        <v>315</v>
      </c>
      <c r="E31" s="16">
        <f t="shared" si="1"/>
        <v>74</v>
      </c>
    </row>
    <row r="32" ht="15.75" customHeight="1">
      <c r="A32" s="14">
        <v>27.0</v>
      </c>
      <c r="B32" s="18" t="s">
        <v>62</v>
      </c>
      <c r="C32" s="18" t="s">
        <v>63</v>
      </c>
      <c r="D32" s="12">
        <f>IFERROR(__xludf.DUMMYFUNCTION("IMPORTRANGE(""https://docs.google.com/spreadsheets/d/1pcI0H5_o88uChaoz3Jx8Lo2Z71zohG9q1pYbJLiJRZI/edit?gid=1086065120#gid=1086065120"", address(row($Z32),column($Z32),,,""CSE-M""))"),315.0)</f>
        <v>315</v>
      </c>
      <c r="E32" s="16">
        <f t="shared" si="1"/>
        <v>74</v>
      </c>
    </row>
    <row r="33" ht="15.75" customHeight="1">
      <c r="A33" s="17">
        <v>28.0</v>
      </c>
      <c r="B33" s="18" t="s">
        <v>64</v>
      </c>
      <c r="C33" s="18" t="s">
        <v>65</v>
      </c>
      <c r="D33" s="12">
        <f>IFERROR(__xludf.DUMMYFUNCTION("IMPORTRANGE(""https://docs.google.com/spreadsheets/d/1pcI0H5_o88uChaoz3Jx8Lo2Z71zohG9q1pYbJLiJRZI/edit?gid=1086065120#gid=1086065120"", address(row($Z33),column($Z33),,,""CSE-M""))"),216.0)</f>
        <v>216</v>
      </c>
      <c r="E33" s="16">
        <f t="shared" si="1"/>
        <v>51</v>
      </c>
    </row>
    <row r="34" ht="15.75" customHeight="1">
      <c r="A34" s="14">
        <v>29.0</v>
      </c>
      <c r="B34" s="18" t="s">
        <v>66</v>
      </c>
      <c r="C34" s="18" t="s">
        <v>67</v>
      </c>
      <c r="D34" s="12">
        <f>IFERROR(__xludf.DUMMYFUNCTION("IMPORTRANGE(""https://docs.google.com/spreadsheets/d/1pcI0H5_o88uChaoz3Jx8Lo2Z71zohG9q1pYbJLiJRZI/edit?gid=1086065120#gid=1086065120"", address(row($Z34),column($Z34),,,""CSE-M""))"),267.0)</f>
        <v>267</v>
      </c>
      <c r="E34" s="16">
        <f t="shared" si="1"/>
        <v>63</v>
      </c>
    </row>
    <row r="35" ht="15.75" customHeight="1">
      <c r="A35" s="17">
        <v>30.0</v>
      </c>
      <c r="B35" s="18" t="s">
        <v>68</v>
      </c>
      <c r="C35" s="18" t="s">
        <v>69</v>
      </c>
      <c r="D35" s="12">
        <f>IFERROR(__xludf.DUMMYFUNCTION("IMPORTRANGE(""https://docs.google.com/spreadsheets/d/1pcI0H5_o88uChaoz3Jx8Lo2Z71zohG9q1pYbJLiJRZI/edit?gid=1086065120#gid=1086065120"", address(row($Z35),column($Z35),,,""CSE-M""))"),304.0)</f>
        <v>304</v>
      </c>
      <c r="E35" s="16">
        <f t="shared" si="1"/>
        <v>72</v>
      </c>
    </row>
    <row r="36" ht="15.75" customHeight="1">
      <c r="A36" s="14">
        <v>31.0</v>
      </c>
      <c r="B36" s="18" t="s">
        <v>70</v>
      </c>
      <c r="C36" s="18" t="s">
        <v>71</v>
      </c>
      <c r="D36" s="12">
        <f>IFERROR(__xludf.DUMMYFUNCTION("IMPORTRANGE(""https://docs.google.com/spreadsheets/d/1pcI0H5_o88uChaoz3Jx8Lo2Z71zohG9q1pYbJLiJRZI/edit?gid=1086065120#gid=1086065120"", address(row($Z36),column($Z36),,,""CSE-M""))"),319.0)</f>
        <v>319</v>
      </c>
      <c r="E36" s="16">
        <f t="shared" si="1"/>
        <v>75</v>
      </c>
    </row>
    <row r="37" ht="15.75" customHeight="1">
      <c r="A37" s="17">
        <v>32.0</v>
      </c>
      <c r="B37" s="18" t="s">
        <v>72</v>
      </c>
      <c r="C37" s="18" t="s">
        <v>73</v>
      </c>
      <c r="D37" s="12">
        <f>IFERROR(__xludf.DUMMYFUNCTION("IMPORTRANGE(""https://docs.google.com/spreadsheets/d/1pcI0H5_o88uChaoz3Jx8Lo2Z71zohG9q1pYbJLiJRZI/edit?gid=1086065120#gid=1086065120"", address(row($Z37),column($Z37),,,""CSE-M""))"),355.0)</f>
        <v>355</v>
      </c>
      <c r="E37" s="16">
        <f t="shared" si="1"/>
        <v>84</v>
      </c>
    </row>
    <row r="38" ht="15.75" customHeight="1">
      <c r="A38" s="14">
        <v>33.0</v>
      </c>
      <c r="B38" s="18" t="s">
        <v>74</v>
      </c>
      <c r="C38" s="18" t="s">
        <v>75</v>
      </c>
      <c r="D38" s="12">
        <f>IFERROR(__xludf.DUMMYFUNCTION("IMPORTRANGE(""https://docs.google.com/spreadsheets/d/1pcI0H5_o88uChaoz3Jx8Lo2Z71zohG9q1pYbJLiJRZI/edit?gid=1086065120#gid=1086065120"", address(row($Z38),column($Z38),,,""CSE-M""))"),341.0)</f>
        <v>341</v>
      </c>
      <c r="E38" s="16">
        <f t="shared" si="1"/>
        <v>81</v>
      </c>
    </row>
    <row r="39" ht="15.75" customHeight="1">
      <c r="A39" s="17">
        <v>34.0</v>
      </c>
      <c r="B39" s="18" t="s">
        <v>76</v>
      </c>
      <c r="C39" s="18" t="s">
        <v>77</v>
      </c>
      <c r="D39" s="12">
        <f>IFERROR(__xludf.DUMMYFUNCTION("IMPORTRANGE(""https://docs.google.com/spreadsheets/d/1pcI0H5_o88uChaoz3Jx8Lo2Z71zohG9q1pYbJLiJRZI/edit?gid=1086065120#gid=1086065120"", address(row($Z39),column($Z39),,,""CSE-M""))"),296.0)</f>
        <v>296</v>
      </c>
      <c r="E39" s="16">
        <f t="shared" si="1"/>
        <v>70</v>
      </c>
    </row>
    <row r="40" ht="15.75" customHeight="1">
      <c r="A40" s="14">
        <v>35.0</v>
      </c>
      <c r="B40" s="18" t="s">
        <v>78</v>
      </c>
      <c r="C40" s="18" t="s">
        <v>79</v>
      </c>
      <c r="D40" s="12">
        <f>IFERROR(__xludf.DUMMYFUNCTION("IMPORTRANGE(""https://docs.google.com/spreadsheets/d/1pcI0H5_o88uChaoz3Jx8Lo2Z71zohG9q1pYbJLiJRZI/edit?gid=1086065120#gid=1086065120"", address(row($Z40),column($Z40),,,""CSE-M""))"),290.0)</f>
        <v>290</v>
      </c>
      <c r="E40" s="16">
        <f t="shared" si="1"/>
        <v>69</v>
      </c>
    </row>
    <row r="41" ht="15.75" customHeight="1">
      <c r="A41" s="17">
        <v>36.0</v>
      </c>
      <c r="B41" s="18" t="s">
        <v>80</v>
      </c>
      <c r="C41" s="18" t="s">
        <v>81</v>
      </c>
      <c r="D41" s="12">
        <f>IFERROR(__xludf.DUMMYFUNCTION("IMPORTRANGE(""https://docs.google.com/spreadsheets/d/1pcI0H5_o88uChaoz3Jx8Lo2Z71zohG9q1pYbJLiJRZI/edit?gid=1086065120#gid=1086065120"", address(row($Z41),column($Z41),,,""CSE-M""))"),330.0)</f>
        <v>330</v>
      </c>
      <c r="E41" s="16">
        <f t="shared" si="1"/>
        <v>78</v>
      </c>
    </row>
    <row r="42" ht="15.75" customHeight="1">
      <c r="A42" s="14">
        <v>37.0</v>
      </c>
      <c r="B42" s="18" t="s">
        <v>82</v>
      </c>
      <c r="C42" s="18" t="s">
        <v>83</v>
      </c>
      <c r="D42" s="12">
        <f>IFERROR(__xludf.DUMMYFUNCTION("IMPORTRANGE(""https://docs.google.com/spreadsheets/d/1pcI0H5_o88uChaoz3Jx8Lo2Z71zohG9q1pYbJLiJRZI/edit?gid=1086065120#gid=1086065120"", address(row($Z42),column($Z42),,,""CSE-M""))"),303.0)</f>
        <v>303</v>
      </c>
      <c r="E42" s="16">
        <f t="shared" si="1"/>
        <v>72</v>
      </c>
    </row>
    <row r="43" ht="15.75" customHeight="1">
      <c r="A43" s="17">
        <v>38.0</v>
      </c>
      <c r="B43" s="18" t="s">
        <v>84</v>
      </c>
      <c r="C43" s="18" t="s">
        <v>85</v>
      </c>
      <c r="D43" s="12">
        <f>IFERROR(__xludf.DUMMYFUNCTION("IMPORTRANGE(""https://docs.google.com/spreadsheets/d/1pcI0H5_o88uChaoz3Jx8Lo2Z71zohG9q1pYbJLiJRZI/edit?gid=1086065120#gid=1086065120"", address(row($Z43),column($Z43),,,""CSE-M""))"),303.0)</f>
        <v>303</v>
      </c>
      <c r="E43" s="16">
        <f t="shared" si="1"/>
        <v>72</v>
      </c>
    </row>
    <row r="44" ht="15.75" customHeight="1">
      <c r="A44" s="14">
        <v>39.0</v>
      </c>
      <c r="B44" s="18" t="s">
        <v>86</v>
      </c>
      <c r="C44" s="18" t="s">
        <v>87</v>
      </c>
      <c r="D44" s="12">
        <f>IFERROR(__xludf.DUMMYFUNCTION("IMPORTRANGE(""https://docs.google.com/spreadsheets/d/1pcI0H5_o88uChaoz3Jx8Lo2Z71zohG9q1pYbJLiJRZI/edit?gid=1086065120#gid=1086065120"", address(row($Z44),column($Z44),,,""CSE-M""))"),353.0)</f>
        <v>353</v>
      </c>
      <c r="E44" s="16">
        <f t="shared" si="1"/>
        <v>83</v>
      </c>
    </row>
    <row r="45" ht="15.75" customHeight="1">
      <c r="A45" s="17">
        <v>40.0</v>
      </c>
      <c r="B45" s="18" t="s">
        <v>88</v>
      </c>
      <c r="C45" s="18" t="s">
        <v>89</v>
      </c>
      <c r="D45" s="12">
        <f>IFERROR(__xludf.DUMMYFUNCTION("IMPORTRANGE(""https://docs.google.com/spreadsheets/d/1pcI0H5_o88uChaoz3Jx8Lo2Z71zohG9q1pYbJLiJRZI/edit?gid=1086065120#gid=1086065120"", address(row($Z45),column($Z45),,,""CSE-M""))"),305.0)</f>
        <v>305</v>
      </c>
      <c r="E45" s="16">
        <f t="shared" si="1"/>
        <v>72</v>
      </c>
    </row>
    <row r="46" ht="15.75" customHeight="1">
      <c r="A46" s="14">
        <v>41.0</v>
      </c>
      <c r="B46" s="18" t="s">
        <v>90</v>
      </c>
      <c r="C46" s="18" t="s">
        <v>91</v>
      </c>
      <c r="D46" s="12">
        <f>IFERROR(__xludf.DUMMYFUNCTION("IMPORTRANGE(""https://docs.google.com/spreadsheets/d/1pcI0H5_o88uChaoz3Jx8Lo2Z71zohG9q1pYbJLiJRZI/edit?gid=1086065120#gid=1086065120"", address(row($Z46),column($Z46),,,""CSE-M""))"),258.0)</f>
        <v>258</v>
      </c>
      <c r="E46" s="16">
        <f t="shared" si="1"/>
        <v>61</v>
      </c>
    </row>
    <row r="47" ht="15.75" customHeight="1">
      <c r="A47" s="17">
        <v>42.0</v>
      </c>
      <c r="B47" s="18" t="s">
        <v>92</v>
      </c>
      <c r="C47" s="18" t="s">
        <v>93</v>
      </c>
      <c r="D47" s="12">
        <f>IFERROR(__xludf.DUMMYFUNCTION("IMPORTRANGE(""https://docs.google.com/spreadsheets/d/1pcI0H5_o88uChaoz3Jx8Lo2Z71zohG9q1pYbJLiJRZI/edit?gid=1086065120#gid=1086065120"", address(row($Z47),column($Z47),,,""CSE-M""))"),373.0)</f>
        <v>373</v>
      </c>
      <c r="E47" s="16">
        <f t="shared" si="1"/>
        <v>88</v>
      </c>
    </row>
    <row r="48" ht="15.75" customHeight="1">
      <c r="A48" s="14">
        <v>43.0</v>
      </c>
      <c r="B48" s="18" t="s">
        <v>94</v>
      </c>
      <c r="C48" s="18" t="s">
        <v>95</v>
      </c>
      <c r="D48" s="12">
        <f>IFERROR(__xludf.DUMMYFUNCTION("IMPORTRANGE(""https://docs.google.com/spreadsheets/d/1pcI0H5_o88uChaoz3Jx8Lo2Z71zohG9q1pYbJLiJRZI/edit?gid=1086065120#gid=1086065120"", address(row($Z48),column($Z48),,,""CSE-M""))"),294.0)</f>
        <v>294</v>
      </c>
      <c r="E48" s="16">
        <f t="shared" si="1"/>
        <v>70</v>
      </c>
    </row>
    <row r="49" ht="15.75" customHeight="1">
      <c r="A49" s="17">
        <v>44.0</v>
      </c>
      <c r="B49" s="18" t="s">
        <v>96</v>
      </c>
      <c r="C49" s="18" t="s">
        <v>97</v>
      </c>
      <c r="D49" s="12">
        <f>IFERROR(__xludf.DUMMYFUNCTION("IMPORTRANGE(""https://docs.google.com/spreadsheets/d/1pcI0H5_o88uChaoz3Jx8Lo2Z71zohG9q1pYbJLiJRZI/edit?gid=1086065120#gid=1086065120"", address(row($Z49),column($Z49),,,""CSE-M""))"),240.0)</f>
        <v>240</v>
      </c>
      <c r="E49" s="16">
        <f t="shared" si="1"/>
        <v>57</v>
      </c>
    </row>
    <row r="50" ht="15.75" customHeight="1">
      <c r="A50" s="14">
        <v>45.0</v>
      </c>
      <c r="B50" s="18" t="s">
        <v>98</v>
      </c>
      <c r="C50" s="18" t="s">
        <v>99</v>
      </c>
      <c r="D50" s="12">
        <f>IFERROR(__xludf.DUMMYFUNCTION("IMPORTRANGE(""https://docs.google.com/spreadsheets/d/1pcI0H5_o88uChaoz3Jx8Lo2Z71zohG9q1pYbJLiJRZI/edit?gid=1086065120#gid=1086065120"", address(row($Z50),column($Z50),,,""CSE-M""))"),250.0)</f>
        <v>250</v>
      </c>
      <c r="E50" s="16">
        <f t="shared" si="1"/>
        <v>59</v>
      </c>
    </row>
    <row r="51" ht="15.75" customHeight="1">
      <c r="A51" s="17">
        <v>46.0</v>
      </c>
      <c r="B51" s="18" t="s">
        <v>100</v>
      </c>
      <c r="C51" s="18" t="s">
        <v>101</v>
      </c>
      <c r="D51" s="12">
        <f>IFERROR(__xludf.DUMMYFUNCTION("IMPORTRANGE(""https://docs.google.com/spreadsheets/d/1pcI0H5_o88uChaoz3Jx8Lo2Z71zohG9q1pYbJLiJRZI/edit?gid=1086065120#gid=1086065120"", address(row($Z51),column($Z51),,,""CSE-M""))"),331.0)</f>
        <v>331</v>
      </c>
      <c r="E51" s="16">
        <f t="shared" si="1"/>
        <v>78</v>
      </c>
    </row>
    <row r="52" ht="15.75" customHeight="1">
      <c r="A52" s="14">
        <v>47.0</v>
      </c>
      <c r="B52" s="18" t="s">
        <v>102</v>
      </c>
      <c r="C52" s="18" t="s">
        <v>103</v>
      </c>
      <c r="D52" s="12">
        <f>IFERROR(__xludf.DUMMYFUNCTION("IMPORTRANGE(""https://docs.google.com/spreadsheets/d/1pcI0H5_o88uChaoz3Jx8Lo2Z71zohG9q1pYbJLiJRZI/edit?gid=1086065120#gid=1086065120"", address(row($Z52),column($Z52),,,""CSE-M""))"),219.0)</f>
        <v>219</v>
      </c>
      <c r="E52" s="16">
        <f t="shared" si="1"/>
        <v>52</v>
      </c>
    </row>
    <row r="53" ht="15.75" customHeight="1">
      <c r="A53" s="17">
        <v>48.0</v>
      </c>
      <c r="B53" s="18" t="s">
        <v>104</v>
      </c>
      <c r="C53" s="18" t="s">
        <v>105</v>
      </c>
      <c r="D53" s="12">
        <f>IFERROR(__xludf.DUMMYFUNCTION("IMPORTRANGE(""https://docs.google.com/spreadsheets/d/1pcI0H5_o88uChaoz3Jx8Lo2Z71zohG9q1pYbJLiJRZI/edit?gid=1086065120#gid=1086065120"", address(row($Z53),column($Z53),,,""CSE-M""))"),287.0)</f>
        <v>287</v>
      </c>
      <c r="E53" s="16">
        <f t="shared" si="1"/>
        <v>68</v>
      </c>
    </row>
    <row r="54" ht="15.75" customHeight="1">
      <c r="A54" s="14">
        <v>49.0</v>
      </c>
      <c r="B54" s="18" t="s">
        <v>106</v>
      </c>
      <c r="C54" s="18" t="s">
        <v>107</v>
      </c>
      <c r="D54" s="12">
        <f>IFERROR(__xludf.DUMMYFUNCTION("IMPORTRANGE(""https://docs.google.com/spreadsheets/d/1pcI0H5_o88uChaoz3Jx8Lo2Z71zohG9q1pYbJLiJRZI/edit?gid=1086065120#gid=1086065120"", address(row($Z54),column($Z54),,,""CSE-M""))"),259.0)</f>
        <v>259</v>
      </c>
      <c r="E54" s="16">
        <f t="shared" si="1"/>
        <v>61</v>
      </c>
    </row>
    <row r="55" ht="15.75" customHeight="1">
      <c r="A55" s="17">
        <v>50.0</v>
      </c>
      <c r="B55" s="18" t="s">
        <v>108</v>
      </c>
      <c r="C55" s="18" t="s">
        <v>109</v>
      </c>
      <c r="D55" s="12">
        <f>IFERROR(__xludf.DUMMYFUNCTION("IMPORTRANGE(""https://docs.google.com/spreadsheets/d/1pcI0H5_o88uChaoz3Jx8Lo2Z71zohG9q1pYbJLiJRZI/edit?gid=1086065120#gid=1086065120"", address(row($Z55),column($Z55),,,""CSE-M""))"),352.0)</f>
        <v>352</v>
      </c>
      <c r="E55" s="16">
        <f t="shared" si="1"/>
        <v>83</v>
      </c>
    </row>
    <row r="56" ht="15.75" customHeight="1">
      <c r="A56" s="14">
        <v>51.0</v>
      </c>
      <c r="B56" s="18" t="s">
        <v>110</v>
      </c>
      <c r="C56" s="18" t="s">
        <v>111</v>
      </c>
      <c r="D56" s="12">
        <f>IFERROR(__xludf.DUMMYFUNCTION("IMPORTRANGE(""https://docs.google.com/spreadsheets/d/1pcI0H5_o88uChaoz3Jx8Lo2Z71zohG9q1pYbJLiJRZI/edit?gid=1086065120#gid=1086065120"", address(row($Z56),column($Z56),,,""CSE-M""))"),236.0)</f>
        <v>236</v>
      </c>
      <c r="E56" s="16">
        <f t="shared" si="1"/>
        <v>56</v>
      </c>
    </row>
    <row r="57" ht="15.75" customHeight="1">
      <c r="A57" s="17">
        <v>52.0</v>
      </c>
      <c r="B57" s="18" t="s">
        <v>112</v>
      </c>
      <c r="C57" s="18" t="s">
        <v>113</v>
      </c>
      <c r="D57" s="12">
        <f>IFERROR(__xludf.DUMMYFUNCTION("IMPORTRANGE(""https://docs.google.com/spreadsheets/d/1pcI0H5_o88uChaoz3Jx8Lo2Z71zohG9q1pYbJLiJRZI/edit?gid=1086065120#gid=1086065120"", address(row($Z57),column($Z57),,,""CSE-M""))"),268.0)</f>
        <v>268</v>
      </c>
      <c r="E57" s="16">
        <f t="shared" si="1"/>
        <v>63</v>
      </c>
    </row>
    <row r="58" ht="15.75" customHeight="1">
      <c r="A58" s="14">
        <v>53.0</v>
      </c>
      <c r="B58" s="18" t="s">
        <v>114</v>
      </c>
      <c r="C58" s="18" t="s">
        <v>115</v>
      </c>
      <c r="D58" s="12">
        <f>IFERROR(__xludf.DUMMYFUNCTION("IMPORTRANGE(""https://docs.google.com/spreadsheets/d/1pcI0H5_o88uChaoz3Jx8Lo2Z71zohG9q1pYbJLiJRZI/edit?gid=1086065120#gid=1086065120"", address(row($Z58),column($Z58),,,""CSE-M""))"),227.0)</f>
        <v>227</v>
      </c>
      <c r="E58" s="16">
        <f t="shared" si="1"/>
        <v>54</v>
      </c>
    </row>
    <row r="59" ht="15.75" customHeight="1">
      <c r="A59" s="17">
        <v>54.0</v>
      </c>
      <c r="B59" s="18" t="s">
        <v>116</v>
      </c>
      <c r="C59" s="18" t="s">
        <v>117</v>
      </c>
      <c r="D59" s="12">
        <f>IFERROR(__xludf.DUMMYFUNCTION("IMPORTRANGE(""https://docs.google.com/spreadsheets/d/1pcI0H5_o88uChaoz3Jx8Lo2Z71zohG9q1pYbJLiJRZI/edit?gid=1086065120#gid=1086065120"", address(row($Z59),column($Z59),,,""CSE-M""))"),323.0)</f>
        <v>323</v>
      </c>
      <c r="E59" s="16">
        <f t="shared" si="1"/>
        <v>76</v>
      </c>
    </row>
    <row r="60" ht="15.75" customHeight="1">
      <c r="A60" s="14">
        <v>55.0</v>
      </c>
      <c r="B60" s="18" t="s">
        <v>118</v>
      </c>
      <c r="C60" s="18" t="s">
        <v>119</v>
      </c>
      <c r="D60" s="12">
        <f>IFERROR(__xludf.DUMMYFUNCTION("IMPORTRANGE(""https://docs.google.com/spreadsheets/d/1pcI0H5_o88uChaoz3Jx8Lo2Z71zohG9q1pYbJLiJRZI/edit?gid=1086065120#gid=1086065120"", address(row($Z60),column($Z60),,,""CSE-M""))"),409.0)</f>
        <v>409</v>
      </c>
      <c r="E60" s="16">
        <f t="shared" si="1"/>
        <v>97</v>
      </c>
    </row>
    <row r="61" ht="15.75" customHeight="1">
      <c r="A61" s="17">
        <v>56.0</v>
      </c>
      <c r="B61" s="18" t="s">
        <v>120</v>
      </c>
      <c r="C61" s="18" t="s">
        <v>121</v>
      </c>
      <c r="D61" s="12">
        <f>IFERROR(__xludf.DUMMYFUNCTION("IMPORTRANGE(""https://docs.google.com/spreadsheets/d/1pcI0H5_o88uChaoz3Jx8Lo2Z71zohG9q1pYbJLiJRZI/edit?gid=1086065120#gid=1086065120"", address(row($Z61),column($Z61),,,""CSE-M""))"),229.0)</f>
        <v>229</v>
      </c>
      <c r="E61" s="16">
        <f t="shared" si="1"/>
        <v>54</v>
      </c>
    </row>
    <row r="62" ht="15.75" customHeight="1">
      <c r="A62" s="14">
        <v>57.0</v>
      </c>
      <c r="B62" s="18" t="s">
        <v>122</v>
      </c>
      <c r="C62" s="18" t="s">
        <v>123</v>
      </c>
      <c r="D62" s="12">
        <f>IFERROR(__xludf.DUMMYFUNCTION("IMPORTRANGE(""https://docs.google.com/spreadsheets/d/1pcI0H5_o88uChaoz3Jx8Lo2Z71zohG9q1pYbJLiJRZI/edit?gid=1086065120#gid=1086065120"", address(row($Z62),column($Z62),,,""CSE-M""))"),358.0)</f>
        <v>358</v>
      </c>
      <c r="E62" s="16">
        <f t="shared" si="1"/>
        <v>85</v>
      </c>
    </row>
    <row r="63" ht="15.75" customHeight="1">
      <c r="A63" s="17">
        <v>58.0</v>
      </c>
      <c r="B63" s="18" t="s">
        <v>124</v>
      </c>
      <c r="C63" s="18" t="s">
        <v>125</v>
      </c>
      <c r="D63" s="12">
        <f>IFERROR(__xludf.DUMMYFUNCTION("IMPORTRANGE(""https://docs.google.com/spreadsheets/d/1pcI0H5_o88uChaoz3Jx8Lo2Z71zohG9q1pYbJLiJRZI/edit?gid=1086065120#gid=1086065120"", address(row($Z63),column($Z63),,,""CSE-M""))"),401.0)</f>
        <v>401</v>
      </c>
      <c r="E63" s="16">
        <f t="shared" si="1"/>
        <v>95</v>
      </c>
    </row>
    <row r="64" ht="15.75" customHeight="1">
      <c r="A64" s="14">
        <v>59.0</v>
      </c>
      <c r="B64" s="18" t="s">
        <v>126</v>
      </c>
      <c r="C64" s="18" t="s">
        <v>127</v>
      </c>
      <c r="D64" s="12">
        <f>IFERROR(__xludf.DUMMYFUNCTION("IMPORTRANGE(""https://docs.google.com/spreadsheets/d/1pcI0H5_o88uChaoz3Jx8Lo2Z71zohG9q1pYbJLiJRZI/edit?gid=1086065120#gid=1086065120"", address(row($Z64),column($Z64),,,""CSE-M""))"),321.0)</f>
        <v>321</v>
      </c>
      <c r="E64" s="16">
        <f t="shared" si="1"/>
        <v>76</v>
      </c>
    </row>
    <row r="65" ht="15.75" customHeight="1">
      <c r="A65" s="17">
        <v>60.0</v>
      </c>
      <c r="B65" s="18" t="s">
        <v>128</v>
      </c>
      <c r="C65" s="18" t="s">
        <v>129</v>
      </c>
      <c r="D65" s="12">
        <f>IFERROR(__xludf.DUMMYFUNCTION("IMPORTRANGE(""https://docs.google.com/spreadsheets/d/1pcI0H5_o88uChaoz3Jx8Lo2Z71zohG9q1pYbJLiJRZI/edit?gid=1086065120#gid=1086065120"", address(row($Z65),column($Z65),,,""CSE-M""))"),293.0)</f>
        <v>293</v>
      </c>
      <c r="E65" s="16">
        <f t="shared" si="1"/>
        <v>69</v>
      </c>
    </row>
    <row r="66" ht="15.75" customHeight="1">
      <c r="A66" s="14">
        <v>61.0</v>
      </c>
      <c r="B66" s="18" t="s">
        <v>130</v>
      </c>
      <c r="C66" s="18" t="s">
        <v>131</v>
      </c>
      <c r="D66" s="12">
        <f>IFERROR(__xludf.DUMMYFUNCTION("IMPORTRANGE(""https://docs.google.com/spreadsheets/d/1pcI0H5_o88uChaoz3Jx8Lo2Z71zohG9q1pYbJLiJRZI/edit?gid=1086065120#gid=1086065120"", address(row($Z66),column($Z66),,,""CSE-M""))"),237.0)</f>
        <v>237</v>
      </c>
      <c r="E66" s="16">
        <f t="shared" si="1"/>
        <v>56</v>
      </c>
    </row>
    <row r="67" ht="15.75" customHeight="1">
      <c r="A67" s="17">
        <v>62.0</v>
      </c>
      <c r="B67" s="18" t="s">
        <v>132</v>
      </c>
      <c r="C67" s="18" t="s">
        <v>133</v>
      </c>
      <c r="D67" s="12">
        <f>IFERROR(__xludf.DUMMYFUNCTION("IMPORTRANGE(""https://docs.google.com/spreadsheets/d/1pcI0H5_o88uChaoz3Jx8Lo2Z71zohG9q1pYbJLiJRZI/edit?gid=1086065120#gid=1086065120"", address(row($Z67),column($Z67),,,""CSE-M""))"),275.0)</f>
        <v>275</v>
      </c>
      <c r="E67" s="16">
        <f t="shared" si="1"/>
        <v>65</v>
      </c>
    </row>
    <row r="68" ht="15.75" customHeight="1">
      <c r="A68" s="14">
        <v>63.0</v>
      </c>
      <c r="B68" s="18" t="s">
        <v>134</v>
      </c>
      <c r="C68" s="18" t="s">
        <v>135</v>
      </c>
      <c r="D68" s="12">
        <f>IFERROR(__xludf.DUMMYFUNCTION("IMPORTRANGE(""https://docs.google.com/spreadsheets/d/1pcI0H5_o88uChaoz3Jx8Lo2Z71zohG9q1pYbJLiJRZI/edit?gid=1086065120#gid=1086065120"", address(row($Z68),column($Z68),,,""CSE-M""))"),272.0)</f>
        <v>272</v>
      </c>
      <c r="E68" s="16">
        <f t="shared" si="1"/>
        <v>64</v>
      </c>
    </row>
    <row r="69" ht="15.75" customHeight="1">
      <c r="A69" s="17">
        <v>64.0</v>
      </c>
      <c r="B69" s="18" t="s">
        <v>136</v>
      </c>
      <c r="C69" s="18" t="s">
        <v>137</v>
      </c>
      <c r="D69" s="12">
        <f>IFERROR(__xludf.DUMMYFUNCTION("IMPORTRANGE(""https://docs.google.com/spreadsheets/d/1pcI0H5_o88uChaoz3Jx8Lo2Z71zohG9q1pYbJLiJRZI/edit?gid=1086065120#gid=1086065120"", address(row($Z69),column($Z69),,,""CSE-M""))"),164.0)</f>
        <v>164</v>
      </c>
      <c r="E69" s="16">
        <f t="shared" si="1"/>
        <v>39</v>
      </c>
    </row>
    <row r="70" ht="15.0" customHeight="1">
      <c r="A70" s="14">
        <v>65.0</v>
      </c>
      <c r="B70" s="18" t="s">
        <v>138</v>
      </c>
      <c r="C70" s="18" t="s">
        <v>139</v>
      </c>
      <c r="D70" s="12">
        <f>IFERROR(__xludf.DUMMYFUNCTION("IMPORTRANGE(""https://docs.google.com/spreadsheets/d/1pcI0H5_o88uChaoz3Jx8Lo2Z71zohG9q1pYbJLiJRZI/edit?gid=1086065120#gid=1086065120"", address(row($Z70),column($Z70),,,""CSE-M""))"),275.0)</f>
        <v>275</v>
      </c>
      <c r="E70" s="16">
        <f t="shared" si="1"/>
        <v>65</v>
      </c>
    </row>
    <row r="71" ht="15.0" customHeight="1">
      <c r="A71" s="17">
        <v>66.0</v>
      </c>
      <c r="B71" s="18" t="s">
        <v>140</v>
      </c>
      <c r="C71" s="18" t="s">
        <v>141</v>
      </c>
      <c r="D71" s="12">
        <f>IFERROR(__xludf.DUMMYFUNCTION("IMPORTRANGE(""https://docs.google.com/spreadsheets/d/1pcI0H5_o88uChaoz3Jx8Lo2Z71zohG9q1pYbJLiJRZI/edit?gid=1086065120#gid=1086065120"", address(row($Z71),column($Z71),,,""CSE-M""))"),381.0)</f>
        <v>381</v>
      </c>
      <c r="E71" s="16">
        <f t="shared" si="1"/>
        <v>90</v>
      </c>
    </row>
    <row r="72" ht="15.75" customHeight="1">
      <c r="A72" s="14">
        <v>67.0</v>
      </c>
      <c r="B72" s="18" t="s">
        <v>142</v>
      </c>
      <c r="C72" s="18" t="s">
        <v>143</v>
      </c>
      <c r="D72" s="12">
        <f>IFERROR(__xludf.DUMMYFUNCTION("IMPORTRANGE(""https://docs.google.com/spreadsheets/d/1pcI0H5_o88uChaoz3Jx8Lo2Z71zohG9q1pYbJLiJRZI/edit?gid=1086065120#gid=1086065120"", address(row($Z72),column($Z72),,,""CSE-M""))"),225.0)</f>
        <v>225</v>
      </c>
      <c r="E72" s="16">
        <f t="shared" si="1"/>
        <v>53</v>
      </c>
    </row>
    <row r="73" ht="15.75" customHeight="1">
      <c r="A73" s="17">
        <v>68.0</v>
      </c>
      <c r="B73" s="18" t="s">
        <v>144</v>
      </c>
      <c r="C73" s="18" t="s">
        <v>145</v>
      </c>
      <c r="D73" s="12">
        <f>IFERROR(__xludf.DUMMYFUNCTION("IMPORTRANGE(""https://docs.google.com/spreadsheets/d/1pcI0H5_o88uChaoz3Jx8Lo2Z71zohG9q1pYbJLiJRZI/edit?gid=1086065120#gid=1086065120"", address(row($Z73),column($Z73),,,""CSE-M""))"),264.0)</f>
        <v>264</v>
      </c>
      <c r="E73" s="16">
        <f t="shared" si="1"/>
        <v>62</v>
      </c>
    </row>
    <row r="74" ht="15.75" customHeight="1">
      <c r="A74" s="14">
        <v>69.0</v>
      </c>
      <c r="B74" s="18" t="s">
        <v>146</v>
      </c>
      <c r="C74" s="18" t="s">
        <v>147</v>
      </c>
      <c r="D74" s="12">
        <f>IFERROR(__xludf.DUMMYFUNCTION("IMPORTRANGE(""https://docs.google.com/spreadsheets/d/1pcI0H5_o88uChaoz3Jx8Lo2Z71zohG9q1pYbJLiJRZI/edit?gid=1086065120#gid=1086065120"", address(row($Z74),column($Z74),,,""CSE-M""))"),271.0)</f>
        <v>271</v>
      </c>
      <c r="E74" s="16">
        <f t="shared" si="1"/>
        <v>64</v>
      </c>
    </row>
    <row r="75" ht="15.75" customHeight="1">
      <c r="A75" s="17">
        <v>70.0</v>
      </c>
      <c r="B75" s="18" t="s">
        <v>148</v>
      </c>
      <c r="C75" s="18" t="s">
        <v>149</v>
      </c>
      <c r="D75" s="12">
        <f>IFERROR(__xludf.DUMMYFUNCTION("IMPORTRANGE(""https://docs.google.com/spreadsheets/d/1pcI0H5_o88uChaoz3Jx8Lo2Z71zohG9q1pYbJLiJRZI/edit?gid=1086065120#gid=1086065120"", address(row($Z75),column($Z75),,,""CSE-M""))"),134.0)</f>
        <v>134</v>
      </c>
      <c r="E75" s="16">
        <f t="shared" si="1"/>
        <v>32</v>
      </c>
    </row>
    <row r="76" ht="15.75" customHeight="1">
      <c r="A76" s="14">
        <v>71.0</v>
      </c>
      <c r="B76" s="18" t="s">
        <v>150</v>
      </c>
      <c r="C76" s="18" t="s">
        <v>151</v>
      </c>
      <c r="D76" s="12">
        <f>IFERROR(__xludf.DUMMYFUNCTION("IMPORTRANGE(""https://docs.google.com/spreadsheets/d/1pcI0H5_o88uChaoz3Jx8Lo2Z71zohG9q1pYbJLiJRZI/edit?gid=1086065120#gid=1086065120"", address(row($Z76),column($Z76),,,""CSE-M""))"),251.0)</f>
        <v>251</v>
      </c>
      <c r="E76" s="16">
        <f t="shared" si="1"/>
        <v>59</v>
      </c>
    </row>
    <row r="77" ht="15.75" customHeight="1">
      <c r="A77" s="17">
        <v>72.0</v>
      </c>
      <c r="B77" s="18" t="s">
        <v>152</v>
      </c>
      <c r="C77" s="18" t="s">
        <v>153</v>
      </c>
      <c r="D77" s="12">
        <f>IFERROR(__xludf.DUMMYFUNCTION("IMPORTRANGE(""https://docs.google.com/spreadsheets/d/1pcI0H5_o88uChaoz3Jx8Lo2Z71zohG9q1pYbJLiJRZI/edit?gid=1086065120#gid=1086065120"", address(row($Z77),column($Z77),,,""CSE-M""))"),343.0)</f>
        <v>343</v>
      </c>
      <c r="E77" s="16">
        <f t="shared" si="1"/>
        <v>81</v>
      </c>
    </row>
    <row r="78" ht="15.75" customHeight="1">
      <c r="A78" s="14">
        <v>73.0</v>
      </c>
      <c r="B78" s="18" t="s">
        <v>154</v>
      </c>
      <c r="C78" s="18" t="s">
        <v>155</v>
      </c>
      <c r="D78" s="12">
        <f>IFERROR(__xludf.DUMMYFUNCTION("IMPORTRANGE(""https://docs.google.com/spreadsheets/d/1pcI0H5_o88uChaoz3Jx8Lo2Z71zohG9q1pYbJLiJRZI/edit?gid=1086065120#gid=1086065120"", address(row($Z78),column($Z78),,,""CSE-M""))"),308.0)</f>
        <v>308</v>
      </c>
      <c r="E78" s="16">
        <f t="shared" si="1"/>
        <v>73</v>
      </c>
    </row>
    <row r="79" ht="15.75" customHeight="1"/>
    <row r="80" ht="15.75" customHeight="1">
      <c r="B80" s="19" t="s">
        <v>156</v>
      </c>
      <c r="C80" s="11"/>
    </row>
    <row r="81" ht="15.75" customHeight="1">
      <c r="B81" s="20" t="s">
        <v>157</v>
      </c>
      <c r="C81" s="21">
        <f>COUNTIF(E6:E78,"&gt;=75")</f>
        <v>29</v>
      </c>
    </row>
    <row r="82" ht="15.75" customHeight="1">
      <c r="B82" s="20" t="s">
        <v>158</v>
      </c>
      <c r="C82" s="21">
        <f>COUNTIFS(E6:E78,"&gt;=65",E6:E78,"&lt;75")</f>
        <v>21</v>
      </c>
    </row>
    <row r="83" ht="15.75" customHeight="1">
      <c r="B83" s="20" t="s">
        <v>159</v>
      </c>
      <c r="C83" s="21">
        <f>COUNTIFS(E6:E78,"&gt;=50",E6:E78,"&lt;65")</f>
        <v>21</v>
      </c>
    </row>
    <row r="84" ht="15.75" customHeight="1">
      <c r="B84" s="20" t="s">
        <v>160</v>
      </c>
      <c r="C84" s="21">
        <f>COUNTIFS(E6:E78,"&gt;=25",E6:E78,"&lt;50")</f>
        <v>2</v>
      </c>
    </row>
    <row r="85" ht="15.75" customHeight="1">
      <c r="B85" s="20" t="s">
        <v>161</v>
      </c>
      <c r="C85" s="21">
        <f>COUNTIFS(E6:E78,"&gt;=1",E6:E78,"&lt;25")</f>
        <v>0</v>
      </c>
    </row>
    <row r="86" ht="15.75" customHeight="1">
      <c r="B86" s="20">
        <f>0</f>
        <v>0</v>
      </c>
      <c r="C86" s="22">
        <f>COUNTIFS(E6:E78,"=0")</f>
        <v>0</v>
      </c>
    </row>
    <row r="87" ht="15.75" customHeight="1">
      <c r="B87" s="23"/>
      <c r="C87" s="24">
        <f>SUM(C81:C86)</f>
        <v>73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1:E1"/>
    <mergeCell ref="A2:E2"/>
    <mergeCell ref="A3:E3"/>
    <mergeCell ref="A5:C5"/>
    <mergeCell ref="B80:C80"/>
  </mergeCells>
  <conditionalFormatting sqref="E6:E78">
    <cfRule type="cellIs" dxfId="0" priority="1" operator="lessThan">
      <formula>75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4.14"/>
    <col customWidth="1" min="3" max="3" width="46.14"/>
    <col customWidth="1" min="4" max="4" width="10.29"/>
    <col customWidth="1" min="5" max="6" width="14.43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4" t="s">
        <v>162</v>
      </c>
      <c r="B3" s="5"/>
      <c r="C3" s="5"/>
      <c r="D3" s="5"/>
      <c r="E3" s="6"/>
    </row>
    <row r="4">
      <c r="A4" s="7" t="s">
        <v>3</v>
      </c>
      <c r="B4" s="7" t="s">
        <v>4</v>
      </c>
      <c r="C4" s="8" t="s">
        <v>5</v>
      </c>
      <c r="D4" s="7" t="s">
        <v>6</v>
      </c>
      <c r="E4" s="7" t="s">
        <v>7</v>
      </c>
    </row>
    <row r="5" ht="22.5" customHeight="1">
      <c r="A5" s="9" t="s">
        <v>8</v>
      </c>
      <c r="B5" s="10"/>
      <c r="C5" s="11"/>
      <c r="D5" s="12">
        <f>IFERROR(__xludf.DUMMYFUNCTION("IMPORTRANGE(""https://docs.google.com/spreadsheets/d/1pcI0H5_o88uChaoz3Jx8Lo2Z71zohG9q1pYbJLiJRZI/edit?gid=2034297422#gid=2034297422"", address(row($Z5),column($Z5),,,""CSE-N""))"),413.0)</f>
        <v>413</v>
      </c>
      <c r="E5" s="13" t="s">
        <v>9</v>
      </c>
    </row>
    <row r="6" ht="17.25" customHeight="1">
      <c r="A6" s="14">
        <v>1.0</v>
      </c>
      <c r="B6" s="15" t="s">
        <v>163</v>
      </c>
      <c r="C6" s="15" t="s">
        <v>164</v>
      </c>
      <c r="D6" s="12">
        <f>IFERROR(__xludf.DUMMYFUNCTION("IMPORTRANGE(""https://docs.google.com/spreadsheets/d/1pcI0H5_o88uChaoz3Jx8Lo2Z71zohG9q1pYbJLiJRZI/edit?gid=2034297422#gid=2034297422"", address(row($Z6),column($Z6),,,""CSE-N""))"),82.0)</f>
        <v>82</v>
      </c>
      <c r="E6" s="25">
        <f t="shared" ref="E6:E77" si="1">ROUND(D6/$D$5*100,0)</f>
        <v>20</v>
      </c>
    </row>
    <row r="7" ht="17.25" customHeight="1">
      <c r="A7" s="14">
        <v>2.0</v>
      </c>
      <c r="B7" s="18" t="s">
        <v>165</v>
      </c>
      <c r="C7" s="18" t="s">
        <v>166</v>
      </c>
      <c r="D7" s="12">
        <f>IFERROR(__xludf.DUMMYFUNCTION("IMPORTRANGE(""https://docs.google.com/spreadsheets/d/1pcI0H5_o88uChaoz3Jx8Lo2Z71zohG9q1pYbJLiJRZI/edit?gid=2034297422#gid=2034297422"", address(row($Z7),column($Z7),,,""CSE-N""))"),372.0)</f>
        <v>372</v>
      </c>
      <c r="E7" s="25">
        <f t="shared" si="1"/>
        <v>90</v>
      </c>
    </row>
    <row r="8" ht="17.25" customHeight="1">
      <c r="A8" s="14">
        <v>3.0</v>
      </c>
      <c r="B8" s="18" t="s">
        <v>167</v>
      </c>
      <c r="C8" s="18" t="s">
        <v>168</v>
      </c>
      <c r="D8" s="12">
        <f>IFERROR(__xludf.DUMMYFUNCTION("IMPORTRANGE(""https://docs.google.com/spreadsheets/d/1pcI0H5_o88uChaoz3Jx8Lo2Z71zohG9q1pYbJLiJRZI/edit?gid=2034297422#gid=2034297422"", address(row($Z8),column($Z8),,,""CSE-N""))"),383.0)</f>
        <v>383</v>
      </c>
      <c r="E8" s="25">
        <f t="shared" si="1"/>
        <v>93</v>
      </c>
    </row>
    <row r="9" ht="17.25" customHeight="1">
      <c r="A9" s="14">
        <v>4.0</v>
      </c>
      <c r="B9" s="18" t="s">
        <v>169</v>
      </c>
      <c r="C9" s="18" t="s">
        <v>170</v>
      </c>
      <c r="D9" s="12">
        <f>IFERROR(__xludf.DUMMYFUNCTION("IMPORTRANGE(""https://docs.google.com/spreadsheets/d/1pcI0H5_o88uChaoz3Jx8Lo2Z71zohG9q1pYbJLiJRZI/edit?gid=2034297422#gid=2034297422"", address(row($Z9),column($Z9),,,""CSE-N""))"),274.0)</f>
        <v>274</v>
      </c>
      <c r="E9" s="25">
        <f t="shared" si="1"/>
        <v>66</v>
      </c>
    </row>
    <row r="10" ht="17.25" customHeight="1">
      <c r="A10" s="14">
        <v>5.0</v>
      </c>
      <c r="B10" s="18" t="s">
        <v>171</v>
      </c>
      <c r="C10" s="18" t="s">
        <v>172</v>
      </c>
      <c r="D10" s="12">
        <f>IFERROR(__xludf.DUMMYFUNCTION("IMPORTRANGE(""https://docs.google.com/spreadsheets/d/1pcI0H5_o88uChaoz3Jx8Lo2Z71zohG9q1pYbJLiJRZI/edit?gid=2034297422#gid=2034297422"", address(row($Z10),column($Z10),,,""CSE-N""))"),209.0)</f>
        <v>209</v>
      </c>
      <c r="E10" s="25">
        <f t="shared" si="1"/>
        <v>51</v>
      </c>
    </row>
    <row r="11" ht="17.25" customHeight="1">
      <c r="A11" s="14">
        <v>6.0</v>
      </c>
      <c r="B11" s="18" t="s">
        <v>173</v>
      </c>
      <c r="C11" s="18" t="s">
        <v>174</v>
      </c>
      <c r="D11" s="12">
        <f>IFERROR(__xludf.DUMMYFUNCTION("IMPORTRANGE(""https://docs.google.com/spreadsheets/d/1pcI0H5_o88uChaoz3Jx8Lo2Z71zohG9q1pYbJLiJRZI/edit?gid=2034297422#gid=2034297422"", address(row($Z11),column($Z11),,,""CSE-N""))"),291.0)</f>
        <v>291</v>
      </c>
      <c r="E11" s="25">
        <f t="shared" si="1"/>
        <v>70</v>
      </c>
    </row>
    <row r="12" ht="17.25" customHeight="1">
      <c r="A12" s="14">
        <v>7.0</v>
      </c>
      <c r="B12" s="18" t="s">
        <v>175</v>
      </c>
      <c r="C12" s="18" t="s">
        <v>176</v>
      </c>
      <c r="D12" s="12">
        <f>IFERROR(__xludf.DUMMYFUNCTION("IMPORTRANGE(""https://docs.google.com/spreadsheets/d/1pcI0H5_o88uChaoz3Jx8Lo2Z71zohG9q1pYbJLiJRZI/edit?gid=2034297422#gid=2034297422"", address(row($Z12),column($Z12),,,""CSE-N""))"),197.0)</f>
        <v>197</v>
      </c>
      <c r="E12" s="25">
        <f t="shared" si="1"/>
        <v>48</v>
      </c>
    </row>
    <row r="13" ht="17.25" customHeight="1">
      <c r="A13" s="14">
        <v>8.0</v>
      </c>
      <c r="B13" s="18" t="s">
        <v>177</v>
      </c>
      <c r="C13" s="18" t="s">
        <v>178</v>
      </c>
      <c r="D13" s="12">
        <f>IFERROR(__xludf.DUMMYFUNCTION("IMPORTRANGE(""https://docs.google.com/spreadsheets/d/1pcI0H5_o88uChaoz3Jx8Lo2Z71zohG9q1pYbJLiJRZI/edit?gid=2034297422#gid=2034297422"", address(row($Z13),column($Z13),,,""CSE-N""))"),227.0)</f>
        <v>227</v>
      </c>
      <c r="E13" s="25">
        <f t="shared" si="1"/>
        <v>55</v>
      </c>
    </row>
    <row r="14" ht="17.25" customHeight="1">
      <c r="A14" s="14">
        <v>9.0</v>
      </c>
      <c r="B14" s="18" t="s">
        <v>179</v>
      </c>
      <c r="C14" s="18" t="s">
        <v>180</v>
      </c>
      <c r="D14" s="12">
        <f>IFERROR(__xludf.DUMMYFUNCTION("IMPORTRANGE(""https://docs.google.com/spreadsheets/d/1pcI0H5_o88uChaoz3Jx8Lo2Z71zohG9q1pYbJLiJRZI/edit?gid=2034297422#gid=2034297422"", address(row($Z14),column($Z14),,,""CSE-N""))"),327.0)</f>
        <v>327</v>
      </c>
      <c r="E14" s="25">
        <f t="shared" si="1"/>
        <v>79</v>
      </c>
    </row>
    <row r="15" ht="17.25" customHeight="1">
      <c r="A15" s="14">
        <v>10.0</v>
      </c>
      <c r="B15" s="18" t="s">
        <v>181</v>
      </c>
      <c r="C15" s="18" t="s">
        <v>182</v>
      </c>
      <c r="D15" s="12">
        <f>IFERROR(__xludf.DUMMYFUNCTION("IMPORTRANGE(""https://docs.google.com/spreadsheets/d/1pcI0H5_o88uChaoz3Jx8Lo2Z71zohG9q1pYbJLiJRZI/edit?gid=2034297422#gid=2034297422"", address(row($Z15),column($Z15),,,""CSE-N""))"),216.0)</f>
        <v>216</v>
      </c>
      <c r="E15" s="25">
        <f t="shared" si="1"/>
        <v>52</v>
      </c>
    </row>
    <row r="16" ht="17.25" customHeight="1">
      <c r="A16" s="14">
        <v>11.0</v>
      </c>
      <c r="B16" s="18" t="s">
        <v>183</v>
      </c>
      <c r="C16" s="18" t="s">
        <v>184</v>
      </c>
      <c r="D16" s="12">
        <f>IFERROR(__xludf.DUMMYFUNCTION("IMPORTRANGE(""https://docs.google.com/spreadsheets/d/1pcI0H5_o88uChaoz3Jx8Lo2Z71zohG9q1pYbJLiJRZI/edit?gid=2034297422#gid=2034297422"", address(row($Z16),column($Z16),,,""CSE-N""))"),181.0)</f>
        <v>181</v>
      </c>
      <c r="E16" s="25">
        <f t="shared" si="1"/>
        <v>44</v>
      </c>
    </row>
    <row r="17" ht="17.25" customHeight="1">
      <c r="A17" s="14">
        <v>12.0</v>
      </c>
      <c r="B17" s="18" t="s">
        <v>185</v>
      </c>
      <c r="C17" s="18" t="s">
        <v>186</v>
      </c>
      <c r="D17" s="12">
        <f>IFERROR(__xludf.DUMMYFUNCTION("IMPORTRANGE(""https://docs.google.com/spreadsheets/d/1pcI0H5_o88uChaoz3Jx8Lo2Z71zohG9q1pYbJLiJRZI/edit?gid=2034297422#gid=2034297422"", address(row($Z17),column($Z17),,,""CSE-N""))"),284.0)</f>
        <v>284</v>
      </c>
      <c r="E17" s="25">
        <f t="shared" si="1"/>
        <v>69</v>
      </c>
    </row>
    <row r="18" ht="17.25" customHeight="1">
      <c r="A18" s="14">
        <v>13.0</v>
      </c>
      <c r="B18" s="18" t="s">
        <v>187</v>
      </c>
      <c r="C18" s="18" t="s">
        <v>188</v>
      </c>
      <c r="D18" s="12">
        <f>IFERROR(__xludf.DUMMYFUNCTION("IMPORTRANGE(""https://docs.google.com/spreadsheets/d/1pcI0H5_o88uChaoz3Jx8Lo2Z71zohG9q1pYbJLiJRZI/edit?gid=2034297422#gid=2034297422"", address(row($Z18),column($Z18),,,""CSE-N""))"),240.0)</f>
        <v>240</v>
      </c>
      <c r="E18" s="25">
        <f t="shared" si="1"/>
        <v>58</v>
      </c>
    </row>
    <row r="19" ht="17.25" customHeight="1">
      <c r="A19" s="14">
        <v>14.0</v>
      </c>
      <c r="B19" s="18" t="s">
        <v>189</v>
      </c>
      <c r="C19" s="18" t="s">
        <v>190</v>
      </c>
      <c r="D19" s="12">
        <f>IFERROR(__xludf.DUMMYFUNCTION("IMPORTRANGE(""https://docs.google.com/spreadsheets/d/1pcI0H5_o88uChaoz3Jx8Lo2Z71zohG9q1pYbJLiJRZI/edit?gid=2034297422#gid=2034297422"", address(row($Z19),column($Z19),,,""CSE-N""))"),346.0)</f>
        <v>346</v>
      </c>
      <c r="E19" s="25">
        <f t="shared" si="1"/>
        <v>84</v>
      </c>
    </row>
    <row r="20" ht="17.25" customHeight="1">
      <c r="A20" s="14">
        <v>15.0</v>
      </c>
      <c r="B20" s="18" t="s">
        <v>191</v>
      </c>
      <c r="C20" s="18" t="s">
        <v>192</v>
      </c>
      <c r="D20" s="12">
        <f>IFERROR(__xludf.DUMMYFUNCTION("IMPORTRANGE(""https://docs.google.com/spreadsheets/d/1pcI0H5_o88uChaoz3Jx8Lo2Z71zohG9q1pYbJLiJRZI/edit?gid=2034297422#gid=2034297422"", address(row($Z20),column($Z20),,,""CSE-N""))"),252.0)</f>
        <v>252</v>
      </c>
      <c r="E20" s="25">
        <f t="shared" si="1"/>
        <v>61</v>
      </c>
    </row>
    <row r="21" ht="15.75" customHeight="1">
      <c r="A21" s="14">
        <v>16.0</v>
      </c>
      <c r="B21" s="18" t="s">
        <v>193</v>
      </c>
      <c r="C21" s="18" t="s">
        <v>194</v>
      </c>
      <c r="D21" s="12">
        <f>IFERROR(__xludf.DUMMYFUNCTION("IMPORTRANGE(""https://docs.google.com/spreadsheets/d/1pcI0H5_o88uChaoz3Jx8Lo2Z71zohG9q1pYbJLiJRZI/edit?gid=2034297422#gid=2034297422"", address(row($Z21),column($Z21),,,""CSE-N""))"),335.0)</f>
        <v>335</v>
      </c>
      <c r="E21" s="25">
        <f t="shared" si="1"/>
        <v>81</v>
      </c>
    </row>
    <row r="22" ht="15.75" customHeight="1">
      <c r="A22" s="14">
        <v>17.0</v>
      </c>
      <c r="B22" s="18" t="s">
        <v>195</v>
      </c>
      <c r="C22" s="18" t="s">
        <v>196</v>
      </c>
      <c r="D22" s="12">
        <f>IFERROR(__xludf.DUMMYFUNCTION("IMPORTRANGE(""https://docs.google.com/spreadsheets/d/1pcI0H5_o88uChaoz3Jx8Lo2Z71zohG9q1pYbJLiJRZI/edit?gid=2034297422#gid=2034297422"", address(row($Z22),column($Z22),,,""CSE-N""))"),147.0)</f>
        <v>147</v>
      </c>
      <c r="E22" s="25">
        <f t="shared" si="1"/>
        <v>36</v>
      </c>
    </row>
    <row r="23" ht="15.75" customHeight="1">
      <c r="A23" s="14">
        <v>18.0</v>
      </c>
      <c r="B23" s="18" t="s">
        <v>197</v>
      </c>
      <c r="C23" s="18" t="s">
        <v>198</v>
      </c>
      <c r="D23" s="12">
        <f>IFERROR(__xludf.DUMMYFUNCTION("IMPORTRANGE(""https://docs.google.com/spreadsheets/d/1pcI0H5_o88uChaoz3Jx8Lo2Z71zohG9q1pYbJLiJRZI/edit?gid=2034297422#gid=2034297422"", address(row($Z23),column($Z23),,,""CSE-N""))"),260.0)</f>
        <v>260</v>
      </c>
      <c r="E23" s="25">
        <f t="shared" si="1"/>
        <v>63</v>
      </c>
    </row>
    <row r="24" ht="15.75" customHeight="1">
      <c r="A24" s="14">
        <v>19.0</v>
      </c>
      <c r="B24" s="18" t="s">
        <v>199</v>
      </c>
      <c r="C24" s="18" t="s">
        <v>200</v>
      </c>
      <c r="D24" s="12">
        <f>IFERROR(__xludf.DUMMYFUNCTION("IMPORTRANGE(""https://docs.google.com/spreadsheets/d/1pcI0H5_o88uChaoz3Jx8Lo2Z71zohG9q1pYbJLiJRZI/edit?gid=2034297422#gid=2034297422"", address(row($Z24),column($Z24),,,""CSE-N""))"),287.0)</f>
        <v>287</v>
      </c>
      <c r="E24" s="25">
        <f t="shared" si="1"/>
        <v>69</v>
      </c>
    </row>
    <row r="25" ht="15.75" customHeight="1">
      <c r="A25" s="14">
        <v>20.0</v>
      </c>
      <c r="B25" s="18" t="s">
        <v>201</v>
      </c>
      <c r="C25" s="18" t="s">
        <v>202</v>
      </c>
      <c r="D25" s="12">
        <f>IFERROR(__xludf.DUMMYFUNCTION("IMPORTRANGE(""https://docs.google.com/spreadsheets/d/1pcI0H5_o88uChaoz3Jx8Lo2Z71zohG9q1pYbJLiJRZI/edit?gid=2034297422#gid=2034297422"", address(row($Z25),column($Z25),,,""CSE-N""))"),203.0)</f>
        <v>203</v>
      </c>
      <c r="E25" s="25">
        <f t="shared" si="1"/>
        <v>49</v>
      </c>
    </row>
    <row r="26" ht="15.75" customHeight="1">
      <c r="A26" s="14">
        <v>21.0</v>
      </c>
      <c r="B26" s="18" t="s">
        <v>203</v>
      </c>
      <c r="C26" s="18" t="s">
        <v>204</v>
      </c>
      <c r="D26" s="12">
        <f>IFERROR(__xludf.DUMMYFUNCTION("IMPORTRANGE(""https://docs.google.com/spreadsheets/d/1pcI0H5_o88uChaoz3Jx8Lo2Z71zohG9q1pYbJLiJRZI/edit?gid=2034297422#gid=2034297422"", address(row($Z26),column($Z26),,,""CSE-N""))"),241.0)</f>
        <v>241</v>
      </c>
      <c r="E26" s="25">
        <f t="shared" si="1"/>
        <v>58</v>
      </c>
    </row>
    <row r="27" ht="15.75" customHeight="1">
      <c r="A27" s="14">
        <v>22.0</v>
      </c>
      <c r="B27" s="18" t="s">
        <v>205</v>
      </c>
      <c r="C27" s="18" t="s">
        <v>206</v>
      </c>
      <c r="D27" s="12">
        <f>IFERROR(__xludf.DUMMYFUNCTION("IMPORTRANGE(""https://docs.google.com/spreadsheets/d/1pcI0H5_o88uChaoz3Jx8Lo2Z71zohG9q1pYbJLiJRZI/edit?gid=2034297422#gid=2034297422"", address(row($Z27),column($Z27),,,""CSE-N""))"),239.0)</f>
        <v>239</v>
      </c>
      <c r="E27" s="25">
        <f t="shared" si="1"/>
        <v>58</v>
      </c>
    </row>
    <row r="28" ht="15.75" customHeight="1">
      <c r="A28" s="14">
        <v>23.0</v>
      </c>
      <c r="B28" s="18" t="s">
        <v>207</v>
      </c>
      <c r="C28" s="18" t="s">
        <v>208</v>
      </c>
      <c r="D28" s="12">
        <f>IFERROR(__xludf.DUMMYFUNCTION("IMPORTRANGE(""https://docs.google.com/spreadsheets/d/1pcI0H5_o88uChaoz3Jx8Lo2Z71zohG9q1pYbJLiJRZI/edit?gid=2034297422#gid=2034297422"", address(row($Z28),column($Z28),,,""CSE-N""))"),316.0)</f>
        <v>316</v>
      </c>
      <c r="E28" s="25">
        <f t="shared" si="1"/>
        <v>77</v>
      </c>
    </row>
    <row r="29" ht="15.75" customHeight="1">
      <c r="A29" s="14">
        <v>24.0</v>
      </c>
      <c r="B29" s="18" t="s">
        <v>209</v>
      </c>
      <c r="C29" s="18" t="s">
        <v>210</v>
      </c>
      <c r="D29" s="12">
        <f>IFERROR(__xludf.DUMMYFUNCTION("IMPORTRANGE(""https://docs.google.com/spreadsheets/d/1pcI0H5_o88uChaoz3Jx8Lo2Z71zohG9q1pYbJLiJRZI/edit?gid=2034297422#gid=2034297422"", address(row($Z29),column($Z29),,,""CSE-N""))"),262.0)</f>
        <v>262</v>
      </c>
      <c r="E29" s="25">
        <f t="shared" si="1"/>
        <v>63</v>
      </c>
    </row>
    <row r="30" ht="15.75" customHeight="1">
      <c r="A30" s="14">
        <v>25.0</v>
      </c>
      <c r="B30" s="18" t="s">
        <v>211</v>
      </c>
      <c r="C30" s="18" t="s">
        <v>212</v>
      </c>
      <c r="D30" s="12">
        <f>IFERROR(__xludf.DUMMYFUNCTION("IMPORTRANGE(""https://docs.google.com/spreadsheets/d/1pcI0H5_o88uChaoz3Jx8Lo2Z71zohG9q1pYbJLiJRZI/edit?gid=2034297422#gid=2034297422"", address(row($Z30),column($Z30),,,""CSE-N""))"),292.0)</f>
        <v>292</v>
      </c>
      <c r="E30" s="25">
        <f t="shared" si="1"/>
        <v>71</v>
      </c>
    </row>
    <row r="31" ht="15.75" customHeight="1">
      <c r="A31" s="14">
        <v>26.0</v>
      </c>
      <c r="B31" s="18" t="s">
        <v>213</v>
      </c>
      <c r="C31" s="18" t="s">
        <v>214</v>
      </c>
      <c r="D31" s="12">
        <f>IFERROR(__xludf.DUMMYFUNCTION("IMPORTRANGE(""https://docs.google.com/spreadsheets/d/1pcI0H5_o88uChaoz3Jx8Lo2Z71zohG9q1pYbJLiJRZI/edit?gid=2034297422#gid=2034297422"", address(row($Z31),column($Z31),,,""CSE-N""))"),253.0)</f>
        <v>253</v>
      </c>
      <c r="E31" s="25">
        <f t="shared" si="1"/>
        <v>61</v>
      </c>
    </row>
    <row r="32" ht="15.75" customHeight="1">
      <c r="A32" s="14">
        <v>27.0</v>
      </c>
      <c r="B32" s="18" t="s">
        <v>215</v>
      </c>
      <c r="C32" s="18" t="s">
        <v>216</v>
      </c>
      <c r="D32" s="12">
        <f>IFERROR(__xludf.DUMMYFUNCTION("IMPORTRANGE(""https://docs.google.com/spreadsheets/d/1pcI0H5_o88uChaoz3Jx8Lo2Z71zohG9q1pYbJLiJRZI/edit?gid=2034297422#gid=2034297422"", address(row($Z32),column($Z32),,,""CSE-N""))"),192.0)</f>
        <v>192</v>
      </c>
      <c r="E32" s="25">
        <f t="shared" si="1"/>
        <v>46</v>
      </c>
    </row>
    <row r="33" ht="15.75" customHeight="1">
      <c r="A33" s="14">
        <v>28.0</v>
      </c>
      <c r="B33" s="18" t="s">
        <v>217</v>
      </c>
      <c r="C33" s="18" t="s">
        <v>218</v>
      </c>
      <c r="D33" s="12">
        <f>IFERROR(__xludf.DUMMYFUNCTION("IMPORTRANGE(""https://docs.google.com/spreadsheets/d/1pcI0H5_o88uChaoz3Jx8Lo2Z71zohG9q1pYbJLiJRZI/edit?gid=2034297422#gid=2034297422"", address(row($Z33),column($Z33),,,""CSE-N""))"),279.0)</f>
        <v>279</v>
      </c>
      <c r="E33" s="25">
        <f t="shared" si="1"/>
        <v>68</v>
      </c>
    </row>
    <row r="34" ht="15.75" customHeight="1">
      <c r="A34" s="14">
        <v>29.0</v>
      </c>
      <c r="B34" s="18" t="s">
        <v>219</v>
      </c>
      <c r="C34" s="18" t="s">
        <v>220</v>
      </c>
      <c r="D34" s="12">
        <f>IFERROR(__xludf.DUMMYFUNCTION("IMPORTRANGE(""https://docs.google.com/spreadsheets/d/1pcI0H5_o88uChaoz3Jx8Lo2Z71zohG9q1pYbJLiJRZI/edit?gid=2034297422#gid=2034297422"", address(row($Z34),column($Z34),,,""CSE-N""))"),373.0)</f>
        <v>373</v>
      </c>
      <c r="E34" s="25">
        <f t="shared" si="1"/>
        <v>90</v>
      </c>
    </row>
    <row r="35" ht="15.75" customHeight="1">
      <c r="A35" s="14">
        <v>30.0</v>
      </c>
      <c r="B35" s="18" t="s">
        <v>221</v>
      </c>
      <c r="C35" s="18" t="s">
        <v>222</v>
      </c>
      <c r="D35" s="12">
        <f>IFERROR(__xludf.DUMMYFUNCTION("IMPORTRANGE(""https://docs.google.com/spreadsheets/d/1pcI0H5_o88uChaoz3Jx8Lo2Z71zohG9q1pYbJLiJRZI/edit?gid=2034297422#gid=2034297422"", address(row($Z35),column($Z35),,,""CSE-N""))"),340.0)</f>
        <v>340</v>
      </c>
      <c r="E35" s="25">
        <f t="shared" si="1"/>
        <v>82</v>
      </c>
    </row>
    <row r="36" ht="15.75" customHeight="1">
      <c r="A36" s="14">
        <v>31.0</v>
      </c>
      <c r="B36" s="18" t="s">
        <v>223</v>
      </c>
      <c r="C36" s="18" t="s">
        <v>224</v>
      </c>
      <c r="D36" s="12">
        <f>IFERROR(__xludf.DUMMYFUNCTION("IMPORTRANGE(""https://docs.google.com/spreadsheets/d/1pcI0H5_o88uChaoz3Jx8Lo2Z71zohG9q1pYbJLiJRZI/edit?gid=2034297422#gid=2034297422"", address(row($Z36),column($Z36),,,""CSE-N""))"),266.0)</f>
        <v>266</v>
      </c>
      <c r="E36" s="25">
        <f t="shared" si="1"/>
        <v>64</v>
      </c>
    </row>
    <row r="37" ht="15.75" customHeight="1">
      <c r="A37" s="14">
        <v>32.0</v>
      </c>
      <c r="B37" s="18" t="s">
        <v>225</v>
      </c>
      <c r="C37" s="18" t="s">
        <v>226</v>
      </c>
      <c r="D37" s="12">
        <f>IFERROR(__xludf.DUMMYFUNCTION("IMPORTRANGE(""https://docs.google.com/spreadsheets/d/1pcI0H5_o88uChaoz3Jx8Lo2Z71zohG9q1pYbJLiJRZI/edit?gid=2034297422#gid=2034297422"", address(row($Z37),column($Z37),,,""CSE-N""))"),376.0)</f>
        <v>376</v>
      </c>
      <c r="E37" s="25">
        <f t="shared" si="1"/>
        <v>91</v>
      </c>
    </row>
    <row r="38" ht="15.75" customHeight="1">
      <c r="A38" s="14">
        <v>33.0</v>
      </c>
      <c r="B38" s="18" t="s">
        <v>227</v>
      </c>
      <c r="C38" s="18" t="s">
        <v>228</v>
      </c>
      <c r="D38" s="12">
        <f>IFERROR(__xludf.DUMMYFUNCTION("IMPORTRANGE(""https://docs.google.com/spreadsheets/d/1pcI0H5_o88uChaoz3Jx8Lo2Z71zohG9q1pYbJLiJRZI/edit?gid=2034297422#gid=2034297422"", address(row($Z38),column($Z38),,,""CSE-N""))"),251.0)</f>
        <v>251</v>
      </c>
      <c r="E38" s="25">
        <f t="shared" si="1"/>
        <v>61</v>
      </c>
    </row>
    <row r="39" ht="15.75" customHeight="1">
      <c r="A39" s="14">
        <v>34.0</v>
      </c>
      <c r="B39" s="18" t="s">
        <v>229</v>
      </c>
      <c r="C39" s="18" t="s">
        <v>230</v>
      </c>
      <c r="D39" s="12">
        <f>IFERROR(__xludf.DUMMYFUNCTION("IMPORTRANGE(""https://docs.google.com/spreadsheets/d/1pcI0H5_o88uChaoz3Jx8Lo2Z71zohG9q1pYbJLiJRZI/edit?gid=2034297422#gid=2034297422"", address(row($Z39),column($Z39),,,""CSE-N""))"),324.0)</f>
        <v>324</v>
      </c>
      <c r="E39" s="25">
        <f t="shared" si="1"/>
        <v>78</v>
      </c>
    </row>
    <row r="40" ht="15.75" customHeight="1">
      <c r="A40" s="14">
        <v>35.0</v>
      </c>
      <c r="B40" s="18" t="s">
        <v>231</v>
      </c>
      <c r="C40" s="18" t="s">
        <v>232</v>
      </c>
      <c r="D40" s="12">
        <f>IFERROR(__xludf.DUMMYFUNCTION("IMPORTRANGE(""https://docs.google.com/spreadsheets/d/1pcI0H5_o88uChaoz3Jx8Lo2Z71zohG9q1pYbJLiJRZI/edit?gid=2034297422#gid=2034297422"", address(row($Z40),column($Z40),,,""CSE-N""))"),349.0)</f>
        <v>349</v>
      </c>
      <c r="E40" s="25">
        <f t="shared" si="1"/>
        <v>85</v>
      </c>
    </row>
    <row r="41" ht="15.75" customHeight="1">
      <c r="A41" s="14">
        <v>36.0</v>
      </c>
      <c r="B41" s="18" t="s">
        <v>233</v>
      </c>
      <c r="C41" s="18" t="s">
        <v>234</v>
      </c>
      <c r="D41" s="12">
        <f>IFERROR(__xludf.DUMMYFUNCTION("IMPORTRANGE(""https://docs.google.com/spreadsheets/d/1pcI0H5_o88uChaoz3Jx8Lo2Z71zohG9q1pYbJLiJRZI/edit?gid=2034297422#gid=2034297422"", address(row($Z41),column($Z41),,,""CSE-N""))"),220.0)</f>
        <v>220</v>
      </c>
      <c r="E41" s="25">
        <f t="shared" si="1"/>
        <v>53</v>
      </c>
    </row>
    <row r="42" ht="15.75" customHeight="1">
      <c r="A42" s="14">
        <v>37.0</v>
      </c>
      <c r="B42" s="18" t="s">
        <v>235</v>
      </c>
      <c r="C42" s="18" t="s">
        <v>236</v>
      </c>
      <c r="D42" s="12">
        <f>IFERROR(__xludf.DUMMYFUNCTION("IMPORTRANGE(""https://docs.google.com/spreadsheets/d/1pcI0H5_o88uChaoz3Jx8Lo2Z71zohG9q1pYbJLiJRZI/edit?gid=2034297422#gid=2034297422"", address(row($Z42),column($Z42),,,""CSE-N""))"),186.0)</f>
        <v>186</v>
      </c>
      <c r="E42" s="25">
        <f t="shared" si="1"/>
        <v>45</v>
      </c>
    </row>
    <row r="43" ht="15.75" customHeight="1">
      <c r="A43" s="14">
        <v>38.0</v>
      </c>
      <c r="B43" s="18" t="s">
        <v>237</v>
      </c>
      <c r="C43" s="18" t="s">
        <v>238</v>
      </c>
      <c r="D43" s="12">
        <f>IFERROR(__xludf.DUMMYFUNCTION("IMPORTRANGE(""https://docs.google.com/spreadsheets/d/1pcI0H5_o88uChaoz3Jx8Lo2Z71zohG9q1pYbJLiJRZI/edit?gid=2034297422#gid=2034297422"", address(row($Z43),column($Z43),,,""CSE-N""))"),321.0)</f>
        <v>321</v>
      </c>
      <c r="E43" s="25">
        <f t="shared" si="1"/>
        <v>78</v>
      </c>
    </row>
    <row r="44" ht="15.75" customHeight="1">
      <c r="A44" s="14">
        <v>39.0</v>
      </c>
      <c r="B44" s="18" t="s">
        <v>239</v>
      </c>
      <c r="C44" s="18" t="s">
        <v>240</v>
      </c>
      <c r="D44" s="12">
        <f>IFERROR(__xludf.DUMMYFUNCTION("IMPORTRANGE(""https://docs.google.com/spreadsheets/d/1pcI0H5_o88uChaoz3Jx8Lo2Z71zohG9q1pYbJLiJRZI/edit?gid=2034297422#gid=2034297422"", address(row($Z44),column($Z44),,,""CSE-N""))"),345.0)</f>
        <v>345</v>
      </c>
      <c r="E44" s="25">
        <f t="shared" si="1"/>
        <v>84</v>
      </c>
    </row>
    <row r="45" ht="15.75" customHeight="1">
      <c r="A45" s="14">
        <v>40.0</v>
      </c>
      <c r="B45" s="18" t="s">
        <v>241</v>
      </c>
      <c r="C45" s="18" t="s">
        <v>242</v>
      </c>
      <c r="D45" s="12">
        <f>IFERROR(__xludf.DUMMYFUNCTION("IMPORTRANGE(""https://docs.google.com/spreadsheets/d/1pcI0H5_o88uChaoz3Jx8Lo2Z71zohG9q1pYbJLiJRZI/edit?gid=2034297422#gid=2034297422"", address(row($Z45),column($Z45),,,""CSE-N""))"),250.0)</f>
        <v>250</v>
      </c>
      <c r="E45" s="25">
        <f t="shared" si="1"/>
        <v>61</v>
      </c>
    </row>
    <row r="46" ht="15.75" customHeight="1">
      <c r="A46" s="14">
        <v>41.0</v>
      </c>
      <c r="B46" s="18" t="s">
        <v>243</v>
      </c>
      <c r="C46" s="18" t="s">
        <v>244</v>
      </c>
      <c r="D46" s="12">
        <f>IFERROR(__xludf.DUMMYFUNCTION("IMPORTRANGE(""https://docs.google.com/spreadsheets/d/1pcI0H5_o88uChaoz3Jx8Lo2Z71zohG9q1pYbJLiJRZI/edit?gid=2034297422#gid=2034297422"", address(row($Z46),column($Z46),,,""CSE-N""))"),363.0)</f>
        <v>363</v>
      </c>
      <c r="E46" s="25">
        <f t="shared" si="1"/>
        <v>88</v>
      </c>
    </row>
    <row r="47" ht="15.75" customHeight="1">
      <c r="A47" s="14">
        <v>42.0</v>
      </c>
      <c r="B47" s="18" t="s">
        <v>245</v>
      </c>
      <c r="C47" s="18" t="s">
        <v>246</v>
      </c>
      <c r="D47" s="12">
        <f>IFERROR(__xludf.DUMMYFUNCTION("IMPORTRANGE(""https://docs.google.com/spreadsheets/d/1pcI0H5_o88uChaoz3Jx8Lo2Z71zohG9q1pYbJLiJRZI/edit?gid=2034297422#gid=2034297422"", address(row($Z47),column($Z47),,,""CSE-N""))"),341.0)</f>
        <v>341</v>
      </c>
      <c r="E47" s="25">
        <f t="shared" si="1"/>
        <v>83</v>
      </c>
    </row>
    <row r="48" ht="15.75" customHeight="1">
      <c r="A48" s="14">
        <v>43.0</v>
      </c>
      <c r="B48" s="18" t="s">
        <v>247</v>
      </c>
      <c r="C48" s="18" t="s">
        <v>248</v>
      </c>
      <c r="D48" s="12">
        <f>IFERROR(__xludf.DUMMYFUNCTION("IMPORTRANGE(""https://docs.google.com/spreadsheets/d/1pcI0H5_o88uChaoz3Jx8Lo2Z71zohG9q1pYbJLiJRZI/edit?gid=2034297422#gid=2034297422"", address(row($Z48),column($Z48),,,""CSE-N""))"),208.0)</f>
        <v>208</v>
      </c>
      <c r="E48" s="25">
        <f t="shared" si="1"/>
        <v>50</v>
      </c>
    </row>
    <row r="49" ht="15.75" customHeight="1">
      <c r="A49" s="14">
        <v>44.0</v>
      </c>
      <c r="B49" s="18" t="s">
        <v>249</v>
      </c>
      <c r="C49" s="18" t="s">
        <v>250</v>
      </c>
      <c r="D49" s="12">
        <f>IFERROR(__xludf.DUMMYFUNCTION("IMPORTRANGE(""https://docs.google.com/spreadsheets/d/1pcI0H5_o88uChaoz3Jx8Lo2Z71zohG9q1pYbJLiJRZI/edit?gid=2034297422#gid=2034297422"", address(row($Z49),column($Z49),,,""CSE-N""))"),273.0)</f>
        <v>273</v>
      </c>
      <c r="E49" s="25">
        <f t="shared" si="1"/>
        <v>66</v>
      </c>
    </row>
    <row r="50" ht="15.75" customHeight="1">
      <c r="A50" s="14">
        <v>45.0</v>
      </c>
      <c r="B50" s="18" t="s">
        <v>251</v>
      </c>
      <c r="C50" s="18" t="s">
        <v>252</v>
      </c>
      <c r="D50" s="12">
        <f>IFERROR(__xludf.DUMMYFUNCTION("IMPORTRANGE(""https://docs.google.com/spreadsheets/d/1pcI0H5_o88uChaoz3Jx8Lo2Z71zohG9q1pYbJLiJRZI/edit?gid=2034297422#gid=2034297422"", address(row($Z50),column($Z50),,,""CSE-N""))"),286.0)</f>
        <v>286</v>
      </c>
      <c r="E50" s="25">
        <f t="shared" si="1"/>
        <v>69</v>
      </c>
    </row>
    <row r="51" ht="15.75" customHeight="1">
      <c r="A51" s="14">
        <v>46.0</v>
      </c>
      <c r="B51" s="18" t="s">
        <v>253</v>
      </c>
      <c r="C51" s="18" t="s">
        <v>254</v>
      </c>
      <c r="D51" s="12">
        <f>IFERROR(__xludf.DUMMYFUNCTION("IMPORTRANGE(""https://docs.google.com/spreadsheets/d/1pcI0H5_o88uChaoz3Jx8Lo2Z71zohG9q1pYbJLiJRZI/edit?gid=2034297422#gid=2034297422"", address(row($Z51),column($Z51),,,""CSE-N""))"),255.0)</f>
        <v>255</v>
      </c>
      <c r="E51" s="25">
        <f t="shared" si="1"/>
        <v>62</v>
      </c>
    </row>
    <row r="52" ht="15.75" customHeight="1">
      <c r="A52" s="14">
        <v>47.0</v>
      </c>
      <c r="B52" s="18" t="s">
        <v>255</v>
      </c>
      <c r="C52" s="18" t="s">
        <v>256</v>
      </c>
      <c r="D52" s="12">
        <f>IFERROR(__xludf.DUMMYFUNCTION("IMPORTRANGE(""https://docs.google.com/spreadsheets/d/1pcI0H5_o88uChaoz3Jx8Lo2Z71zohG9q1pYbJLiJRZI/edit?gid=2034297422#gid=2034297422"", address(row($Z52),column($Z52),,,""CSE-N""))"),347.0)</f>
        <v>347</v>
      </c>
      <c r="E52" s="25">
        <f t="shared" si="1"/>
        <v>84</v>
      </c>
    </row>
    <row r="53" ht="15.75" customHeight="1">
      <c r="A53" s="14">
        <v>48.0</v>
      </c>
      <c r="B53" s="18" t="s">
        <v>257</v>
      </c>
      <c r="C53" s="18" t="s">
        <v>258</v>
      </c>
      <c r="D53" s="12">
        <f>IFERROR(__xludf.DUMMYFUNCTION("IMPORTRANGE(""https://docs.google.com/spreadsheets/d/1pcI0H5_o88uChaoz3Jx8Lo2Z71zohG9q1pYbJLiJRZI/edit?gid=2034297422#gid=2034297422"", address(row($Z53),column($Z53),,,""CSE-N""))"),318.0)</f>
        <v>318</v>
      </c>
      <c r="E53" s="25">
        <f t="shared" si="1"/>
        <v>77</v>
      </c>
    </row>
    <row r="54" ht="15.75" customHeight="1">
      <c r="A54" s="14">
        <v>49.0</v>
      </c>
      <c r="B54" s="18" t="s">
        <v>259</v>
      </c>
      <c r="C54" s="18" t="s">
        <v>260</v>
      </c>
      <c r="D54" s="12">
        <f>IFERROR(__xludf.DUMMYFUNCTION("IMPORTRANGE(""https://docs.google.com/spreadsheets/d/1pcI0H5_o88uChaoz3Jx8Lo2Z71zohG9q1pYbJLiJRZI/edit?gid=2034297422#gid=2034297422"", address(row($Z54),column($Z54),,,""CSE-N""))"),360.0)</f>
        <v>360</v>
      </c>
      <c r="E54" s="25">
        <f t="shared" si="1"/>
        <v>87</v>
      </c>
    </row>
    <row r="55" ht="15.75" customHeight="1">
      <c r="A55" s="14">
        <v>50.0</v>
      </c>
      <c r="B55" s="18" t="s">
        <v>261</v>
      </c>
      <c r="C55" s="18" t="s">
        <v>262</v>
      </c>
      <c r="D55" s="12">
        <f>IFERROR(__xludf.DUMMYFUNCTION("IMPORTRANGE(""https://docs.google.com/spreadsheets/d/1pcI0H5_o88uChaoz3Jx8Lo2Z71zohG9q1pYbJLiJRZI/edit?gid=2034297422#gid=2034297422"", address(row($Z55),column($Z55),,,""CSE-N""))"),296.0)</f>
        <v>296</v>
      </c>
      <c r="E55" s="25">
        <f t="shared" si="1"/>
        <v>72</v>
      </c>
    </row>
    <row r="56" ht="15.75" customHeight="1">
      <c r="A56" s="14">
        <v>51.0</v>
      </c>
      <c r="B56" s="18" t="s">
        <v>263</v>
      </c>
      <c r="C56" s="18" t="s">
        <v>264</v>
      </c>
      <c r="D56" s="12">
        <f>IFERROR(__xludf.DUMMYFUNCTION("IMPORTRANGE(""https://docs.google.com/spreadsheets/d/1pcI0H5_o88uChaoz3Jx8Lo2Z71zohG9q1pYbJLiJRZI/edit?gid=2034297422#gid=2034297422"", address(row($Z56),column($Z56),,,""CSE-N""))"),273.0)</f>
        <v>273</v>
      </c>
      <c r="E56" s="25">
        <f t="shared" si="1"/>
        <v>66</v>
      </c>
    </row>
    <row r="57" ht="15.75" customHeight="1">
      <c r="A57" s="14">
        <v>52.0</v>
      </c>
      <c r="B57" s="18" t="s">
        <v>265</v>
      </c>
      <c r="C57" s="18" t="s">
        <v>266</v>
      </c>
      <c r="D57" s="12">
        <f>IFERROR(__xludf.DUMMYFUNCTION("IMPORTRANGE(""https://docs.google.com/spreadsheets/d/1pcI0H5_o88uChaoz3Jx8Lo2Z71zohG9q1pYbJLiJRZI/edit?gid=2034297422#gid=2034297422"", address(row($Z57),column($Z57),,,""CSE-N""))"),229.0)</f>
        <v>229</v>
      </c>
      <c r="E57" s="25">
        <f t="shared" si="1"/>
        <v>55</v>
      </c>
    </row>
    <row r="58" ht="15.75" customHeight="1">
      <c r="A58" s="14">
        <v>53.0</v>
      </c>
      <c r="B58" s="18" t="s">
        <v>267</v>
      </c>
      <c r="C58" s="18" t="s">
        <v>268</v>
      </c>
      <c r="D58" s="12">
        <f>IFERROR(__xludf.DUMMYFUNCTION("IMPORTRANGE(""https://docs.google.com/spreadsheets/d/1pcI0H5_o88uChaoz3Jx8Lo2Z71zohG9q1pYbJLiJRZI/edit?gid=2034297422#gid=2034297422"", address(row($Z58),column($Z58),,,""CSE-N""))"),293.0)</f>
        <v>293</v>
      </c>
      <c r="E58" s="25">
        <f t="shared" si="1"/>
        <v>71</v>
      </c>
    </row>
    <row r="59" ht="15.75" customHeight="1">
      <c r="A59" s="14">
        <v>54.0</v>
      </c>
      <c r="B59" s="18" t="s">
        <v>269</v>
      </c>
      <c r="C59" s="18" t="s">
        <v>270</v>
      </c>
      <c r="D59" s="12">
        <f>IFERROR(__xludf.DUMMYFUNCTION("IMPORTRANGE(""https://docs.google.com/spreadsheets/d/1pcI0H5_o88uChaoz3Jx8Lo2Z71zohG9q1pYbJLiJRZI/edit?gid=2034297422#gid=2034297422"", address(row($Z59),column($Z59),,,""CSE-N""))"),315.0)</f>
        <v>315</v>
      </c>
      <c r="E59" s="25">
        <f t="shared" si="1"/>
        <v>76</v>
      </c>
    </row>
    <row r="60" ht="15.75" customHeight="1">
      <c r="A60" s="14">
        <v>55.0</v>
      </c>
      <c r="B60" s="18" t="s">
        <v>271</v>
      </c>
      <c r="C60" s="18" t="s">
        <v>272</v>
      </c>
      <c r="D60" s="12">
        <f>IFERROR(__xludf.DUMMYFUNCTION("IMPORTRANGE(""https://docs.google.com/spreadsheets/d/1pcI0H5_o88uChaoz3Jx8Lo2Z71zohG9q1pYbJLiJRZI/edit?gid=2034297422#gid=2034297422"", address(row($Z60),column($Z60),,,""CSE-N""))"),237.0)</f>
        <v>237</v>
      </c>
      <c r="E60" s="25">
        <f t="shared" si="1"/>
        <v>57</v>
      </c>
    </row>
    <row r="61" ht="15.75" customHeight="1">
      <c r="A61" s="14">
        <v>56.0</v>
      </c>
      <c r="B61" s="18" t="s">
        <v>273</v>
      </c>
      <c r="C61" s="18" t="s">
        <v>274</v>
      </c>
      <c r="D61" s="12">
        <f>IFERROR(__xludf.DUMMYFUNCTION("IMPORTRANGE(""https://docs.google.com/spreadsheets/d/1pcI0H5_o88uChaoz3Jx8Lo2Z71zohG9q1pYbJLiJRZI/edit?gid=2034297422#gid=2034297422"", address(row($Z61),column($Z61),,,""CSE-N""))"),335.0)</f>
        <v>335</v>
      </c>
      <c r="E61" s="25">
        <f t="shared" si="1"/>
        <v>81</v>
      </c>
    </row>
    <row r="62" ht="15.75" customHeight="1">
      <c r="A62" s="14">
        <v>57.0</v>
      </c>
      <c r="B62" s="18" t="s">
        <v>275</v>
      </c>
      <c r="C62" s="18" t="s">
        <v>276</v>
      </c>
      <c r="D62" s="12">
        <f>IFERROR(__xludf.DUMMYFUNCTION("IMPORTRANGE(""https://docs.google.com/spreadsheets/d/1pcI0H5_o88uChaoz3Jx8Lo2Z71zohG9q1pYbJLiJRZI/edit?gid=2034297422#gid=2034297422"", address(row($Z62),column($Z62),,,""CSE-N""))"),327.0)</f>
        <v>327</v>
      </c>
      <c r="E62" s="25">
        <f t="shared" si="1"/>
        <v>79</v>
      </c>
    </row>
    <row r="63" ht="15.75" customHeight="1">
      <c r="A63" s="14">
        <v>58.0</v>
      </c>
      <c r="B63" s="18" t="s">
        <v>277</v>
      </c>
      <c r="C63" s="18" t="s">
        <v>278</v>
      </c>
      <c r="D63" s="12">
        <f>IFERROR(__xludf.DUMMYFUNCTION("IMPORTRANGE(""https://docs.google.com/spreadsheets/d/1pcI0H5_o88uChaoz3Jx8Lo2Z71zohG9q1pYbJLiJRZI/edit?gid=2034297422#gid=2034297422"", address(row($Z63),column($Z63),,,""CSE-N""))"),371.0)</f>
        <v>371</v>
      </c>
      <c r="E63" s="25">
        <f t="shared" si="1"/>
        <v>90</v>
      </c>
    </row>
    <row r="64" ht="15.75" customHeight="1">
      <c r="A64" s="14">
        <v>59.0</v>
      </c>
      <c r="B64" s="18" t="s">
        <v>279</v>
      </c>
      <c r="C64" s="18" t="s">
        <v>280</v>
      </c>
      <c r="D64" s="12">
        <f>IFERROR(__xludf.DUMMYFUNCTION("IMPORTRANGE(""https://docs.google.com/spreadsheets/d/1pcI0H5_o88uChaoz3Jx8Lo2Z71zohG9q1pYbJLiJRZI/edit?gid=2034297422#gid=2034297422"", address(row($Z64),column($Z64),,,""CSE-N""))"),305.0)</f>
        <v>305</v>
      </c>
      <c r="E64" s="25">
        <f t="shared" si="1"/>
        <v>74</v>
      </c>
    </row>
    <row r="65" ht="15.75" customHeight="1">
      <c r="A65" s="14">
        <v>60.0</v>
      </c>
      <c r="B65" s="18" t="s">
        <v>281</v>
      </c>
      <c r="C65" s="18" t="s">
        <v>282</v>
      </c>
      <c r="D65" s="12">
        <f>IFERROR(__xludf.DUMMYFUNCTION("IMPORTRANGE(""https://docs.google.com/spreadsheets/d/1pcI0H5_o88uChaoz3Jx8Lo2Z71zohG9q1pYbJLiJRZI/edit?gid=2034297422#gid=2034297422"", address(row($Z65),column($Z65),,,""CSE-N""))"),290.0)</f>
        <v>290</v>
      </c>
      <c r="E65" s="25">
        <f t="shared" si="1"/>
        <v>70</v>
      </c>
    </row>
    <row r="66" ht="15.75" customHeight="1">
      <c r="A66" s="14">
        <v>61.0</v>
      </c>
      <c r="B66" s="18" t="s">
        <v>283</v>
      </c>
      <c r="C66" s="18" t="s">
        <v>284</v>
      </c>
      <c r="D66" s="12">
        <f>IFERROR(__xludf.DUMMYFUNCTION("IMPORTRANGE(""https://docs.google.com/spreadsheets/d/1pcI0H5_o88uChaoz3Jx8Lo2Z71zohG9q1pYbJLiJRZI/edit?gid=2034297422#gid=2034297422"", address(row($Z66),column($Z66),,,""CSE-N""))"),109.0)</f>
        <v>109</v>
      </c>
      <c r="E66" s="25">
        <f t="shared" si="1"/>
        <v>26</v>
      </c>
    </row>
    <row r="67" ht="15.75" customHeight="1">
      <c r="A67" s="14">
        <v>62.0</v>
      </c>
      <c r="B67" s="18" t="s">
        <v>285</v>
      </c>
      <c r="C67" s="18" t="s">
        <v>286</v>
      </c>
      <c r="D67" s="12">
        <f>IFERROR(__xludf.DUMMYFUNCTION("IMPORTRANGE(""https://docs.google.com/spreadsheets/d/1pcI0H5_o88uChaoz3Jx8Lo2Z71zohG9q1pYbJLiJRZI/edit?gid=2034297422#gid=2034297422"", address(row($Z67),column($Z67),,,""CSE-N""))"),209.0)</f>
        <v>209</v>
      </c>
      <c r="E67" s="25">
        <f t="shared" si="1"/>
        <v>51</v>
      </c>
    </row>
    <row r="68" ht="15.75" customHeight="1">
      <c r="A68" s="14">
        <v>63.0</v>
      </c>
      <c r="B68" s="18" t="s">
        <v>287</v>
      </c>
      <c r="C68" s="18" t="s">
        <v>288</v>
      </c>
      <c r="D68" s="12">
        <f>IFERROR(__xludf.DUMMYFUNCTION("IMPORTRANGE(""https://docs.google.com/spreadsheets/d/1pcI0H5_o88uChaoz3Jx8Lo2Z71zohG9q1pYbJLiJRZI/edit?gid=2034297422#gid=2034297422"", address(row($Z68),column($Z68),,,""CSE-N""))"),168.0)</f>
        <v>168</v>
      </c>
      <c r="E68" s="25">
        <f t="shared" si="1"/>
        <v>41</v>
      </c>
    </row>
    <row r="69" ht="15.75" customHeight="1">
      <c r="A69" s="14">
        <v>64.0</v>
      </c>
      <c r="B69" s="18" t="s">
        <v>289</v>
      </c>
      <c r="C69" s="18" t="s">
        <v>290</v>
      </c>
      <c r="D69" s="12">
        <f>IFERROR(__xludf.DUMMYFUNCTION("IMPORTRANGE(""https://docs.google.com/spreadsheets/d/1pcI0H5_o88uChaoz3Jx8Lo2Z71zohG9q1pYbJLiJRZI/edit?gid=2034297422#gid=2034297422"", address(row($Z69),column($Z69),,,""CSE-N""))"),324.0)</f>
        <v>324</v>
      </c>
      <c r="E69" s="25">
        <f t="shared" si="1"/>
        <v>78</v>
      </c>
    </row>
    <row r="70" ht="15.0" customHeight="1">
      <c r="A70" s="14">
        <v>65.0</v>
      </c>
      <c r="B70" s="18" t="s">
        <v>291</v>
      </c>
      <c r="C70" s="18" t="s">
        <v>292</v>
      </c>
      <c r="D70" s="12">
        <f>IFERROR(__xludf.DUMMYFUNCTION("IMPORTRANGE(""https://docs.google.com/spreadsheets/d/1pcI0H5_o88uChaoz3Jx8Lo2Z71zohG9q1pYbJLiJRZI/edit?gid=2034297422#gid=2034297422"", address(row($Z70),column($Z70),,,""CSE-N""))"),248.0)</f>
        <v>248</v>
      </c>
      <c r="E70" s="25">
        <f t="shared" si="1"/>
        <v>60</v>
      </c>
    </row>
    <row r="71" ht="15.0" customHeight="1">
      <c r="A71" s="17">
        <v>66.0</v>
      </c>
      <c r="B71" s="18" t="s">
        <v>293</v>
      </c>
      <c r="C71" s="18" t="s">
        <v>294</v>
      </c>
      <c r="D71" s="12">
        <f>IFERROR(__xludf.DUMMYFUNCTION("IMPORTRANGE(""https://docs.google.com/spreadsheets/d/1pcI0H5_o88uChaoz3Jx8Lo2Z71zohG9q1pYbJLiJRZI/edit?gid=2034297422#gid=2034297422"", address(row($Z71),column($Z71),,,""CSE-N""))"),282.0)</f>
        <v>282</v>
      </c>
      <c r="E71" s="25">
        <f t="shared" si="1"/>
        <v>68</v>
      </c>
    </row>
    <row r="72" ht="15.75" customHeight="1">
      <c r="A72" s="17">
        <v>67.0</v>
      </c>
      <c r="B72" s="26" t="s">
        <v>295</v>
      </c>
      <c r="C72" s="27" t="s">
        <v>296</v>
      </c>
      <c r="D72" s="12">
        <f>IFERROR(__xludf.DUMMYFUNCTION("IMPORTRANGE(""https://docs.google.com/spreadsheets/d/1pcI0H5_o88uChaoz3Jx8Lo2Z71zohG9q1pYbJLiJRZI/edit?gid=2034297422#gid=2034297422"", address(row($Z72),column($Z72),,,""CSE-N""))"),372.0)</f>
        <v>372</v>
      </c>
      <c r="E72" s="25">
        <f t="shared" si="1"/>
        <v>90</v>
      </c>
    </row>
    <row r="73" ht="15.75" customHeight="1">
      <c r="A73" s="17">
        <v>68.0</v>
      </c>
      <c r="B73" s="26" t="s">
        <v>297</v>
      </c>
      <c r="C73" s="27" t="s">
        <v>298</v>
      </c>
      <c r="D73" s="12">
        <f>IFERROR(__xludf.DUMMYFUNCTION("IMPORTRANGE(""https://docs.google.com/spreadsheets/d/1pcI0H5_o88uChaoz3Jx8Lo2Z71zohG9q1pYbJLiJRZI/edit?gid=2034297422#gid=2034297422"", address(row($Z73),column($Z73),,,""CSE-N""))"),362.0)</f>
        <v>362</v>
      </c>
      <c r="E73" s="25">
        <f t="shared" si="1"/>
        <v>88</v>
      </c>
    </row>
    <row r="74" ht="15.75" customHeight="1">
      <c r="A74" s="17">
        <v>69.0</v>
      </c>
      <c r="B74" s="26" t="s">
        <v>299</v>
      </c>
      <c r="C74" s="27" t="s">
        <v>300</v>
      </c>
      <c r="D74" s="12">
        <f>IFERROR(__xludf.DUMMYFUNCTION("IMPORTRANGE(""https://docs.google.com/spreadsheets/d/1pcI0H5_o88uChaoz3Jx8Lo2Z71zohG9q1pYbJLiJRZI/edit?gid=2034297422#gid=2034297422"", address(row($Z74),column($Z74),,,""CSE-N""))"),377.0)</f>
        <v>377</v>
      </c>
      <c r="E74" s="25">
        <f t="shared" si="1"/>
        <v>91</v>
      </c>
    </row>
    <row r="75" ht="15.75" customHeight="1">
      <c r="A75" s="17">
        <v>70.0</v>
      </c>
      <c r="B75" s="26" t="s">
        <v>301</v>
      </c>
      <c r="C75" s="27" t="s">
        <v>302</v>
      </c>
      <c r="D75" s="12">
        <f>IFERROR(__xludf.DUMMYFUNCTION("IMPORTRANGE(""https://docs.google.com/spreadsheets/d/1pcI0H5_o88uChaoz3Jx8Lo2Z71zohG9q1pYbJLiJRZI/edit?gid=2034297422#gid=2034297422"", address(row($Z75),column($Z75),,,""CSE-N""))"),365.0)</f>
        <v>365</v>
      </c>
      <c r="E75" s="25">
        <f t="shared" si="1"/>
        <v>88</v>
      </c>
    </row>
    <row r="76" ht="15.75" customHeight="1">
      <c r="A76" s="17">
        <v>71.0</v>
      </c>
      <c r="B76" s="26" t="s">
        <v>303</v>
      </c>
      <c r="C76" s="27" t="s">
        <v>304</v>
      </c>
      <c r="D76" s="12">
        <f>IFERROR(__xludf.DUMMYFUNCTION("IMPORTRANGE(""https://docs.google.com/spreadsheets/d/1pcI0H5_o88uChaoz3Jx8Lo2Z71zohG9q1pYbJLiJRZI/edit?gid=2034297422#gid=2034297422"", address(row($Z76),column($Z76),,,""CSE-N""))"),379.0)</f>
        <v>379</v>
      </c>
      <c r="E76" s="25">
        <f t="shared" si="1"/>
        <v>92</v>
      </c>
    </row>
    <row r="77" ht="15.75" customHeight="1">
      <c r="A77" s="17">
        <v>72.0</v>
      </c>
      <c r="B77" s="26" t="s">
        <v>305</v>
      </c>
      <c r="C77" s="27" t="s">
        <v>306</v>
      </c>
      <c r="D77" s="12">
        <f>IFERROR(__xludf.DUMMYFUNCTION("IMPORTRANGE(""https://docs.google.com/spreadsheets/d/1pcI0H5_o88uChaoz3Jx8Lo2Z71zohG9q1pYbJLiJRZI/edit?gid=2034297422#gid=2034297422"", address(row($Z77),column($Z77),,,""CSE-N""))"),371.0)</f>
        <v>371</v>
      </c>
      <c r="E77" s="25">
        <f t="shared" si="1"/>
        <v>90</v>
      </c>
    </row>
    <row r="78" ht="15.75" customHeight="1"/>
    <row r="79" ht="15.75" customHeight="1">
      <c r="B79" s="19" t="s">
        <v>307</v>
      </c>
      <c r="C79" s="11"/>
    </row>
    <row r="80" ht="15.75" customHeight="1">
      <c r="B80" s="20" t="s">
        <v>157</v>
      </c>
      <c r="C80" s="21">
        <f>COUNTIF(E6:E77,"&gt;=75")</f>
        <v>29</v>
      </c>
    </row>
    <row r="81" ht="15.75" customHeight="1">
      <c r="B81" s="20" t="s">
        <v>158</v>
      </c>
      <c r="C81" s="21">
        <f>COUNTIFS(E6:E77,"&gt;=65",E6:E77,"&lt;75")</f>
        <v>14</v>
      </c>
    </row>
    <row r="82" ht="15.75" customHeight="1">
      <c r="B82" s="20" t="s">
        <v>159</v>
      </c>
      <c r="C82" s="21">
        <f>COUNTIFS(E6:E77,"&gt;=50",E6:E77,"&lt;65")</f>
        <v>20</v>
      </c>
    </row>
    <row r="83" ht="15.75" customHeight="1">
      <c r="B83" s="20" t="s">
        <v>160</v>
      </c>
      <c r="C83" s="21">
        <f>COUNTIFS(E6:E77,"&gt;=25",E6:E77,"&lt;50")</f>
        <v>8</v>
      </c>
    </row>
    <row r="84" ht="15.75" customHeight="1">
      <c r="B84" s="20" t="s">
        <v>161</v>
      </c>
      <c r="C84" s="21">
        <f>COUNTIFS(E6:E77,"&gt;=1",E6:E77,"&lt;25")</f>
        <v>1</v>
      </c>
    </row>
    <row r="85" ht="15.75" customHeight="1">
      <c r="B85" s="20">
        <f>0</f>
        <v>0</v>
      </c>
      <c r="C85" s="22">
        <f>COUNTIFS(E6:E77,"=0")</f>
        <v>0</v>
      </c>
    </row>
    <row r="86" ht="15.75" customHeight="1">
      <c r="B86" s="23"/>
      <c r="C86" s="24">
        <f>SUM(C80:C85)</f>
        <v>72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:E1"/>
    <mergeCell ref="A2:E2"/>
    <mergeCell ref="A3:E3"/>
    <mergeCell ref="A5:C5"/>
    <mergeCell ref="B79:C79"/>
  </mergeCells>
  <conditionalFormatting sqref="E6:E77">
    <cfRule type="cellIs" dxfId="0" priority="1" operator="lessThan">
      <formula>75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4.14"/>
    <col customWidth="1" min="3" max="3" width="46.14"/>
    <col customWidth="1" min="4" max="4" width="5.71"/>
    <col customWidth="1" min="5" max="5" width="11.71"/>
    <col customWidth="1" min="6" max="6" width="14.43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4" t="s">
        <v>308</v>
      </c>
      <c r="B3" s="5"/>
      <c r="C3" s="5"/>
      <c r="D3" s="5"/>
      <c r="E3" s="6"/>
    </row>
    <row r="4">
      <c r="A4" s="7" t="s">
        <v>3</v>
      </c>
      <c r="B4" s="7" t="s">
        <v>4</v>
      </c>
      <c r="C4" s="8" t="s">
        <v>5</v>
      </c>
      <c r="D4" s="7" t="s">
        <v>6</v>
      </c>
      <c r="E4" s="7" t="s">
        <v>7</v>
      </c>
    </row>
    <row r="5" ht="22.5" customHeight="1">
      <c r="A5" s="9" t="s">
        <v>8</v>
      </c>
      <c r="B5" s="10"/>
      <c r="C5" s="11"/>
      <c r="D5" s="28">
        <f>IFERROR(__xludf.DUMMYFUNCTION("IMPORTRANGE(""https://docs.google.com/spreadsheets/d/1pcI0H5_o88uChaoz3Jx8Lo2Z71zohG9q1pYbJLiJRZI/edit?gid=760579392#gid=760579392"", address(row($Z5),column($Z5),,,""CSE-O""))"),421.0)</f>
        <v>421</v>
      </c>
      <c r="E5" s="13" t="s">
        <v>9</v>
      </c>
    </row>
    <row r="6" ht="17.25" customHeight="1">
      <c r="A6" s="14">
        <v>1.0</v>
      </c>
      <c r="B6" s="15" t="s">
        <v>309</v>
      </c>
      <c r="C6" s="15" t="s">
        <v>310</v>
      </c>
      <c r="D6" s="28">
        <f>IFERROR(__xludf.DUMMYFUNCTION("IMPORTRANGE(""https://docs.google.com/spreadsheets/d/1pcI0H5_o88uChaoz3Jx8Lo2Z71zohG9q1pYbJLiJRZI/edit?gid=760579392#gid=760579392"", address(row($Z6),column($Z6),,,""CSE-O""))"),244.0)</f>
        <v>244</v>
      </c>
      <c r="E6" s="25">
        <f t="shared" ref="E6:E76" si="1">ROUND(D6/$D$5*100,0)</f>
        <v>58</v>
      </c>
    </row>
    <row r="7" ht="17.25" customHeight="1">
      <c r="A7" s="14">
        <v>2.0</v>
      </c>
      <c r="B7" s="18" t="s">
        <v>311</v>
      </c>
      <c r="C7" s="18" t="s">
        <v>312</v>
      </c>
      <c r="D7" s="28">
        <f>IFERROR(__xludf.DUMMYFUNCTION("IMPORTRANGE(""https://docs.google.com/spreadsheets/d/1pcI0H5_o88uChaoz3Jx8Lo2Z71zohG9q1pYbJLiJRZI/edit?gid=760579392#gid=760579392"", address(row($Z7),column($Z7),,,""CSE-O""))"),387.0)</f>
        <v>387</v>
      </c>
      <c r="E7" s="25">
        <f t="shared" si="1"/>
        <v>92</v>
      </c>
    </row>
    <row r="8" ht="17.25" customHeight="1">
      <c r="A8" s="14">
        <v>3.0</v>
      </c>
      <c r="B8" s="18" t="s">
        <v>313</v>
      </c>
      <c r="C8" s="18" t="s">
        <v>314</v>
      </c>
      <c r="D8" s="28">
        <f>IFERROR(__xludf.DUMMYFUNCTION("IMPORTRANGE(""https://docs.google.com/spreadsheets/d/1pcI0H5_o88uChaoz3Jx8Lo2Z71zohG9q1pYbJLiJRZI/edit?gid=760579392#gid=760579392"", address(row($Z8),column($Z8),,,""CSE-O""))"),388.0)</f>
        <v>388</v>
      </c>
      <c r="E8" s="25">
        <f t="shared" si="1"/>
        <v>92</v>
      </c>
    </row>
    <row r="9" ht="17.25" customHeight="1">
      <c r="A9" s="14">
        <v>4.0</v>
      </c>
      <c r="B9" s="18" t="s">
        <v>315</v>
      </c>
      <c r="C9" s="18" t="s">
        <v>316</v>
      </c>
      <c r="D9" s="28">
        <f>IFERROR(__xludf.DUMMYFUNCTION("IMPORTRANGE(""https://docs.google.com/spreadsheets/d/1pcI0H5_o88uChaoz3Jx8Lo2Z71zohG9q1pYbJLiJRZI/edit?gid=760579392#gid=760579392"", address(row($Z9),column($Z9),,,""CSE-O""))"),170.0)</f>
        <v>170</v>
      </c>
      <c r="E9" s="25">
        <f t="shared" si="1"/>
        <v>40</v>
      </c>
    </row>
    <row r="10" ht="17.25" customHeight="1">
      <c r="A10" s="14">
        <v>5.0</v>
      </c>
      <c r="B10" s="18" t="s">
        <v>317</v>
      </c>
      <c r="C10" s="18" t="s">
        <v>318</v>
      </c>
      <c r="D10" s="28">
        <f>IFERROR(__xludf.DUMMYFUNCTION("IMPORTRANGE(""https://docs.google.com/spreadsheets/d/1pcI0H5_o88uChaoz3Jx8Lo2Z71zohG9q1pYbJLiJRZI/edit?gid=760579392#gid=760579392"", address(row($Z10),column($Z10),,,""CSE-O""))"),234.0)</f>
        <v>234</v>
      </c>
      <c r="E10" s="25">
        <f t="shared" si="1"/>
        <v>56</v>
      </c>
    </row>
    <row r="11" ht="17.25" customHeight="1">
      <c r="A11" s="14">
        <v>6.0</v>
      </c>
      <c r="B11" s="18" t="s">
        <v>319</v>
      </c>
      <c r="C11" s="18" t="s">
        <v>320</v>
      </c>
      <c r="D11" s="28">
        <f>IFERROR(__xludf.DUMMYFUNCTION("IMPORTRANGE(""https://docs.google.com/spreadsheets/d/1pcI0H5_o88uChaoz3Jx8Lo2Z71zohG9q1pYbJLiJRZI/edit?gid=760579392#gid=760579392"", address(row($Z11),column($Z11),,,""CSE-O""))"),359.0)</f>
        <v>359</v>
      </c>
      <c r="E11" s="25">
        <f t="shared" si="1"/>
        <v>85</v>
      </c>
    </row>
    <row r="12" ht="17.25" customHeight="1">
      <c r="A12" s="14">
        <v>7.0</v>
      </c>
      <c r="B12" s="18" t="s">
        <v>321</v>
      </c>
      <c r="C12" s="18" t="s">
        <v>322</v>
      </c>
      <c r="D12" s="28">
        <f>IFERROR(__xludf.DUMMYFUNCTION("IMPORTRANGE(""https://docs.google.com/spreadsheets/d/1pcI0H5_o88uChaoz3Jx8Lo2Z71zohG9q1pYbJLiJRZI/edit?gid=760579392#gid=760579392"", address(row($Z12),column($Z12),,,""CSE-O""))"),360.0)</f>
        <v>360</v>
      </c>
      <c r="E12" s="25">
        <f t="shared" si="1"/>
        <v>86</v>
      </c>
    </row>
    <row r="13" ht="17.25" customHeight="1">
      <c r="A13" s="14">
        <v>8.0</v>
      </c>
      <c r="B13" s="18" t="s">
        <v>323</v>
      </c>
      <c r="C13" s="18" t="s">
        <v>324</v>
      </c>
      <c r="D13" s="28">
        <f>IFERROR(__xludf.DUMMYFUNCTION("IMPORTRANGE(""https://docs.google.com/spreadsheets/d/1pcI0H5_o88uChaoz3Jx8Lo2Z71zohG9q1pYbJLiJRZI/edit?gid=760579392#gid=760579392"", address(row($Z13),column($Z13),,,""CSE-O""))"),293.0)</f>
        <v>293</v>
      </c>
      <c r="E13" s="25">
        <f t="shared" si="1"/>
        <v>70</v>
      </c>
    </row>
    <row r="14" ht="17.25" customHeight="1">
      <c r="A14" s="14">
        <v>9.0</v>
      </c>
      <c r="B14" s="18" t="s">
        <v>325</v>
      </c>
      <c r="C14" s="18" t="s">
        <v>326</v>
      </c>
      <c r="D14" s="28">
        <f>IFERROR(__xludf.DUMMYFUNCTION("IMPORTRANGE(""https://docs.google.com/spreadsheets/d/1pcI0H5_o88uChaoz3Jx8Lo2Z71zohG9q1pYbJLiJRZI/edit?gid=760579392#gid=760579392"", address(row($Z14),column($Z14),,,""CSE-O""))"),292.0)</f>
        <v>292</v>
      </c>
      <c r="E14" s="25">
        <f t="shared" si="1"/>
        <v>69</v>
      </c>
    </row>
    <row r="15" ht="17.25" customHeight="1">
      <c r="A15" s="14">
        <v>10.0</v>
      </c>
      <c r="B15" s="18" t="s">
        <v>327</v>
      </c>
      <c r="C15" s="18" t="s">
        <v>328</v>
      </c>
      <c r="D15" s="28">
        <f>IFERROR(__xludf.DUMMYFUNCTION("IMPORTRANGE(""https://docs.google.com/spreadsheets/d/1pcI0H5_o88uChaoz3Jx8Lo2Z71zohG9q1pYbJLiJRZI/edit?gid=760579392#gid=760579392"", address(row($Z15),column($Z15),,,""CSE-O""))"),297.0)</f>
        <v>297</v>
      </c>
      <c r="E15" s="25">
        <f t="shared" si="1"/>
        <v>71</v>
      </c>
    </row>
    <row r="16" ht="17.25" customHeight="1">
      <c r="A16" s="14">
        <v>11.0</v>
      </c>
      <c r="B16" s="18" t="s">
        <v>329</v>
      </c>
      <c r="C16" s="18" t="s">
        <v>330</v>
      </c>
      <c r="D16" s="28">
        <f>IFERROR(__xludf.DUMMYFUNCTION("IMPORTRANGE(""https://docs.google.com/spreadsheets/d/1pcI0H5_o88uChaoz3Jx8Lo2Z71zohG9q1pYbJLiJRZI/edit?gid=760579392#gid=760579392"", address(row($Z16),column($Z16),,,""CSE-O""))"),0.0)</f>
        <v>0</v>
      </c>
      <c r="E16" s="25">
        <f t="shared" si="1"/>
        <v>0</v>
      </c>
    </row>
    <row r="17" ht="17.25" customHeight="1">
      <c r="A17" s="14">
        <v>12.0</v>
      </c>
      <c r="B17" s="18" t="s">
        <v>331</v>
      </c>
      <c r="C17" s="18" t="s">
        <v>332</v>
      </c>
      <c r="D17" s="28">
        <f>IFERROR(__xludf.DUMMYFUNCTION("IMPORTRANGE(""https://docs.google.com/spreadsheets/d/1pcI0H5_o88uChaoz3Jx8Lo2Z71zohG9q1pYbJLiJRZI/edit?gid=760579392#gid=760579392"", address(row($Z17),column($Z17),,,""CSE-O""))"),326.0)</f>
        <v>326</v>
      </c>
      <c r="E17" s="25">
        <f t="shared" si="1"/>
        <v>77</v>
      </c>
    </row>
    <row r="18" ht="17.25" customHeight="1">
      <c r="A18" s="14">
        <v>13.0</v>
      </c>
      <c r="B18" s="18" t="s">
        <v>333</v>
      </c>
      <c r="C18" s="18" t="s">
        <v>334</v>
      </c>
      <c r="D18" s="28">
        <f>IFERROR(__xludf.DUMMYFUNCTION("IMPORTRANGE(""https://docs.google.com/spreadsheets/d/1pcI0H5_o88uChaoz3Jx8Lo2Z71zohG9q1pYbJLiJRZI/edit?gid=760579392#gid=760579392"", address(row($Z18),column($Z18),,,""CSE-O""))"),310.0)</f>
        <v>310</v>
      </c>
      <c r="E18" s="25">
        <f t="shared" si="1"/>
        <v>74</v>
      </c>
    </row>
    <row r="19" ht="17.25" customHeight="1">
      <c r="A19" s="14">
        <v>14.0</v>
      </c>
      <c r="B19" s="18" t="s">
        <v>335</v>
      </c>
      <c r="C19" s="18" t="s">
        <v>336</v>
      </c>
      <c r="D19" s="28">
        <f>IFERROR(__xludf.DUMMYFUNCTION("IMPORTRANGE(""https://docs.google.com/spreadsheets/d/1pcI0H5_o88uChaoz3Jx8Lo2Z71zohG9q1pYbJLiJRZI/edit?gid=760579392#gid=760579392"", address(row($Z19),column($Z19),,,""CSE-O""))"),335.0)</f>
        <v>335</v>
      </c>
      <c r="E19" s="25">
        <f t="shared" si="1"/>
        <v>80</v>
      </c>
    </row>
    <row r="20" ht="17.25" customHeight="1">
      <c r="A20" s="14">
        <v>15.0</v>
      </c>
      <c r="B20" s="18" t="s">
        <v>337</v>
      </c>
      <c r="C20" s="18" t="s">
        <v>338</v>
      </c>
      <c r="D20" s="28">
        <f>IFERROR(__xludf.DUMMYFUNCTION("IMPORTRANGE(""https://docs.google.com/spreadsheets/d/1pcI0H5_o88uChaoz3Jx8Lo2Z71zohG9q1pYbJLiJRZI/edit?gid=760579392#gid=760579392"", address(row($Z20),column($Z20),,,""CSE-O""))"),388.0)</f>
        <v>388</v>
      </c>
      <c r="E20" s="25">
        <f t="shared" si="1"/>
        <v>92</v>
      </c>
    </row>
    <row r="21" ht="15.75" customHeight="1">
      <c r="A21" s="14">
        <v>16.0</v>
      </c>
      <c r="B21" s="18" t="s">
        <v>339</v>
      </c>
      <c r="C21" s="18" t="s">
        <v>340</v>
      </c>
      <c r="D21" s="28">
        <f>IFERROR(__xludf.DUMMYFUNCTION("IMPORTRANGE(""https://docs.google.com/spreadsheets/d/1pcI0H5_o88uChaoz3Jx8Lo2Z71zohG9q1pYbJLiJRZI/edit?gid=760579392#gid=760579392"", address(row($Z21),column($Z21),,,""CSE-O""))"),358.0)</f>
        <v>358</v>
      </c>
      <c r="E21" s="25">
        <f t="shared" si="1"/>
        <v>85</v>
      </c>
    </row>
    <row r="22" ht="15.75" customHeight="1">
      <c r="A22" s="14">
        <v>17.0</v>
      </c>
      <c r="B22" s="18" t="s">
        <v>341</v>
      </c>
      <c r="C22" s="18" t="s">
        <v>342</v>
      </c>
      <c r="D22" s="28">
        <f>IFERROR(__xludf.DUMMYFUNCTION("IMPORTRANGE(""https://docs.google.com/spreadsheets/d/1pcI0H5_o88uChaoz3Jx8Lo2Z71zohG9q1pYbJLiJRZI/edit?gid=760579392#gid=760579392"", address(row($Z22),column($Z22),,,""CSE-O""))"),167.0)</f>
        <v>167</v>
      </c>
      <c r="E22" s="25">
        <f t="shared" si="1"/>
        <v>40</v>
      </c>
    </row>
    <row r="23" ht="15.75" customHeight="1">
      <c r="A23" s="14">
        <v>18.0</v>
      </c>
      <c r="B23" s="18" t="s">
        <v>343</v>
      </c>
      <c r="C23" s="18" t="s">
        <v>344</v>
      </c>
      <c r="D23" s="28">
        <f>IFERROR(__xludf.DUMMYFUNCTION("IMPORTRANGE(""https://docs.google.com/spreadsheets/d/1pcI0H5_o88uChaoz3Jx8Lo2Z71zohG9q1pYbJLiJRZI/edit?gid=760579392#gid=760579392"", address(row($Z23),column($Z23),,,""CSE-O""))"),152.0)</f>
        <v>152</v>
      </c>
      <c r="E23" s="25">
        <f t="shared" si="1"/>
        <v>36</v>
      </c>
    </row>
    <row r="24" ht="15.75" customHeight="1">
      <c r="A24" s="14">
        <v>19.0</v>
      </c>
      <c r="B24" s="18" t="s">
        <v>345</v>
      </c>
      <c r="C24" s="18" t="s">
        <v>346</v>
      </c>
      <c r="D24" s="28">
        <f>IFERROR(__xludf.DUMMYFUNCTION("IMPORTRANGE(""https://docs.google.com/spreadsheets/d/1pcI0H5_o88uChaoz3Jx8Lo2Z71zohG9q1pYbJLiJRZI/edit?gid=760579392#gid=760579392"", address(row($Z24),column($Z24),,,""CSE-O""))"),295.0)</f>
        <v>295</v>
      </c>
      <c r="E24" s="25">
        <f t="shared" si="1"/>
        <v>70</v>
      </c>
    </row>
    <row r="25" ht="15.75" customHeight="1">
      <c r="A25" s="14">
        <v>20.0</v>
      </c>
      <c r="B25" s="18" t="s">
        <v>347</v>
      </c>
      <c r="C25" s="18" t="s">
        <v>348</v>
      </c>
      <c r="D25" s="28">
        <f>IFERROR(__xludf.DUMMYFUNCTION("IMPORTRANGE(""https://docs.google.com/spreadsheets/d/1pcI0H5_o88uChaoz3Jx8Lo2Z71zohG9q1pYbJLiJRZI/edit?gid=760579392#gid=760579392"", address(row($Z25),column($Z25),,,""CSE-O""))"),337.0)</f>
        <v>337</v>
      </c>
      <c r="E25" s="25">
        <f t="shared" si="1"/>
        <v>80</v>
      </c>
    </row>
    <row r="26" ht="15.75" customHeight="1">
      <c r="A26" s="14">
        <v>21.0</v>
      </c>
      <c r="B26" s="18" t="s">
        <v>349</v>
      </c>
      <c r="C26" s="18" t="s">
        <v>350</v>
      </c>
      <c r="D26" s="28">
        <f>IFERROR(__xludf.DUMMYFUNCTION("IMPORTRANGE(""https://docs.google.com/spreadsheets/d/1pcI0H5_o88uChaoz3Jx8Lo2Z71zohG9q1pYbJLiJRZI/edit?gid=760579392#gid=760579392"", address(row($Z26),column($Z26),,,""CSE-O""))"),251.0)</f>
        <v>251</v>
      </c>
      <c r="E26" s="25">
        <f t="shared" si="1"/>
        <v>60</v>
      </c>
    </row>
    <row r="27" ht="15.75" customHeight="1">
      <c r="A27" s="14">
        <v>22.0</v>
      </c>
      <c r="B27" s="18" t="s">
        <v>351</v>
      </c>
      <c r="C27" s="18" t="s">
        <v>352</v>
      </c>
      <c r="D27" s="28">
        <f>IFERROR(__xludf.DUMMYFUNCTION("IMPORTRANGE(""https://docs.google.com/spreadsheets/d/1pcI0H5_o88uChaoz3Jx8Lo2Z71zohG9q1pYbJLiJRZI/edit?gid=760579392#gid=760579392"", address(row($Z27),column($Z27),,,""CSE-O""))"),148.0)</f>
        <v>148</v>
      </c>
      <c r="E27" s="25">
        <f t="shared" si="1"/>
        <v>35</v>
      </c>
    </row>
    <row r="28" ht="15.75" customHeight="1">
      <c r="A28" s="14">
        <v>23.0</v>
      </c>
      <c r="B28" s="18" t="s">
        <v>353</v>
      </c>
      <c r="C28" s="18" t="s">
        <v>354</v>
      </c>
      <c r="D28" s="28">
        <f>IFERROR(__xludf.DUMMYFUNCTION("IMPORTRANGE(""https://docs.google.com/spreadsheets/d/1pcI0H5_o88uChaoz3Jx8Lo2Z71zohG9q1pYbJLiJRZI/edit?gid=760579392#gid=760579392"", address(row($Z28),column($Z28),,,""CSE-O""))"),170.0)</f>
        <v>170</v>
      </c>
      <c r="E28" s="25">
        <f t="shared" si="1"/>
        <v>40</v>
      </c>
    </row>
    <row r="29" ht="15.75" customHeight="1">
      <c r="A29" s="14">
        <v>24.0</v>
      </c>
      <c r="B29" s="18" t="s">
        <v>355</v>
      </c>
      <c r="C29" s="18" t="s">
        <v>356</v>
      </c>
      <c r="D29" s="28">
        <f>IFERROR(__xludf.DUMMYFUNCTION("IMPORTRANGE(""https://docs.google.com/spreadsheets/d/1pcI0H5_o88uChaoz3Jx8Lo2Z71zohG9q1pYbJLiJRZI/edit?gid=760579392#gid=760579392"", address(row($Z29),column($Z29),,,""CSE-O""))"),328.0)</f>
        <v>328</v>
      </c>
      <c r="E29" s="25">
        <f t="shared" si="1"/>
        <v>78</v>
      </c>
    </row>
    <row r="30" ht="15.75" customHeight="1">
      <c r="A30" s="14">
        <v>25.0</v>
      </c>
      <c r="B30" s="18" t="s">
        <v>357</v>
      </c>
      <c r="C30" s="18" t="s">
        <v>358</v>
      </c>
      <c r="D30" s="28">
        <f>IFERROR(__xludf.DUMMYFUNCTION("IMPORTRANGE(""https://docs.google.com/spreadsheets/d/1pcI0H5_o88uChaoz3Jx8Lo2Z71zohG9q1pYbJLiJRZI/edit?gid=760579392#gid=760579392"", address(row($Z30),column($Z30),,,""CSE-O""))"),105.0)</f>
        <v>105</v>
      </c>
      <c r="E30" s="25">
        <f t="shared" si="1"/>
        <v>25</v>
      </c>
    </row>
    <row r="31" ht="15.75" customHeight="1">
      <c r="A31" s="14">
        <v>26.0</v>
      </c>
      <c r="B31" s="18" t="s">
        <v>359</v>
      </c>
      <c r="C31" s="18" t="s">
        <v>360</v>
      </c>
      <c r="D31" s="28">
        <f>IFERROR(__xludf.DUMMYFUNCTION("IMPORTRANGE(""https://docs.google.com/spreadsheets/d/1pcI0H5_o88uChaoz3Jx8Lo2Z71zohG9q1pYbJLiJRZI/edit?gid=760579392#gid=760579392"", address(row($Z31),column($Z31),,,""CSE-O""))"),307.0)</f>
        <v>307</v>
      </c>
      <c r="E31" s="25">
        <f t="shared" si="1"/>
        <v>73</v>
      </c>
    </row>
    <row r="32" ht="15.75" customHeight="1">
      <c r="A32" s="14">
        <v>27.0</v>
      </c>
      <c r="B32" s="18" t="s">
        <v>361</v>
      </c>
      <c r="C32" s="18" t="s">
        <v>362</v>
      </c>
      <c r="D32" s="28">
        <f>IFERROR(__xludf.DUMMYFUNCTION("IMPORTRANGE(""https://docs.google.com/spreadsheets/d/1pcI0H5_o88uChaoz3Jx8Lo2Z71zohG9q1pYbJLiJRZI/edit?gid=760579392#gid=760579392"", address(row($Z32),column($Z32),,,""CSE-O""))"),176.0)</f>
        <v>176</v>
      </c>
      <c r="E32" s="25">
        <f t="shared" si="1"/>
        <v>42</v>
      </c>
    </row>
    <row r="33" ht="15.75" customHeight="1">
      <c r="A33" s="14">
        <v>28.0</v>
      </c>
      <c r="B33" s="18" t="s">
        <v>363</v>
      </c>
      <c r="C33" s="18" t="s">
        <v>364</v>
      </c>
      <c r="D33" s="28">
        <f>IFERROR(__xludf.DUMMYFUNCTION("IMPORTRANGE(""https://docs.google.com/spreadsheets/d/1pcI0H5_o88uChaoz3Jx8Lo2Z71zohG9q1pYbJLiJRZI/edit?gid=760579392#gid=760579392"", address(row($Z33),column($Z33),,,""CSE-O""))"),346.0)</f>
        <v>346</v>
      </c>
      <c r="E33" s="25">
        <f t="shared" si="1"/>
        <v>82</v>
      </c>
    </row>
    <row r="34" ht="15.75" customHeight="1">
      <c r="A34" s="14">
        <v>29.0</v>
      </c>
      <c r="B34" s="18" t="s">
        <v>365</v>
      </c>
      <c r="C34" s="18" t="s">
        <v>366</v>
      </c>
      <c r="D34" s="28">
        <f>IFERROR(__xludf.DUMMYFUNCTION("IMPORTRANGE(""https://docs.google.com/spreadsheets/d/1pcI0H5_o88uChaoz3Jx8Lo2Z71zohG9q1pYbJLiJRZI/edit?gid=760579392#gid=760579392"", address(row($Z34),column($Z34),,,""CSE-O""))"),326.0)</f>
        <v>326</v>
      </c>
      <c r="E34" s="25">
        <f t="shared" si="1"/>
        <v>77</v>
      </c>
    </row>
    <row r="35" ht="15.75" customHeight="1">
      <c r="A35" s="14">
        <v>30.0</v>
      </c>
      <c r="B35" s="18" t="s">
        <v>367</v>
      </c>
      <c r="C35" s="18" t="s">
        <v>368</v>
      </c>
      <c r="D35" s="28">
        <f>IFERROR(__xludf.DUMMYFUNCTION("IMPORTRANGE(""https://docs.google.com/spreadsheets/d/1pcI0H5_o88uChaoz3Jx8Lo2Z71zohG9q1pYbJLiJRZI/edit?gid=760579392#gid=760579392"", address(row($Z35),column($Z35),,,""CSE-O""))"),226.0)</f>
        <v>226</v>
      </c>
      <c r="E35" s="25">
        <f t="shared" si="1"/>
        <v>54</v>
      </c>
    </row>
    <row r="36" ht="15.75" customHeight="1">
      <c r="A36" s="14">
        <v>31.0</v>
      </c>
      <c r="B36" s="18" t="s">
        <v>369</v>
      </c>
      <c r="C36" s="18" t="s">
        <v>370</v>
      </c>
      <c r="D36" s="28">
        <f>IFERROR(__xludf.DUMMYFUNCTION("IMPORTRANGE(""https://docs.google.com/spreadsheets/d/1pcI0H5_o88uChaoz3Jx8Lo2Z71zohG9q1pYbJLiJRZI/edit?gid=760579392#gid=760579392"", address(row($Z36),column($Z36),,,""CSE-O""))"),210.0)</f>
        <v>210</v>
      </c>
      <c r="E36" s="25">
        <f t="shared" si="1"/>
        <v>50</v>
      </c>
    </row>
    <row r="37" ht="15.75" customHeight="1">
      <c r="A37" s="14">
        <v>32.0</v>
      </c>
      <c r="B37" s="18" t="s">
        <v>371</v>
      </c>
      <c r="C37" s="18" t="s">
        <v>372</v>
      </c>
      <c r="D37" s="28">
        <f>IFERROR(__xludf.DUMMYFUNCTION("IMPORTRANGE(""https://docs.google.com/spreadsheets/d/1pcI0H5_o88uChaoz3Jx8Lo2Z71zohG9q1pYbJLiJRZI/edit?gid=760579392#gid=760579392"", address(row($Z37),column($Z37),,,""CSE-O""))"),205.0)</f>
        <v>205</v>
      </c>
      <c r="E37" s="25">
        <f t="shared" si="1"/>
        <v>49</v>
      </c>
    </row>
    <row r="38" ht="15.75" customHeight="1">
      <c r="A38" s="14">
        <v>33.0</v>
      </c>
      <c r="B38" s="18" t="s">
        <v>373</v>
      </c>
      <c r="C38" s="18" t="s">
        <v>374</v>
      </c>
      <c r="D38" s="28">
        <f>IFERROR(__xludf.DUMMYFUNCTION("IMPORTRANGE(""https://docs.google.com/spreadsheets/d/1pcI0H5_o88uChaoz3Jx8Lo2Z71zohG9q1pYbJLiJRZI/edit?gid=760579392#gid=760579392"", address(row($Z38),column($Z38),,,""CSE-O""))"),307.0)</f>
        <v>307</v>
      </c>
      <c r="E38" s="25">
        <f t="shared" si="1"/>
        <v>73</v>
      </c>
    </row>
    <row r="39" ht="15.75" customHeight="1">
      <c r="A39" s="14">
        <v>34.0</v>
      </c>
      <c r="B39" s="18" t="s">
        <v>375</v>
      </c>
      <c r="C39" s="18" t="s">
        <v>376</v>
      </c>
      <c r="D39" s="28">
        <f>IFERROR(__xludf.DUMMYFUNCTION("IMPORTRANGE(""https://docs.google.com/spreadsheets/d/1pcI0H5_o88uChaoz3Jx8Lo2Z71zohG9q1pYbJLiJRZI/edit?gid=760579392#gid=760579392"", address(row($Z39),column($Z39),,,""CSE-O""))"),77.0)</f>
        <v>77</v>
      </c>
      <c r="E39" s="25">
        <f t="shared" si="1"/>
        <v>18</v>
      </c>
    </row>
    <row r="40" ht="15.75" customHeight="1">
      <c r="A40" s="14">
        <v>35.0</v>
      </c>
      <c r="B40" s="18" t="s">
        <v>377</v>
      </c>
      <c r="C40" s="18" t="s">
        <v>378</v>
      </c>
      <c r="D40" s="28">
        <f>IFERROR(__xludf.DUMMYFUNCTION("IMPORTRANGE(""https://docs.google.com/spreadsheets/d/1pcI0H5_o88uChaoz3Jx8Lo2Z71zohG9q1pYbJLiJRZI/edit?gid=760579392#gid=760579392"", address(row($Z40),column($Z40),,,""CSE-O""))"),262.0)</f>
        <v>262</v>
      </c>
      <c r="E40" s="25">
        <f t="shared" si="1"/>
        <v>62</v>
      </c>
    </row>
    <row r="41" ht="15.75" customHeight="1">
      <c r="A41" s="14">
        <v>36.0</v>
      </c>
      <c r="B41" s="18" t="s">
        <v>379</v>
      </c>
      <c r="C41" s="18" t="s">
        <v>380</v>
      </c>
      <c r="D41" s="28">
        <f>IFERROR(__xludf.DUMMYFUNCTION("IMPORTRANGE(""https://docs.google.com/spreadsheets/d/1pcI0H5_o88uChaoz3Jx8Lo2Z71zohG9q1pYbJLiJRZI/edit?gid=760579392#gid=760579392"", address(row($Z41),column($Z41),,,""CSE-O""))"),308.0)</f>
        <v>308</v>
      </c>
      <c r="E41" s="25">
        <f t="shared" si="1"/>
        <v>73</v>
      </c>
    </row>
    <row r="42" ht="15.75" customHeight="1">
      <c r="A42" s="14">
        <v>37.0</v>
      </c>
      <c r="B42" s="18" t="s">
        <v>381</v>
      </c>
      <c r="C42" s="18" t="s">
        <v>382</v>
      </c>
      <c r="D42" s="28">
        <f>IFERROR(__xludf.DUMMYFUNCTION("IMPORTRANGE(""https://docs.google.com/spreadsheets/d/1pcI0H5_o88uChaoz3Jx8Lo2Z71zohG9q1pYbJLiJRZI/edit?gid=760579392#gid=760579392"", address(row($Z42),column($Z42),,,""CSE-O""))"),304.0)</f>
        <v>304</v>
      </c>
      <c r="E42" s="25">
        <f t="shared" si="1"/>
        <v>72</v>
      </c>
    </row>
    <row r="43" ht="15.75" customHeight="1">
      <c r="A43" s="14">
        <v>38.0</v>
      </c>
      <c r="B43" s="18" t="s">
        <v>383</v>
      </c>
      <c r="C43" s="18" t="s">
        <v>384</v>
      </c>
      <c r="D43" s="28">
        <f>IFERROR(__xludf.DUMMYFUNCTION("IMPORTRANGE(""https://docs.google.com/spreadsheets/d/1pcI0H5_o88uChaoz3Jx8Lo2Z71zohG9q1pYbJLiJRZI/edit?gid=760579392#gid=760579392"", address(row($Z43),column($Z43),,,""CSE-O""))"),319.0)</f>
        <v>319</v>
      </c>
      <c r="E43" s="25">
        <f t="shared" si="1"/>
        <v>76</v>
      </c>
    </row>
    <row r="44" ht="15.75" customHeight="1">
      <c r="A44" s="14">
        <v>39.0</v>
      </c>
      <c r="B44" s="18" t="s">
        <v>385</v>
      </c>
      <c r="C44" s="18" t="s">
        <v>386</v>
      </c>
      <c r="D44" s="28">
        <f>IFERROR(__xludf.DUMMYFUNCTION("IMPORTRANGE(""https://docs.google.com/spreadsheets/d/1pcI0H5_o88uChaoz3Jx8Lo2Z71zohG9q1pYbJLiJRZI/edit?gid=760579392#gid=760579392"", address(row($Z44),column($Z44),,,""CSE-O""))"),278.0)</f>
        <v>278</v>
      </c>
      <c r="E44" s="25">
        <f t="shared" si="1"/>
        <v>66</v>
      </c>
    </row>
    <row r="45" ht="15.75" customHeight="1">
      <c r="A45" s="14">
        <v>40.0</v>
      </c>
      <c r="B45" s="18" t="s">
        <v>387</v>
      </c>
      <c r="C45" s="18" t="s">
        <v>388</v>
      </c>
      <c r="D45" s="28">
        <f>IFERROR(__xludf.DUMMYFUNCTION("IMPORTRANGE(""https://docs.google.com/spreadsheets/d/1pcI0H5_o88uChaoz3Jx8Lo2Z71zohG9q1pYbJLiJRZI/edit?gid=760579392#gid=760579392"", address(row($Z45),column($Z45),,,""CSE-O""))"),198.0)</f>
        <v>198</v>
      </c>
      <c r="E45" s="25">
        <f t="shared" si="1"/>
        <v>47</v>
      </c>
    </row>
    <row r="46" ht="15.75" customHeight="1">
      <c r="A46" s="14">
        <v>41.0</v>
      </c>
      <c r="B46" s="18" t="s">
        <v>389</v>
      </c>
      <c r="C46" s="18" t="s">
        <v>390</v>
      </c>
      <c r="D46" s="28">
        <f>IFERROR(__xludf.DUMMYFUNCTION("IMPORTRANGE(""https://docs.google.com/spreadsheets/d/1pcI0H5_o88uChaoz3Jx8Lo2Z71zohG9q1pYbJLiJRZI/edit?gid=760579392#gid=760579392"", address(row($Z46),column($Z46),,,""CSE-O""))"),285.0)</f>
        <v>285</v>
      </c>
      <c r="E46" s="25">
        <f t="shared" si="1"/>
        <v>68</v>
      </c>
    </row>
    <row r="47" ht="15.75" customHeight="1">
      <c r="A47" s="14">
        <v>42.0</v>
      </c>
      <c r="B47" s="18" t="s">
        <v>391</v>
      </c>
      <c r="C47" s="18" t="s">
        <v>392</v>
      </c>
      <c r="D47" s="28">
        <f>IFERROR(__xludf.DUMMYFUNCTION("IMPORTRANGE(""https://docs.google.com/spreadsheets/d/1pcI0H5_o88uChaoz3Jx8Lo2Z71zohG9q1pYbJLiJRZI/edit?gid=760579392#gid=760579392"", address(row($Z47),column($Z47),,,""CSE-O""))"),397.0)</f>
        <v>397</v>
      </c>
      <c r="E47" s="25">
        <f t="shared" si="1"/>
        <v>94</v>
      </c>
    </row>
    <row r="48" ht="15.75" customHeight="1">
      <c r="A48" s="14">
        <v>43.0</v>
      </c>
      <c r="B48" s="18" t="s">
        <v>393</v>
      </c>
      <c r="C48" s="18" t="s">
        <v>394</v>
      </c>
      <c r="D48" s="28">
        <f>IFERROR(__xludf.DUMMYFUNCTION("IMPORTRANGE(""https://docs.google.com/spreadsheets/d/1pcI0H5_o88uChaoz3Jx8Lo2Z71zohG9q1pYbJLiJRZI/edit?gid=760579392#gid=760579392"", address(row($Z48),column($Z48),,,""CSE-O""))"),181.0)</f>
        <v>181</v>
      </c>
      <c r="E48" s="25">
        <f t="shared" si="1"/>
        <v>43</v>
      </c>
    </row>
    <row r="49" ht="15.75" customHeight="1">
      <c r="A49" s="14">
        <v>44.0</v>
      </c>
      <c r="B49" s="18" t="s">
        <v>395</v>
      </c>
      <c r="C49" s="18" t="s">
        <v>396</v>
      </c>
      <c r="D49" s="28">
        <f>IFERROR(__xludf.DUMMYFUNCTION("IMPORTRANGE(""https://docs.google.com/spreadsheets/d/1pcI0H5_o88uChaoz3Jx8Lo2Z71zohG9q1pYbJLiJRZI/edit?gid=760579392#gid=760579392"", address(row($Z49),column($Z49),,,""CSE-O""))"),199.0)</f>
        <v>199</v>
      </c>
      <c r="E49" s="25">
        <f t="shared" si="1"/>
        <v>47</v>
      </c>
    </row>
    <row r="50" ht="15.75" customHeight="1">
      <c r="A50" s="14">
        <v>45.0</v>
      </c>
      <c r="B50" s="18" t="s">
        <v>397</v>
      </c>
      <c r="C50" s="18" t="s">
        <v>398</v>
      </c>
      <c r="D50" s="28">
        <f>IFERROR(__xludf.DUMMYFUNCTION("IMPORTRANGE(""https://docs.google.com/spreadsheets/d/1pcI0H5_o88uChaoz3Jx8Lo2Z71zohG9q1pYbJLiJRZI/edit?gid=760579392#gid=760579392"", address(row($Z50),column($Z50),,,""CSE-O""))"),369.0)</f>
        <v>369</v>
      </c>
      <c r="E50" s="25">
        <f t="shared" si="1"/>
        <v>88</v>
      </c>
    </row>
    <row r="51" ht="15.75" customHeight="1">
      <c r="A51" s="14">
        <v>46.0</v>
      </c>
      <c r="B51" s="18" t="s">
        <v>399</v>
      </c>
      <c r="C51" s="18" t="s">
        <v>400</v>
      </c>
      <c r="D51" s="28">
        <f>IFERROR(__xludf.DUMMYFUNCTION("IMPORTRANGE(""https://docs.google.com/spreadsheets/d/1pcI0H5_o88uChaoz3Jx8Lo2Z71zohG9q1pYbJLiJRZI/edit?gid=760579392#gid=760579392"", address(row($Z51),column($Z51),,,""CSE-O""))"),290.0)</f>
        <v>290</v>
      </c>
      <c r="E51" s="25">
        <f t="shared" si="1"/>
        <v>69</v>
      </c>
    </row>
    <row r="52" ht="15.75" customHeight="1">
      <c r="A52" s="14">
        <v>47.0</v>
      </c>
      <c r="B52" s="18" t="s">
        <v>401</v>
      </c>
      <c r="C52" s="18" t="s">
        <v>402</v>
      </c>
      <c r="D52" s="28">
        <f>IFERROR(__xludf.DUMMYFUNCTION("IMPORTRANGE(""https://docs.google.com/spreadsheets/d/1pcI0H5_o88uChaoz3Jx8Lo2Z71zohG9q1pYbJLiJRZI/edit?gid=760579392#gid=760579392"", address(row($Z52),column($Z52),,,""CSE-O""))"),299.0)</f>
        <v>299</v>
      </c>
      <c r="E52" s="25">
        <f t="shared" si="1"/>
        <v>71</v>
      </c>
    </row>
    <row r="53" ht="15.75" customHeight="1">
      <c r="A53" s="14">
        <v>48.0</v>
      </c>
      <c r="B53" s="18" t="s">
        <v>403</v>
      </c>
      <c r="C53" s="18" t="s">
        <v>404</v>
      </c>
      <c r="D53" s="28">
        <f>IFERROR(__xludf.DUMMYFUNCTION("IMPORTRANGE(""https://docs.google.com/spreadsheets/d/1pcI0H5_o88uChaoz3Jx8Lo2Z71zohG9q1pYbJLiJRZI/edit?gid=760579392#gid=760579392"", address(row($Z53),column($Z53),,,""CSE-O""))"),319.0)</f>
        <v>319</v>
      </c>
      <c r="E53" s="25">
        <f t="shared" si="1"/>
        <v>76</v>
      </c>
    </row>
    <row r="54" ht="15.75" customHeight="1">
      <c r="A54" s="14">
        <v>49.0</v>
      </c>
      <c r="B54" s="18" t="s">
        <v>405</v>
      </c>
      <c r="C54" s="18" t="s">
        <v>406</v>
      </c>
      <c r="D54" s="28">
        <f>IFERROR(__xludf.DUMMYFUNCTION("IMPORTRANGE(""https://docs.google.com/spreadsheets/d/1pcI0H5_o88uChaoz3Jx8Lo2Z71zohG9q1pYbJLiJRZI/edit?gid=760579392#gid=760579392"", address(row($Z54),column($Z54),,,""CSE-O""))"),212.0)</f>
        <v>212</v>
      </c>
      <c r="E54" s="25">
        <f t="shared" si="1"/>
        <v>50</v>
      </c>
    </row>
    <row r="55" ht="15.75" customHeight="1">
      <c r="A55" s="14">
        <v>50.0</v>
      </c>
      <c r="B55" s="18" t="s">
        <v>407</v>
      </c>
      <c r="C55" s="18" t="s">
        <v>408</v>
      </c>
      <c r="D55" s="28">
        <f>IFERROR(__xludf.DUMMYFUNCTION("IMPORTRANGE(""https://docs.google.com/spreadsheets/d/1pcI0H5_o88uChaoz3Jx8Lo2Z71zohG9q1pYbJLiJRZI/edit?gid=760579392#gid=760579392"", address(row($Z55),column($Z55),,,""CSE-O""))"),325.0)</f>
        <v>325</v>
      </c>
      <c r="E55" s="25">
        <f t="shared" si="1"/>
        <v>77</v>
      </c>
    </row>
    <row r="56" ht="15.75" customHeight="1">
      <c r="A56" s="14">
        <v>51.0</v>
      </c>
      <c r="B56" s="18" t="s">
        <v>409</v>
      </c>
      <c r="C56" s="18" t="s">
        <v>410</v>
      </c>
      <c r="D56" s="28">
        <f>IFERROR(__xludf.DUMMYFUNCTION("IMPORTRANGE(""https://docs.google.com/spreadsheets/d/1pcI0H5_o88uChaoz3Jx8Lo2Z71zohG9q1pYbJLiJRZI/edit?gid=760579392#gid=760579392"", address(row($Z56),column($Z56),,,""CSE-O""))"),199.0)</f>
        <v>199</v>
      </c>
      <c r="E56" s="25">
        <f t="shared" si="1"/>
        <v>47</v>
      </c>
    </row>
    <row r="57" ht="15.75" customHeight="1">
      <c r="A57" s="14">
        <v>52.0</v>
      </c>
      <c r="B57" s="18" t="s">
        <v>411</v>
      </c>
      <c r="C57" s="18" t="s">
        <v>412</v>
      </c>
      <c r="D57" s="28">
        <f>IFERROR(__xludf.DUMMYFUNCTION("IMPORTRANGE(""https://docs.google.com/spreadsheets/d/1pcI0H5_o88uChaoz3Jx8Lo2Z71zohG9q1pYbJLiJRZI/edit?gid=760579392#gid=760579392"", address(row($Z57),column($Z57),,,""CSE-O""))"),317.0)</f>
        <v>317</v>
      </c>
      <c r="E57" s="25">
        <f t="shared" si="1"/>
        <v>75</v>
      </c>
    </row>
    <row r="58" ht="15.75" customHeight="1">
      <c r="A58" s="14">
        <v>53.0</v>
      </c>
      <c r="B58" s="18" t="s">
        <v>413</v>
      </c>
      <c r="C58" s="18" t="s">
        <v>414</v>
      </c>
      <c r="D58" s="28">
        <f>IFERROR(__xludf.DUMMYFUNCTION("IMPORTRANGE(""https://docs.google.com/spreadsheets/d/1pcI0H5_o88uChaoz3Jx8Lo2Z71zohG9q1pYbJLiJRZI/edit?gid=760579392#gid=760579392"", address(row($Z58),column($Z58),,,""CSE-O""))"),156.0)</f>
        <v>156</v>
      </c>
      <c r="E58" s="25">
        <f t="shared" si="1"/>
        <v>37</v>
      </c>
    </row>
    <row r="59" ht="15.75" customHeight="1">
      <c r="A59" s="14">
        <v>54.0</v>
      </c>
      <c r="B59" s="18" t="s">
        <v>415</v>
      </c>
      <c r="C59" s="18" t="s">
        <v>416</v>
      </c>
      <c r="D59" s="28">
        <f>IFERROR(__xludf.DUMMYFUNCTION("IMPORTRANGE(""https://docs.google.com/spreadsheets/d/1pcI0H5_o88uChaoz3Jx8Lo2Z71zohG9q1pYbJLiJRZI/edit?gid=760579392#gid=760579392"", address(row($Z59),column($Z59),,,""CSE-O""))"),315.0)</f>
        <v>315</v>
      </c>
      <c r="E59" s="25">
        <f t="shared" si="1"/>
        <v>75</v>
      </c>
    </row>
    <row r="60" ht="15.75" customHeight="1">
      <c r="A60" s="14">
        <v>55.0</v>
      </c>
      <c r="B60" s="18" t="s">
        <v>417</v>
      </c>
      <c r="C60" s="18" t="s">
        <v>418</v>
      </c>
      <c r="D60" s="28">
        <f>IFERROR(__xludf.DUMMYFUNCTION("IMPORTRANGE(""https://docs.google.com/spreadsheets/d/1pcI0H5_o88uChaoz3Jx8Lo2Z71zohG9q1pYbJLiJRZI/edit?gid=760579392#gid=760579392"", address(row($Z60),column($Z60),,,""CSE-O""))"),232.0)</f>
        <v>232</v>
      </c>
      <c r="E60" s="25">
        <f t="shared" si="1"/>
        <v>55</v>
      </c>
    </row>
    <row r="61" ht="15.75" customHeight="1">
      <c r="A61" s="14">
        <v>56.0</v>
      </c>
      <c r="B61" s="18" t="s">
        <v>419</v>
      </c>
      <c r="C61" s="18" t="s">
        <v>420</v>
      </c>
      <c r="D61" s="28">
        <f>IFERROR(__xludf.DUMMYFUNCTION("IMPORTRANGE(""https://docs.google.com/spreadsheets/d/1pcI0H5_o88uChaoz3Jx8Lo2Z71zohG9q1pYbJLiJRZI/edit?gid=760579392#gid=760579392"", address(row($Z61),column($Z61),,,""CSE-O""))"),203.0)</f>
        <v>203</v>
      </c>
      <c r="E61" s="25">
        <f t="shared" si="1"/>
        <v>48</v>
      </c>
    </row>
    <row r="62" ht="15.75" customHeight="1">
      <c r="A62" s="14">
        <v>57.0</v>
      </c>
      <c r="B62" s="18" t="s">
        <v>421</v>
      </c>
      <c r="C62" s="18" t="s">
        <v>422</v>
      </c>
      <c r="D62" s="28">
        <f>IFERROR(__xludf.DUMMYFUNCTION("IMPORTRANGE(""https://docs.google.com/spreadsheets/d/1pcI0H5_o88uChaoz3Jx8Lo2Z71zohG9q1pYbJLiJRZI/edit?gid=760579392#gid=760579392"", address(row($Z62),column($Z62),,,""CSE-O""))"),126.0)</f>
        <v>126</v>
      </c>
      <c r="E62" s="25">
        <f t="shared" si="1"/>
        <v>30</v>
      </c>
    </row>
    <row r="63" ht="15.75" customHeight="1">
      <c r="A63" s="14">
        <v>58.0</v>
      </c>
      <c r="B63" s="18" t="s">
        <v>423</v>
      </c>
      <c r="C63" s="18" t="s">
        <v>424</v>
      </c>
      <c r="D63" s="28">
        <f>IFERROR(__xludf.DUMMYFUNCTION("IMPORTRANGE(""https://docs.google.com/spreadsheets/d/1pcI0H5_o88uChaoz3Jx8Lo2Z71zohG9q1pYbJLiJRZI/edit?gid=760579392#gid=760579392"", address(row($Z63),column($Z63),,,""CSE-O""))"),311.0)</f>
        <v>311</v>
      </c>
      <c r="E63" s="25">
        <f t="shared" si="1"/>
        <v>74</v>
      </c>
    </row>
    <row r="64" ht="15.75" customHeight="1">
      <c r="A64" s="14">
        <v>59.0</v>
      </c>
      <c r="B64" s="18" t="s">
        <v>425</v>
      </c>
      <c r="C64" s="18" t="s">
        <v>426</v>
      </c>
      <c r="D64" s="28">
        <f>IFERROR(__xludf.DUMMYFUNCTION("IMPORTRANGE(""https://docs.google.com/spreadsheets/d/1pcI0H5_o88uChaoz3Jx8Lo2Z71zohG9q1pYbJLiJRZI/edit?gid=760579392#gid=760579392"", address(row($Z64),column($Z64),,,""CSE-O""))"),254.0)</f>
        <v>254</v>
      </c>
      <c r="E64" s="25">
        <f t="shared" si="1"/>
        <v>60</v>
      </c>
    </row>
    <row r="65" ht="15.75" customHeight="1">
      <c r="A65" s="14">
        <v>60.0</v>
      </c>
      <c r="B65" s="18" t="s">
        <v>427</v>
      </c>
      <c r="C65" s="18" t="s">
        <v>428</v>
      </c>
      <c r="D65" s="28">
        <f>IFERROR(__xludf.DUMMYFUNCTION("IMPORTRANGE(""https://docs.google.com/spreadsheets/d/1pcI0H5_o88uChaoz3Jx8Lo2Z71zohG9q1pYbJLiJRZI/edit?gid=760579392#gid=760579392"", address(row($Z65),column($Z65),,,""CSE-O""))"),324.0)</f>
        <v>324</v>
      </c>
      <c r="E65" s="25">
        <f t="shared" si="1"/>
        <v>77</v>
      </c>
    </row>
    <row r="66" ht="15.75" customHeight="1">
      <c r="A66" s="14">
        <v>61.0</v>
      </c>
      <c r="B66" s="18" t="s">
        <v>429</v>
      </c>
      <c r="C66" s="18" t="s">
        <v>430</v>
      </c>
      <c r="D66" s="28">
        <f>IFERROR(__xludf.DUMMYFUNCTION("IMPORTRANGE(""https://docs.google.com/spreadsheets/d/1pcI0H5_o88uChaoz3Jx8Lo2Z71zohG9q1pYbJLiJRZI/edit?gid=760579392#gid=760579392"", address(row($Z66),column($Z66),,,""CSE-O""))"),379.0)</f>
        <v>379</v>
      </c>
      <c r="E66" s="25">
        <f t="shared" si="1"/>
        <v>90</v>
      </c>
    </row>
    <row r="67" ht="15.75" customHeight="1">
      <c r="A67" s="14">
        <v>62.0</v>
      </c>
      <c r="B67" s="18" t="s">
        <v>431</v>
      </c>
      <c r="C67" s="18" t="s">
        <v>432</v>
      </c>
      <c r="D67" s="28">
        <f>IFERROR(__xludf.DUMMYFUNCTION("IMPORTRANGE(""https://docs.google.com/spreadsheets/d/1pcI0H5_o88uChaoz3Jx8Lo2Z71zohG9q1pYbJLiJRZI/edit?gid=760579392#gid=760579392"", address(row($Z67),column($Z67),,,""CSE-O""))"),346.0)</f>
        <v>346</v>
      </c>
      <c r="E67" s="25">
        <f t="shared" si="1"/>
        <v>82</v>
      </c>
    </row>
    <row r="68" ht="15.75" customHeight="1">
      <c r="A68" s="14">
        <v>63.0</v>
      </c>
      <c r="B68" s="18" t="s">
        <v>433</v>
      </c>
      <c r="C68" s="18" t="s">
        <v>434</v>
      </c>
      <c r="D68" s="28">
        <f>IFERROR(__xludf.DUMMYFUNCTION("IMPORTRANGE(""https://docs.google.com/spreadsheets/d/1pcI0H5_o88uChaoz3Jx8Lo2Z71zohG9q1pYbJLiJRZI/edit?gid=760579392#gid=760579392"", address(row($Z68),column($Z68),,,""CSE-O""))"),259.0)</f>
        <v>259</v>
      </c>
      <c r="E68" s="25">
        <f t="shared" si="1"/>
        <v>62</v>
      </c>
    </row>
    <row r="69" ht="15.75" customHeight="1">
      <c r="A69" s="14">
        <v>64.0</v>
      </c>
      <c r="B69" s="18" t="s">
        <v>435</v>
      </c>
      <c r="C69" s="18" t="s">
        <v>436</v>
      </c>
      <c r="D69" s="28">
        <f>IFERROR(__xludf.DUMMYFUNCTION("IMPORTRANGE(""https://docs.google.com/spreadsheets/d/1pcI0H5_o88uChaoz3Jx8Lo2Z71zohG9q1pYbJLiJRZI/edit?gid=760579392#gid=760579392"", address(row($Z69),column($Z69),,,""CSE-O""))"),346.0)</f>
        <v>346</v>
      </c>
      <c r="E69" s="25">
        <f t="shared" si="1"/>
        <v>82</v>
      </c>
    </row>
    <row r="70" ht="15.0" customHeight="1">
      <c r="A70" s="14">
        <v>65.0</v>
      </c>
      <c r="B70" s="18" t="s">
        <v>437</v>
      </c>
      <c r="C70" s="18" t="s">
        <v>438</v>
      </c>
      <c r="D70" s="28">
        <f>IFERROR(__xludf.DUMMYFUNCTION("IMPORTRANGE(""https://docs.google.com/spreadsheets/d/1pcI0H5_o88uChaoz3Jx8Lo2Z71zohG9q1pYbJLiJRZI/edit?gid=760579392#gid=760579392"", address(row($Z70),column($Z70),,,""CSE-O""))"),200.0)</f>
        <v>200</v>
      </c>
      <c r="E70" s="25">
        <f t="shared" si="1"/>
        <v>48</v>
      </c>
    </row>
    <row r="71" ht="15.0" customHeight="1">
      <c r="A71" s="14">
        <v>66.0</v>
      </c>
      <c r="B71" s="18" t="s">
        <v>439</v>
      </c>
      <c r="C71" s="18" t="s">
        <v>440</v>
      </c>
      <c r="D71" s="28">
        <f>IFERROR(__xludf.DUMMYFUNCTION("IMPORTRANGE(""https://docs.google.com/spreadsheets/d/1pcI0H5_o88uChaoz3Jx8Lo2Z71zohG9q1pYbJLiJRZI/edit?gid=760579392#gid=760579392"", address(row($Z71),column($Z71),,,""CSE-O""))"),148.0)</f>
        <v>148</v>
      </c>
      <c r="E71" s="25">
        <f t="shared" si="1"/>
        <v>35</v>
      </c>
    </row>
    <row r="72" ht="15.75" customHeight="1">
      <c r="A72" s="14">
        <v>67.0</v>
      </c>
      <c r="B72" s="18" t="s">
        <v>441</v>
      </c>
      <c r="C72" s="18" t="s">
        <v>442</v>
      </c>
      <c r="D72" s="28">
        <f>IFERROR(__xludf.DUMMYFUNCTION("IMPORTRANGE(""https://docs.google.com/spreadsheets/d/1pcI0H5_o88uChaoz3Jx8Lo2Z71zohG9q1pYbJLiJRZI/edit?gid=760579392#gid=760579392"", address(row($Z72),column($Z72),,,""CSE-O""))"),137.0)</f>
        <v>137</v>
      </c>
      <c r="E72" s="25">
        <f t="shared" si="1"/>
        <v>33</v>
      </c>
    </row>
    <row r="73" ht="15.75" customHeight="1">
      <c r="A73" s="14">
        <v>68.0</v>
      </c>
      <c r="B73" s="18" t="s">
        <v>443</v>
      </c>
      <c r="C73" s="18" t="s">
        <v>444</v>
      </c>
      <c r="D73" s="28">
        <f>IFERROR(__xludf.DUMMYFUNCTION("IMPORTRANGE(""https://docs.google.com/spreadsheets/d/1pcI0H5_o88uChaoz3Jx8Lo2Z71zohG9q1pYbJLiJRZI/edit?gid=760579392#gid=760579392"", address(row($Z73),column($Z73),,,""CSE-O""))"),308.0)</f>
        <v>308</v>
      </c>
      <c r="E73" s="25">
        <f t="shared" si="1"/>
        <v>73</v>
      </c>
    </row>
    <row r="74" ht="15.75" customHeight="1">
      <c r="A74" s="14">
        <v>69.0</v>
      </c>
      <c r="B74" s="18" t="s">
        <v>445</v>
      </c>
      <c r="C74" s="18" t="s">
        <v>446</v>
      </c>
      <c r="D74" s="28">
        <f>IFERROR(__xludf.DUMMYFUNCTION("IMPORTRANGE(""https://docs.google.com/spreadsheets/d/1pcI0H5_o88uChaoz3Jx8Lo2Z71zohG9q1pYbJLiJRZI/edit?gid=760579392#gid=760579392"", address(row($Z74),column($Z74),,,""CSE-O""))"),294.0)</f>
        <v>294</v>
      </c>
      <c r="E74" s="25">
        <f t="shared" si="1"/>
        <v>70</v>
      </c>
    </row>
    <row r="75" ht="15.75" customHeight="1">
      <c r="A75" s="14">
        <v>70.0</v>
      </c>
      <c r="B75" s="29" t="s">
        <v>447</v>
      </c>
      <c r="C75" s="18" t="s">
        <v>448</v>
      </c>
      <c r="D75" s="28">
        <f>IFERROR(__xludf.DUMMYFUNCTION("IMPORTRANGE(""https://docs.google.com/spreadsheets/d/1pcI0H5_o88uChaoz3Jx8Lo2Z71zohG9q1pYbJLiJRZI/edit?gid=760579392#gid=760579392"", address(row($Z75),column($Z75),,,""CSE-O""))"),0.0)</f>
        <v>0</v>
      </c>
      <c r="E75" s="25">
        <f t="shared" si="1"/>
        <v>0</v>
      </c>
    </row>
    <row r="76" ht="15.75" customHeight="1">
      <c r="A76" s="14">
        <v>71.0</v>
      </c>
      <c r="B76" s="29" t="s">
        <v>449</v>
      </c>
      <c r="C76" s="18" t="s">
        <v>450</v>
      </c>
      <c r="D76" s="28">
        <f>IFERROR(__xludf.DUMMYFUNCTION("IMPORTRANGE(""https://docs.google.com/spreadsheets/d/1pcI0H5_o88uChaoz3Jx8Lo2Z71zohG9q1pYbJLiJRZI/edit?gid=760579392#gid=760579392"", address(row($Z76),column($Z76),,,""CSE-O""))"),0.0)</f>
        <v>0</v>
      </c>
      <c r="E76" s="25">
        <f t="shared" si="1"/>
        <v>0</v>
      </c>
    </row>
    <row r="77" ht="15.75" customHeight="1"/>
    <row r="78" ht="15.75" customHeight="1">
      <c r="B78" s="19" t="s">
        <v>451</v>
      </c>
      <c r="C78" s="11"/>
    </row>
    <row r="79" ht="15.75" customHeight="1">
      <c r="B79" s="20" t="s">
        <v>157</v>
      </c>
      <c r="C79" s="21">
        <f>COUNTIF(E5:E76,"&gt;=75")</f>
        <v>23</v>
      </c>
    </row>
    <row r="80" ht="15.75" customHeight="1">
      <c r="B80" s="20" t="s">
        <v>158</v>
      </c>
      <c r="C80" s="21">
        <f>COUNTIFS(E5:E76,"&gt;=65",E5:E76,"&lt;75")</f>
        <v>16</v>
      </c>
    </row>
    <row r="81" ht="15.75" customHeight="1">
      <c r="B81" s="20" t="s">
        <v>159</v>
      </c>
      <c r="C81" s="21">
        <f>COUNTIFS(E5:E76,"&gt;=50",E5:E76,"&lt;65")</f>
        <v>10</v>
      </c>
    </row>
    <row r="82" ht="15.75" customHeight="1">
      <c r="B82" s="20" t="s">
        <v>160</v>
      </c>
      <c r="C82" s="21">
        <f>COUNTIFS(E5:E76,"&gt;=25",E5:E76,"&lt;50")</f>
        <v>18</v>
      </c>
    </row>
    <row r="83" ht="15.75" customHeight="1">
      <c r="B83" s="20" t="s">
        <v>161</v>
      </c>
      <c r="C83" s="21">
        <f>COUNTIFS(E5:E76,"&gt;=1",E5:E76,"&lt;25")</f>
        <v>1</v>
      </c>
    </row>
    <row r="84" ht="15.75" customHeight="1">
      <c r="B84" s="20">
        <f>0</f>
        <v>0</v>
      </c>
      <c r="C84" s="22">
        <f>COUNTIFS(E5:E76,"=0")</f>
        <v>3</v>
      </c>
    </row>
    <row r="85" ht="15.75" customHeight="1">
      <c r="B85" s="23"/>
      <c r="C85" s="24">
        <f>SUM(C79:C84)</f>
        <v>71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E1"/>
    <mergeCell ref="A2:E2"/>
    <mergeCell ref="A3:E3"/>
    <mergeCell ref="A5:C5"/>
    <mergeCell ref="B78:C78"/>
  </mergeCells>
  <conditionalFormatting sqref="E6:E76">
    <cfRule type="cellIs" dxfId="0" priority="1" operator="lessThan">
      <formula>75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4.14"/>
    <col customWidth="1" min="3" max="3" width="46.14"/>
    <col customWidth="1" min="4" max="4" width="6.14"/>
    <col customWidth="1" min="5" max="5" width="11.86"/>
    <col customWidth="1" min="6" max="6" width="14.43"/>
  </cols>
  <sheetData>
    <row r="1" ht="26.25" customHeight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4" t="s">
        <v>452</v>
      </c>
      <c r="B3" s="5"/>
      <c r="C3" s="5"/>
      <c r="D3" s="5"/>
      <c r="E3" s="6"/>
    </row>
    <row r="4">
      <c r="A4" s="7" t="s">
        <v>3</v>
      </c>
      <c r="B4" s="7" t="s">
        <v>4</v>
      </c>
      <c r="C4" s="8" t="s">
        <v>5</v>
      </c>
      <c r="D4" s="7" t="s">
        <v>6</v>
      </c>
      <c r="E4" s="7" t="s">
        <v>7</v>
      </c>
    </row>
    <row r="5" ht="22.5" customHeight="1">
      <c r="A5" s="9" t="s">
        <v>8</v>
      </c>
      <c r="B5" s="10"/>
      <c r="C5" s="11"/>
      <c r="D5" s="12">
        <f>IFERROR(__xludf.DUMMYFUNCTION("IMPORTRANGE(""https://docs.google.com/spreadsheets/d/1pcI0H5_o88uChaoz3Jx8Lo2Z71zohG9q1pYbJLiJRZI/edit?gid=1794106843#gid=1794106843"", address(row($Z5),column($Z5),,,""CSE-P""))"),153.0)</f>
        <v>153</v>
      </c>
      <c r="E5" s="13" t="s">
        <v>9</v>
      </c>
    </row>
    <row r="6" ht="17.25" customHeight="1">
      <c r="A6" s="14">
        <v>1.0</v>
      </c>
      <c r="B6" s="15" t="s">
        <v>453</v>
      </c>
      <c r="C6" s="30" t="s">
        <v>454</v>
      </c>
      <c r="D6" s="12">
        <f>IFERROR(__xludf.DUMMYFUNCTION("IMPORTRANGE(""https://docs.google.com/spreadsheets/d/1pcI0H5_o88uChaoz3Jx8Lo2Z71zohG9q1pYbJLiJRZI/edit?gid=1794106843#gid=1794106843"", address(row($Z6),column($Z6),,,""CSE-P""))"),54.0)</f>
        <v>54</v>
      </c>
      <c r="E6" s="16">
        <f t="shared" ref="E6:E80" si="1">ROUND(D6/$D$5*100,0)</f>
        <v>35</v>
      </c>
    </row>
    <row r="7" ht="17.25" customHeight="1">
      <c r="A7" s="17">
        <v>2.0</v>
      </c>
      <c r="B7" s="15" t="s">
        <v>455</v>
      </c>
      <c r="C7" s="30" t="s">
        <v>456</v>
      </c>
      <c r="D7" s="12">
        <f>IFERROR(__xludf.DUMMYFUNCTION("IMPORTRANGE(""https://docs.google.com/spreadsheets/d/1pcI0H5_o88uChaoz3Jx8Lo2Z71zohG9q1pYbJLiJRZI/edit?gid=1794106843#gid=1794106843"", address(row($Z7),column($Z7),,,""CSE-P""))"),100.0)</f>
        <v>100</v>
      </c>
      <c r="E7" s="16">
        <f t="shared" si="1"/>
        <v>65</v>
      </c>
    </row>
    <row r="8" ht="17.25" customHeight="1">
      <c r="A8" s="14">
        <v>3.0</v>
      </c>
      <c r="B8" s="15" t="s">
        <v>457</v>
      </c>
      <c r="C8" s="30" t="s">
        <v>458</v>
      </c>
      <c r="D8" s="12">
        <f>IFERROR(__xludf.DUMMYFUNCTION("IMPORTRANGE(""https://docs.google.com/spreadsheets/d/1pcI0H5_o88uChaoz3Jx8Lo2Z71zohG9q1pYbJLiJRZI/edit?gid=1794106843#gid=1794106843"", address(row($Z8),column($Z8),,,""CSE-P""))"),119.0)</f>
        <v>119</v>
      </c>
      <c r="E8" s="16">
        <f t="shared" si="1"/>
        <v>78</v>
      </c>
    </row>
    <row r="9" ht="17.25" customHeight="1">
      <c r="A9" s="17">
        <v>4.0</v>
      </c>
      <c r="B9" s="15" t="s">
        <v>459</v>
      </c>
      <c r="C9" s="30" t="s">
        <v>460</v>
      </c>
      <c r="D9" s="12">
        <f>IFERROR(__xludf.DUMMYFUNCTION("IMPORTRANGE(""https://docs.google.com/spreadsheets/d/1pcI0H5_o88uChaoz3Jx8Lo2Z71zohG9q1pYbJLiJRZI/edit?gid=1794106843#gid=1794106843"", address(row($Z9),column($Z9),,,""CSE-P""))"),122.0)</f>
        <v>122</v>
      </c>
      <c r="E9" s="16">
        <f t="shared" si="1"/>
        <v>80</v>
      </c>
    </row>
    <row r="10" ht="17.25" customHeight="1">
      <c r="A10" s="14">
        <v>5.0</v>
      </c>
      <c r="B10" s="15" t="s">
        <v>461</v>
      </c>
      <c r="C10" s="30" t="s">
        <v>462</v>
      </c>
      <c r="D10" s="12">
        <f>IFERROR(__xludf.DUMMYFUNCTION("IMPORTRANGE(""https://docs.google.com/spreadsheets/d/1pcI0H5_o88uChaoz3Jx8Lo2Z71zohG9q1pYbJLiJRZI/edit?gid=1794106843#gid=1794106843"", address(row($Z10),column($Z10),,,""CSE-P""))"),43.0)</f>
        <v>43</v>
      </c>
      <c r="E10" s="16">
        <f t="shared" si="1"/>
        <v>28</v>
      </c>
    </row>
    <row r="11" ht="17.25" customHeight="1">
      <c r="A11" s="17">
        <v>6.0</v>
      </c>
      <c r="B11" s="15" t="s">
        <v>463</v>
      </c>
      <c r="C11" s="30" t="s">
        <v>464</v>
      </c>
      <c r="D11" s="12">
        <f>IFERROR(__xludf.DUMMYFUNCTION("IMPORTRANGE(""https://docs.google.com/spreadsheets/d/1pcI0H5_o88uChaoz3Jx8Lo2Z71zohG9q1pYbJLiJRZI/edit?gid=1794106843#gid=1794106843"", address(row($Z11),column($Z11),,,""CSE-P""))"),102.0)</f>
        <v>102</v>
      </c>
      <c r="E11" s="16">
        <f t="shared" si="1"/>
        <v>67</v>
      </c>
    </row>
    <row r="12" ht="17.25" customHeight="1">
      <c r="A12" s="14">
        <v>7.0</v>
      </c>
      <c r="B12" s="15" t="s">
        <v>465</v>
      </c>
      <c r="C12" s="30" t="s">
        <v>466</v>
      </c>
      <c r="D12" s="12">
        <f>IFERROR(__xludf.DUMMYFUNCTION("IMPORTRANGE(""https://docs.google.com/spreadsheets/d/1pcI0H5_o88uChaoz3Jx8Lo2Z71zohG9q1pYbJLiJRZI/edit?gid=1794106843#gid=1794106843"", address(row($Z12),column($Z12),,,""CSE-P""))"),135.0)</f>
        <v>135</v>
      </c>
      <c r="E12" s="16">
        <f t="shared" si="1"/>
        <v>88</v>
      </c>
    </row>
    <row r="13" ht="17.25" customHeight="1">
      <c r="A13" s="17">
        <v>8.0</v>
      </c>
      <c r="B13" s="15" t="s">
        <v>467</v>
      </c>
      <c r="C13" s="30" t="s">
        <v>468</v>
      </c>
      <c r="D13" s="12">
        <f>IFERROR(__xludf.DUMMYFUNCTION("IMPORTRANGE(""https://docs.google.com/spreadsheets/d/1pcI0H5_o88uChaoz3Jx8Lo2Z71zohG9q1pYbJLiJRZI/edit?gid=1794106843#gid=1794106843"", address(row($Z13),column($Z13),,,""CSE-P""))"),132.0)</f>
        <v>132</v>
      </c>
      <c r="E13" s="16">
        <f t="shared" si="1"/>
        <v>86</v>
      </c>
    </row>
    <row r="14" ht="17.25" customHeight="1">
      <c r="A14" s="14">
        <v>9.0</v>
      </c>
      <c r="B14" s="15" t="s">
        <v>469</v>
      </c>
      <c r="C14" s="30" t="s">
        <v>470</v>
      </c>
      <c r="D14" s="12">
        <f>IFERROR(__xludf.DUMMYFUNCTION("IMPORTRANGE(""https://docs.google.com/spreadsheets/d/1pcI0H5_o88uChaoz3Jx8Lo2Z71zohG9q1pYbJLiJRZI/edit?gid=1794106843#gid=1794106843"", address(row($Z14),column($Z14),,,""CSE-P""))"),140.0)</f>
        <v>140</v>
      </c>
      <c r="E14" s="16">
        <f t="shared" si="1"/>
        <v>92</v>
      </c>
    </row>
    <row r="15" ht="17.25" customHeight="1">
      <c r="A15" s="17">
        <v>10.0</v>
      </c>
      <c r="B15" s="15" t="s">
        <v>471</v>
      </c>
      <c r="C15" s="30" t="s">
        <v>472</v>
      </c>
      <c r="D15" s="12">
        <f>IFERROR(__xludf.DUMMYFUNCTION("IMPORTRANGE(""https://docs.google.com/spreadsheets/d/1pcI0H5_o88uChaoz3Jx8Lo2Z71zohG9q1pYbJLiJRZI/edit?gid=1794106843#gid=1794106843"", address(row($Z15),column($Z15),,,""CSE-P""))"),65.0)</f>
        <v>65</v>
      </c>
      <c r="E15" s="16">
        <f t="shared" si="1"/>
        <v>42</v>
      </c>
    </row>
    <row r="16" ht="17.25" customHeight="1">
      <c r="A16" s="14">
        <v>11.0</v>
      </c>
      <c r="B16" s="15" t="s">
        <v>473</v>
      </c>
      <c r="C16" s="30" t="s">
        <v>474</v>
      </c>
      <c r="D16" s="12">
        <f>IFERROR(__xludf.DUMMYFUNCTION("IMPORTRANGE(""https://docs.google.com/spreadsheets/d/1pcI0H5_o88uChaoz3Jx8Lo2Z71zohG9q1pYbJLiJRZI/edit?gid=1794106843#gid=1794106843"", address(row($Z16),column($Z16),,,""CSE-P""))"),133.0)</f>
        <v>133</v>
      </c>
      <c r="E16" s="16">
        <f t="shared" si="1"/>
        <v>87</v>
      </c>
    </row>
    <row r="17" ht="17.25" customHeight="1">
      <c r="A17" s="17">
        <v>12.0</v>
      </c>
      <c r="B17" s="15" t="s">
        <v>475</v>
      </c>
      <c r="C17" s="30" t="s">
        <v>476</v>
      </c>
      <c r="D17" s="12">
        <f>IFERROR(__xludf.DUMMYFUNCTION("IMPORTRANGE(""https://docs.google.com/spreadsheets/d/1pcI0H5_o88uChaoz3Jx8Lo2Z71zohG9q1pYbJLiJRZI/edit?gid=1794106843#gid=1794106843"", address(row($Z17),column($Z17),,,""CSE-P""))"),116.0)</f>
        <v>116</v>
      </c>
      <c r="E17" s="16">
        <f t="shared" si="1"/>
        <v>76</v>
      </c>
    </row>
    <row r="18" ht="17.25" customHeight="1">
      <c r="A18" s="14">
        <v>13.0</v>
      </c>
      <c r="B18" s="15" t="s">
        <v>477</v>
      </c>
      <c r="C18" s="30" t="s">
        <v>478</v>
      </c>
      <c r="D18" s="12">
        <f>IFERROR(__xludf.DUMMYFUNCTION("IMPORTRANGE(""https://docs.google.com/spreadsheets/d/1pcI0H5_o88uChaoz3Jx8Lo2Z71zohG9q1pYbJLiJRZI/edit?gid=1794106843#gid=1794106843"", address(row($Z18),column($Z18),,,""CSE-P""))"),123.0)</f>
        <v>123</v>
      </c>
      <c r="E18" s="16">
        <f t="shared" si="1"/>
        <v>80</v>
      </c>
    </row>
    <row r="19" ht="17.25" customHeight="1">
      <c r="A19" s="17">
        <v>14.0</v>
      </c>
      <c r="B19" s="15" t="s">
        <v>479</v>
      </c>
      <c r="C19" s="30" t="s">
        <v>480</v>
      </c>
      <c r="D19" s="12">
        <f>IFERROR(__xludf.DUMMYFUNCTION("IMPORTRANGE(""https://docs.google.com/spreadsheets/d/1pcI0H5_o88uChaoz3Jx8Lo2Z71zohG9q1pYbJLiJRZI/edit?gid=1794106843#gid=1794106843"", address(row($Z19),column($Z19),,,""CSE-P""))"),11.0)</f>
        <v>11</v>
      </c>
      <c r="E19" s="16">
        <f t="shared" si="1"/>
        <v>7</v>
      </c>
    </row>
    <row r="20" ht="17.25" customHeight="1">
      <c r="A20" s="14">
        <v>15.0</v>
      </c>
      <c r="B20" s="15" t="s">
        <v>481</v>
      </c>
      <c r="C20" s="30" t="s">
        <v>482</v>
      </c>
      <c r="D20" s="12">
        <f>IFERROR(__xludf.DUMMYFUNCTION("IMPORTRANGE(""https://docs.google.com/spreadsheets/d/1pcI0H5_o88uChaoz3Jx8Lo2Z71zohG9q1pYbJLiJRZI/edit?gid=1794106843#gid=1794106843"", address(row($Z20),column($Z20),,,""CSE-P""))"),132.0)</f>
        <v>132</v>
      </c>
      <c r="E20" s="16">
        <f t="shared" si="1"/>
        <v>86</v>
      </c>
    </row>
    <row r="21" ht="15.75" customHeight="1">
      <c r="A21" s="17">
        <v>16.0</v>
      </c>
      <c r="B21" s="15" t="s">
        <v>483</v>
      </c>
      <c r="C21" s="30" t="s">
        <v>484</v>
      </c>
      <c r="D21" s="12">
        <f>IFERROR(__xludf.DUMMYFUNCTION("IMPORTRANGE(""https://docs.google.com/spreadsheets/d/1pcI0H5_o88uChaoz3Jx8Lo2Z71zohG9q1pYbJLiJRZI/edit?gid=1794106843#gid=1794106843"", address(row($Z21),column($Z21),,,""CSE-P""))"),87.0)</f>
        <v>87</v>
      </c>
      <c r="E21" s="16">
        <f t="shared" si="1"/>
        <v>57</v>
      </c>
    </row>
    <row r="22" ht="15.75" customHeight="1">
      <c r="A22" s="14">
        <v>17.0</v>
      </c>
      <c r="B22" s="15" t="s">
        <v>485</v>
      </c>
      <c r="C22" s="30" t="s">
        <v>486</v>
      </c>
      <c r="D22" s="12">
        <f>IFERROR(__xludf.DUMMYFUNCTION("IMPORTRANGE(""https://docs.google.com/spreadsheets/d/1pcI0H5_o88uChaoz3Jx8Lo2Z71zohG9q1pYbJLiJRZI/edit?gid=1794106843#gid=1794106843"", address(row($Z22),column($Z22),,,""CSE-P""))"),7.0)</f>
        <v>7</v>
      </c>
      <c r="E22" s="16">
        <f t="shared" si="1"/>
        <v>5</v>
      </c>
    </row>
    <row r="23" ht="15.75" customHeight="1">
      <c r="A23" s="17">
        <v>18.0</v>
      </c>
      <c r="B23" s="15" t="s">
        <v>487</v>
      </c>
      <c r="C23" s="30" t="s">
        <v>488</v>
      </c>
      <c r="D23" s="12">
        <f>IFERROR(__xludf.DUMMYFUNCTION("IMPORTRANGE(""https://docs.google.com/spreadsheets/d/1pcI0H5_o88uChaoz3Jx8Lo2Z71zohG9q1pYbJLiJRZI/edit?gid=1794106843#gid=1794106843"", address(row($Z23),column($Z23),,,""CSE-P""))"),129.0)</f>
        <v>129</v>
      </c>
      <c r="E23" s="16">
        <f t="shared" si="1"/>
        <v>84</v>
      </c>
    </row>
    <row r="24" ht="15.75" customHeight="1">
      <c r="A24" s="14">
        <v>19.0</v>
      </c>
      <c r="B24" s="15" t="s">
        <v>489</v>
      </c>
      <c r="C24" s="30" t="s">
        <v>490</v>
      </c>
      <c r="D24" s="12">
        <f>IFERROR(__xludf.DUMMYFUNCTION("IMPORTRANGE(""https://docs.google.com/spreadsheets/d/1pcI0H5_o88uChaoz3Jx8Lo2Z71zohG9q1pYbJLiJRZI/edit?gid=1794106843#gid=1794106843"", address(row($Z24),column($Z24),,,""CSE-P""))"),114.0)</f>
        <v>114</v>
      </c>
      <c r="E24" s="16">
        <f t="shared" si="1"/>
        <v>75</v>
      </c>
    </row>
    <row r="25" ht="15.75" customHeight="1">
      <c r="A25" s="17">
        <v>20.0</v>
      </c>
      <c r="B25" s="15" t="s">
        <v>491</v>
      </c>
      <c r="C25" s="30" t="s">
        <v>492</v>
      </c>
      <c r="D25" s="12">
        <f>IFERROR(__xludf.DUMMYFUNCTION("IMPORTRANGE(""https://docs.google.com/spreadsheets/d/1pcI0H5_o88uChaoz3Jx8Lo2Z71zohG9q1pYbJLiJRZI/edit?gid=1794106843#gid=1794106843"", address(row($Z25),column($Z25),,,""CSE-P""))"),132.0)</f>
        <v>132</v>
      </c>
      <c r="E25" s="16">
        <f t="shared" si="1"/>
        <v>86</v>
      </c>
    </row>
    <row r="26" ht="15.75" customHeight="1">
      <c r="A26" s="14">
        <v>21.0</v>
      </c>
      <c r="B26" s="15" t="s">
        <v>493</v>
      </c>
      <c r="C26" s="30" t="s">
        <v>494</v>
      </c>
      <c r="D26" s="12">
        <f>IFERROR(__xludf.DUMMYFUNCTION("IMPORTRANGE(""https://docs.google.com/spreadsheets/d/1pcI0H5_o88uChaoz3Jx8Lo2Z71zohG9q1pYbJLiJRZI/edit?gid=1794106843#gid=1794106843"", address(row($Z26),column($Z26),,,""CSE-P""))"),108.0)</f>
        <v>108</v>
      </c>
      <c r="E26" s="16">
        <f t="shared" si="1"/>
        <v>71</v>
      </c>
    </row>
    <row r="27" ht="15.75" customHeight="1">
      <c r="A27" s="17">
        <v>22.0</v>
      </c>
      <c r="B27" s="15" t="s">
        <v>495</v>
      </c>
      <c r="C27" s="30" t="s">
        <v>496</v>
      </c>
      <c r="D27" s="12">
        <f>IFERROR(__xludf.DUMMYFUNCTION("IMPORTRANGE(""https://docs.google.com/spreadsheets/d/1pcI0H5_o88uChaoz3Jx8Lo2Z71zohG9q1pYbJLiJRZI/edit?gid=1794106843#gid=1794106843"", address(row($Z27),column($Z27),,,""CSE-P""))"),137.0)</f>
        <v>137</v>
      </c>
      <c r="E27" s="16">
        <f t="shared" si="1"/>
        <v>90</v>
      </c>
    </row>
    <row r="28" ht="15.75" customHeight="1">
      <c r="A28" s="14">
        <v>23.0</v>
      </c>
      <c r="B28" s="15" t="s">
        <v>497</v>
      </c>
      <c r="C28" s="30" t="s">
        <v>498</v>
      </c>
      <c r="D28" s="12">
        <f>IFERROR(__xludf.DUMMYFUNCTION("IMPORTRANGE(""https://docs.google.com/spreadsheets/d/1pcI0H5_o88uChaoz3Jx8Lo2Z71zohG9q1pYbJLiJRZI/edit?gid=1794106843#gid=1794106843"", address(row($Z28),column($Z28),,,""CSE-P""))"),119.0)</f>
        <v>119</v>
      </c>
      <c r="E28" s="16">
        <f t="shared" si="1"/>
        <v>78</v>
      </c>
    </row>
    <row r="29" ht="15.75" customHeight="1">
      <c r="A29" s="17">
        <v>24.0</v>
      </c>
      <c r="B29" s="15" t="s">
        <v>499</v>
      </c>
      <c r="C29" s="30" t="s">
        <v>500</v>
      </c>
      <c r="D29" s="12">
        <f>IFERROR(__xludf.DUMMYFUNCTION("IMPORTRANGE(""https://docs.google.com/spreadsheets/d/1pcI0H5_o88uChaoz3Jx8Lo2Z71zohG9q1pYbJLiJRZI/edit?gid=1794106843#gid=1794106843"", address(row($Z29),column($Z29),,,""CSE-P""))"),146.0)</f>
        <v>146</v>
      </c>
      <c r="E29" s="16">
        <f t="shared" si="1"/>
        <v>95</v>
      </c>
    </row>
    <row r="30" ht="15.75" customHeight="1">
      <c r="A30" s="14">
        <v>25.0</v>
      </c>
      <c r="B30" s="15" t="s">
        <v>501</v>
      </c>
      <c r="C30" s="30" t="s">
        <v>502</v>
      </c>
      <c r="D30" s="12">
        <f>IFERROR(__xludf.DUMMYFUNCTION("IMPORTRANGE(""https://docs.google.com/spreadsheets/d/1pcI0H5_o88uChaoz3Jx8Lo2Z71zohG9q1pYbJLiJRZI/edit?gid=1794106843#gid=1794106843"", address(row($Z30),column($Z30),,,""CSE-P""))"),108.0)</f>
        <v>108</v>
      </c>
      <c r="E30" s="16">
        <f t="shared" si="1"/>
        <v>71</v>
      </c>
    </row>
    <row r="31" ht="15.75" customHeight="1">
      <c r="A31" s="17">
        <v>26.0</v>
      </c>
      <c r="B31" s="15" t="s">
        <v>503</v>
      </c>
      <c r="C31" s="30" t="s">
        <v>504</v>
      </c>
      <c r="D31" s="12">
        <f>IFERROR(__xludf.DUMMYFUNCTION("IMPORTRANGE(""https://docs.google.com/spreadsheets/d/1pcI0H5_o88uChaoz3Jx8Lo2Z71zohG9q1pYbJLiJRZI/edit?gid=1794106843#gid=1794106843"", address(row($Z31),column($Z31),,,""CSE-P""))"),124.0)</f>
        <v>124</v>
      </c>
      <c r="E31" s="16">
        <f t="shared" si="1"/>
        <v>81</v>
      </c>
    </row>
    <row r="32" ht="15.75" customHeight="1">
      <c r="A32" s="14">
        <v>27.0</v>
      </c>
      <c r="B32" s="15" t="s">
        <v>505</v>
      </c>
      <c r="C32" s="30" t="s">
        <v>506</v>
      </c>
      <c r="D32" s="12">
        <f>IFERROR(__xludf.DUMMYFUNCTION("IMPORTRANGE(""https://docs.google.com/spreadsheets/d/1pcI0H5_o88uChaoz3Jx8Lo2Z71zohG9q1pYbJLiJRZI/edit?gid=1794106843#gid=1794106843"", address(row($Z32),column($Z32),,,""CSE-P""))"),126.0)</f>
        <v>126</v>
      </c>
      <c r="E32" s="16">
        <f t="shared" si="1"/>
        <v>82</v>
      </c>
    </row>
    <row r="33" ht="15.75" customHeight="1">
      <c r="A33" s="17">
        <v>28.0</v>
      </c>
      <c r="B33" s="15" t="s">
        <v>507</v>
      </c>
      <c r="C33" s="30" t="s">
        <v>508</v>
      </c>
      <c r="D33" s="12">
        <f>IFERROR(__xludf.DUMMYFUNCTION("IMPORTRANGE(""https://docs.google.com/spreadsheets/d/1pcI0H5_o88uChaoz3Jx8Lo2Z71zohG9q1pYbJLiJRZI/edit?gid=1794106843#gid=1794106843"", address(row($Z33),column($Z33),,,""CSE-P""))"),111.0)</f>
        <v>111</v>
      </c>
      <c r="E33" s="16">
        <f t="shared" si="1"/>
        <v>73</v>
      </c>
    </row>
    <row r="34" ht="15.75" customHeight="1">
      <c r="A34" s="14">
        <v>29.0</v>
      </c>
      <c r="B34" s="15" t="s">
        <v>509</v>
      </c>
      <c r="C34" s="30" t="s">
        <v>510</v>
      </c>
      <c r="D34" s="12">
        <f>IFERROR(__xludf.DUMMYFUNCTION("IMPORTRANGE(""https://docs.google.com/spreadsheets/d/1pcI0H5_o88uChaoz3Jx8Lo2Z71zohG9q1pYbJLiJRZI/edit?gid=1794106843#gid=1794106843"", address(row($Z34),column($Z34),,,""CSE-P""))"),88.0)</f>
        <v>88</v>
      </c>
      <c r="E34" s="16">
        <f t="shared" si="1"/>
        <v>58</v>
      </c>
    </row>
    <row r="35" ht="15.75" customHeight="1">
      <c r="A35" s="17">
        <v>30.0</v>
      </c>
      <c r="B35" s="15" t="s">
        <v>511</v>
      </c>
      <c r="C35" s="30" t="s">
        <v>512</v>
      </c>
      <c r="D35" s="12">
        <f>IFERROR(__xludf.DUMMYFUNCTION("IMPORTRANGE(""https://docs.google.com/spreadsheets/d/1pcI0H5_o88uChaoz3Jx8Lo2Z71zohG9q1pYbJLiJRZI/edit?gid=1794106843#gid=1794106843"", address(row($Z35),column($Z35),,,""CSE-P""))"),111.0)</f>
        <v>111</v>
      </c>
      <c r="E35" s="16">
        <f t="shared" si="1"/>
        <v>73</v>
      </c>
    </row>
    <row r="36" ht="15.75" customHeight="1">
      <c r="A36" s="14">
        <v>31.0</v>
      </c>
      <c r="B36" s="15" t="s">
        <v>513</v>
      </c>
      <c r="C36" s="30" t="s">
        <v>514</v>
      </c>
      <c r="D36" s="12">
        <f>IFERROR(__xludf.DUMMYFUNCTION("IMPORTRANGE(""https://docs.google.com/spreadsheets/d/1pcI0H5_o88uChaoz3Jx8Lo2Z71zohG9q1pYbJLiJRZI/edit?gid=1794106843#gid=1794106843"", address(row($Z36),column($Z36),,,""CSE-P""))"),113.0)</f>
        <v>113</v>
      </c>
      <c r="E36" s="16">
        <f t="shared" si="1"/>
        <v>74</v>
      </c>
    </row>
    <row r="37" ht="15.75" customHeight="1">
      <c r="A37" s="17">
        <v>32.0</v>
      </c>
      <c r="B37" s="15" t="s">
        <v>515</v>
      </c>
      <c r="C37" s="30" t="s">
        <v>516</v>
      </c>
      <c r="D37" s="12">
        <f>IFERROR(__xludf.DUMMYFUNCTION("IMPORTRANGE(""https://docs.google.com/spreadsheets/d/1pcI0H5_o88uChaoz3Jx8Lo2Z71zohG9q1pYbJLiJRZI/edit?gid=1794106843#gid=1794106843"", address(row($Z37),column($Z37),,,""CSE-P""))"),95.0)</f>
        <v>95</v>
      </c>
      <c r="E37" s="16">
        <f t="shared" si="1"/>
        <v>62</v>
      </c>
    </row>
    <row r="38" ht="15.75" customHeight="1">
      <c r="A38" s="14">
        <v>33.0</v>
      </c>
      <c r="B38" s="15" t="s">
        <v>517</v>
      </c>
      <c r="C38" s="30" t="s">
        <v>518</v>
      </c>
      <c r="D38" s="12">
        <f>IFERROR(__xludf.DUMMYFUNCTION("IMPORTRANGE(""https://docs.google.com/spreadsheets/d/1pcI0H5_o88uChaoz3Jx8Lo2Z71zohG9q1pYbJLiJRZI/edit?gid=1794106843#gid=1794106843"", address(row($Z38),column($Z38),,,""CSE-P""))"),119.0)</f>
        <v>119</v>
      </c>
      <c r="E38" s="16">
        <f t="shared" si="1"/>
        <v>78</v>
      </c>
    </row>
    <row r="39" ht="15.75" customHeight="1">
      <c r="A39" s="17">
        <v>34.0</v>
      </c>
      <c r="B39" s="15" t="s">
        <v>519</v>
      </c>
      <c r="C39" s="30" t="s">
        <v>520</v>
      </c>
      <c r="D39" s="12">
        <f>IFERROR(__xludf.DUMMYFUNCTION("IMPORTRANGE(""https://docs.google.com/spreadsheets/d/1pcI0H5_o88uChaoz3Jx8Lo2Z71zohG9q1pYbJLiJRZI/edit?gid=1794106843#gid=1794106843"", address(row($Z39),column($Z39),,,""CSE-P""))"),140.0)</f>
        <v>140</v>
      </c>
      <c r="E39" s="16">
        <f t="shared" si="1"/>
        <v>92</v>
      </c>
    </row>
    <row r="40" ht="15.75" customHeight="1">
      <c r="A40" s="14">
        <v>35.0</v>
      </c>
      <c r="B40" s="15" t="s">
        <v>521</v>
      </c>
      <c r="C40" s="30" t="s">
        <v>522</v>
      </c>
      <c r="D40" s="12">
        <f>IFERROR(__xludf.DUMMYFUNCTION("IMPORTRANGE(""https://docs.google.com/spreadsheets/d/1pcI0H5_o88uChaoz3Jx8Lo2Z71zohG9q1pYbJLiJRZI/edit?gid=1794106843#gid=1794106843"", address(row($Z40),column($Z40),,,""CSE-P""))"),107.0)</f>
        <v>107</v>
      </c>
      <c r="E40" s="16">
        <f t="shared" si="1"/>
        <v>70</v>
      </c>
    </row>
    <row r="41" ht="15.75" customHeight="1">
      <c r="A41" s="17">
        <v>36.0</v>
      </c>
      <c r="B41" s="15" t="s">
        <v>523</v>
      </c>
      <c r="C41" s="31" t="s">
        <v>524</v>
      </c>
      <c r="D41" s="12">
        <f>IFERROR(__xludf.DUMMYFUNCTION("IMPORTRANGE(""https://docs.google.com/spreadsheets/d/1pcI0H5_o88uChaoz3Jx8Lo2Z71zohG9q1pYbJLiJRZI/edit?gid=1794106843#gid=1794106843"", address(row($Z41),column($Z41),,,""CSE-P""))"),122.0)</f>
        <v>122</v>
      </c>
      <c r="E41" s="16">
        <f t="shared" si="1"/>
        <v>80</v>
      </c>
    </row>
    <row r="42" ht="15.75" customHeight="1">
      <c r="A42" s="14">
        <v>37.0</v>
      </c>
      <c r="B42" s="15" t="s">
        <v>525</v>
      </c>
      <c r="C42" s="30" t="s">
        <v>526</v>
      </c>
      <c r="D42" s="12">
        <f>IFERROR(__xludf.DUMMYFUNCTION("IMPORTRANGE(""https://docs.google.com/spreadsheets/d/1pcI0H5_o88uChaoz3Jx8Lo2Z71zohG9q1pYbJLiJRZI/edit?gid=1794106843#gid=1794106843"", address(row($Z42),column($Z42),,,""CSE-P""))"),114.0)</f>
        <v>114</v>
      </c>
      <c r="E42" s="16">
        <f t="shared" si="1"/>
        <v>75</v>
      </c>
    </row>
    <row r="43" ht="15.75" customHeight="1">
      <c r="A43" s="17">
        <v>38.0</v>
      </c>
      <c r="B43" s="15" t="s">
        <v>527</v>
      </c>
      <c r="C43" s="30" t="s">
        <v>528</v>
      </c>
      <c r="D43" s="12">
        <f>IFERROR(__xludf.DUMMYFUNCTION("IMPORTRANGE(""https://docs.google.com/spreadsheets/d/1pcI0H5_o88uChaoz3Jx8Lo2Z71zohG9q1pYbJLiJRZI/edit?gid=1794106843#gid=1794106843"", address(row($Z43),column($Z43),,,""CSE-P""))"),122.0)</f>
        <v>122</v>
      </c>
      <c r="E43" s="16">
        <f t="shared" si="1"/>
        <v>80</v>
      </c>
    </row>
    <row r="44" ht="15.75" customHeight="1">
      <c r="A44" s="14">
        <v>39.0</v>
      </c>
      <c r="B44" s="15" t="s">
        <v>529</v>
      </c>
      <c r="C44" s="30" t="s">
        <v>530</v>
      </c>
      <c r="D44" s="12">
        <f>IFERROR(__xludf.DUMMYFUNCTION("IMPORTRANGE(""https://docs.google.com/spreadsheets/d/1pcI0H5_o88uChaoz3Jx8Lo2Z71zohG9q1pYbJLiJRZI/edit?gid=1794106843#gid=1794106843"", address(row($Z44),column($Z44),,,""CSE-P""))"),123.0)</f>
        <v>123</v>
      </c>
      <c r="E44" s="16">
        <f t="shared" si="1"/>
        <v>80</v>
      </c>
    </row>
    <row r="45" ht="15.75" customHeight="1">
      <c r="A45" s="17">
        <v>40.0</v>
      </c>
      <c r="B45" s="15" t="s">
        <v>531</v>
      </c>
      <c r="C45" s="30" t="s">
        <v>532</v>
      </c>
      <c r="D45" s="12">
        <f>IFERROR(__xludf.DUMMYFUNCTION("IMPORTRANGE(""https://docs.google.com/spreadsheets/d/1pcI0H5_o88uChaoz3Jx8Lo2Z71zohG9q1pYbJLiJRZI/edit?gid=1794106843#gid=1794106843"", address(row($Z45),column($Z45),,,""CSE-P""))"),10.0)</f>
        <v>10</v>
      </c>
      <c r="E45" s="16">
        <f t="shared" si="1"/>
        <v>7</v>
      </c>
    </row>
    <row r="46" ht="15.75" customHeight="1">
      <c r="A46" s="14">
        <v>41.0</v>
      </c>
      <c r="B46" s="15" t="s">
        <v>533</v>
      </c>
      <c r="C46" s="30" t="s">
        <v>534</v>
      </c>
      <c r="D46" s="12">
        <f>IFERROR(__xludf.DUMMYFUNCTION("IMPORTRANGE(""https://docs.google.com/spreadsheets/d/1pcI0H5_o88uChaoz3Jx8Lo2Z71zohG9q1pYbJLiJRZI/edit?gid=1794106843#gid=1794106843"", address(row($Z46),column($Z46),,,""CSE-P""))"),103.0)</f>
        <v>103</v>
      </c>
      <c r="E46" s="16">
        <f t="shared" si="1"/>
        <v>67</v>
      </c>
    </row>
    <row r="47" ht="15.75" customHeight="1">
      <c r="A47" s="17">
        <v>42.0</v>
      </c>
      <c r="B47" s="15" t="s">
        <v>535</v>
      </c>
      <c r="C47" s="30" t="s">
        <v>536</v>
      </c>
      <c r="D47" s="12">
        <f>IFERROR(__xludf.DUMMYFUNCTION("IMPORTRANGE(""https://docs.google.com/spreadsheets/d/1pcI0H5_o88uChaoz3Jx8Lo2Z71zohG9q1pYbJLiJRZI/edit?gid=1794106843#gid=1794106843"", address(row($Z47),column($Z47),,,""CSE-P""))"),115.0)</f>
        <v>115</v>
      </c>
      <c r="E47" s="16">
        <f t="shared" si="1"/>
        <v>75</v>
      </c>
    </row>
    <row r="48" ht="15.75" customHeight="1">
      <c r="A48" s="14">
        <v>43.0</v>
      </c>
      <c r="B48" s="15" t="s">
        <v>537</v>
      </c>
      <c r="C48" s="30" t="s">
        <v>538</v>
      </c>
      <c r="D48" s="12">
        <f>IFERROR(__xludf.DUMMYFUNCTION("IMPORTRANGE(""https://docs.google.com/spreadsheets/d/1pcI0H5_o88uChaoz3Jx8Lo2Z71zohG9q1pYbJLiJRZI/edit?gid=1794106843#gid=1794106843"", address(row($Z48),column($Z48),,,""CSE-P""))"),113.0)</f>
        <v>113</v>
      </c>
      <c r="E48" s="16">
        <f t="shared" si="1"/>
        <v>74</v>
      </c>
    </row>
    <row r="49" ht="15.75" customHeight="1">
      <c r="A49" s="17">
        <v>44.0</v>
      </c>
      <c r="B49" s="15" t="s">
        <v>539</v>
      </c>
      <c r="C49" s="30" t="s">
        <v>540</v>
      </c>
      <c r="D49" s="12">
        <f>IFERROR(__xludf.DUMMYFUNCTION("IMPORTRANGE(""https://docs.google.com/spreadsheets/d/1pcI0H5_o88uChaoz3Jx8Lo2Z71zohG9q1pYbJLiJRZI/edit?gid=1794106843#gid=1794106843"", address(row($Z49),column($Z49),,,""CSE-P""))"),114.0)</f>
        <v>114</v>
      </c>
      <c r="E49" s="16">
        <f t="shared" si="1"/>
        <v>75</v>
      </c>
    </row>
    <row r="50" ht="15.75" customHeight="1">
      <c r="A50" s="14">
        <v>45.0</v>
      </c>
      <c r="B50" s="15" t="s">
        <v>541</v>
      </c>
      <c r="C50" s="30" t="s">
        <v>542</v>
      </c>
      <c r="D50" s="12">
        <f>IFERROR(__xludf.DUMMYFUNCTION("IMPORTRANGE(""https://docs.google.com/spreadsheets/d/1pcI0H5_o88uChaoz3Jx8Lo2Z71zohG9q1pYbJLiJRZI/edit?gid=1794106843#gid=1794106843"", address(row($Z50),column($Z50),,,""CSE-P""))"),105.0)</f>
        <v>105</v>
      </c>
      <c r="E50" s="16">
        <f t="shared" si="1"/>
        <v>69</v>
      </c>
    </row>
    <row r="51" ht="15.75" customHeight="1">
      <c r="A51" s="17">
        <v>46.0</v>
      </c>
      <c r="B51" s="15" t="s">
        <v>543</v>
      </c>
      <c r="C51" s="30" t="s">
        <v>544</v>
      </c>
      <c r="D51" s="12">
        <f>IFERROR(__xludf.DUMMYFUNCTION("IMPORTRANGE(""https://docs.google.com/spreadsheets/d/1pcI0H5_o88uChaoz3Jx8Lo2Z71zohG9q1pYbJLiJRZI/edit?gid=1794106843#gid=1794106843"", address(row($Z51),column($Z51),,,""CSE-P""))"),109.0)</f>
        <v>109</v>
      </c>
      <c r="E51" s="16">
        <f t="shared" si="1"/>
        <v>71</v>
      </c>
    </row>
    <row r="52" ht="15.75" customHeight="1">
      <c r="A52" s="14">
        <v>47.0</v>
      </c>
      <c r="B52" s="15" t="s">
        <v>545</v>
      </c>
      <c r="C52" s="30" t="s">
        <v>546</v>
      </c>
      <c r="D52" s="12">
        <f>IFERROR(__xludf.DUMMYFUNCTION("IMPORTRANGE(""https://docs.google.com/spreadsheets/d/1pcI0H5_o88uChaoz3Jx8Lo2Z71zohG9q1pYbJLiJRZI/edit?gid=1794106843#gid=1794106843"", address(row($Z52),column($Z52),,,""CSE-P""))"),108.0)</f>
        <v>108</v>
      </c>
      <c r="E52" s="16">
        <f t="shared" si="1"/>
        <v>71</v>
      </c>
    </row>
    <row r="53" ht="15.75" customHeight="1">
      <c r="A53" s="17">
        <v>48.0</v>
      </c>
      <c r="B53" s="15" t="s">
        <v>547</v>
      </c>
      <c r="C53" s="30" t="s">
        <v>548</v>
      </c>
      <c r="D53" s="12">
        <f>IFERROR(__xludf.DUMMYFUNCTION("IMPORTRANGE(""https://docs.google.com/spreadsheets/d/1pcI0H5_o88uChaoz3Jx8Lo2Z71zohG9q1pYbJLiJRZI/edit?gid=1794106843#gid=1794106843"", address(row($Z53),column($Z53),,,""CSE-P""))"),113.0)</f>
        <v>113</v>
      </c>
      <c r="E53" s="16">
        <f t="shared" si="1"/>
        <v>74</v>
      </c>
    </row>
    <row r="54" ht="15.75" customHeight="1">
      <c r="A54" s="14">
        <v>49.0</v>
      </c>
      <c r="B54" s="15" t="s">
        <v>549</v>
      </c>
      <c r="C54" s="30" t="s">
        <v>550</v>
      </c>
      <c r="D54" s="12">
        <f>IFERROR(__xludf.DUMMYFUNCTION("IMPORTRANGE(""https://docs.google.com/spreadsheets/d/1pcI0H5_o88uChaoz3Jx8Lo2Z71zohG9q1pYbJLiJRZI/edit?gid=1794106843#gid=1794106843"", address(row($Z54),column($Z54),,,""CSE-P""))"),125.0)</f>
        <v>125</v>
      </c>
      <c r="E54" s="16">
        <f t="shared" si="1"/>
        <v>82</v>
      </c>
    </row>
    <row r="55" ht="15.75" customHeight="1">
      <c r="A55" s="17">
        <v>50.0</v>
      </c>
      <c r="B55" s="15" t="s">
        <v>551</v>
      </c>
      <c r="C55" s="30" t="s">
        <v>552</v>
      </c>
      <c r="D55" s="12">
        <f>IFERROR(__xludf.DUMMYFUNCTION("IMPORTRANGE(""https://docs.google.com/spreadsheets/d/1pcI0H5_o88uChaoz3Jx8Lo2Z71zohG9q1pYbJLiJRZI/edit?gid=1794106843#gid=1794106843"", address(row($Z55),column($Z55),,,""CSE-P""))"),135.0)</f>
        <v>135</v>
      </c>
      <c r="E55" s="16">
        <f t="shared" si="1"/>
        <v>88</v>
      </c>
    </row>
    <row r="56" ht="15.75" customHeight="1">
      <c r="A56" s="14">
        <v>51.0</v>
      </c>
      <c r="B56" s="15" t="s">
        <v>553</v>
      </c>
      <c r="C56" s="30" t="s">
        <v>554</v>
      </c>
      <c r="D56" s="12">
        <f>IFERROR(__xludf.DUMMYFUNCTION("IMPORTRANGE(""https://docs.google.com/spreadsheets/d/1pcI0H5_o88uChaoz3Jx8Lo2Z71zohG9q1pYbJLiJRZI/edit?gid=1794106843#gid=1794106843"", address(row($Z56),column($Z56),,,""CSE-P""))"),131.0)</f>
        <v>131</v>
      </c>
      <c r="E56" s="16">
        <f t="shared" si="1"/>
        <v>86</v>
      </c>
    </row>
    <row r="57" ht="15.75" customHeight="1">
      <c r="A57" s="17">
        <v>52.0</v>
      </c>
      <c r="B57" s="15" t="s">
        <v>555</v>
      </c>
      <c r="C57" s="30" t="s">
        <v>556</v>
      </c>
      <c r="D57" s="12">
        <f>IFERROR(__xludf.DUMMYFUNCTION("IMPORTRANGE(""https://docs.google.com/spreadsheets/d/1pcI0H5_o88uChaoz3Jx8Lo2Z71zohG9q1pYbJLiJRZI/edit?gid=1794106843#gid=1794106843"", address(row($Z57),column($Z57),,,""CSE-P""))"),108.0)</f>
        <v>108</v>
      </c>
      <c r="E57" s="16">
        <f t="shared" si="1"/>
        <v>71</v>
      </c>
    </row>
    <row r="58" ht="15.75" customHeight="1">
      <c r="A58" s="14">
        <v>53.0</v>
      </c>
      <c r="B58" s="15" t="s">
        <v>557</v>
      </c>
      <c r="C58" s="30" t="s">
        <v>558</v>
      </c>
      <c r="D58" s="12">
        <f>IFERROR(__xludf.DUMMYFUNCTION("IMPORTRANGE(""https://docs.google.com/spreadsheets/d/1pcI0H5_o88uChaoz3Jx8Lo2Z71zohG9q1pYbJLiJRZI/edit?gid=1794106843#gid=1794106843"", address(row($Z58),column($Z58),,,""CSE-P""))"),109.0)</f>
        <v>109</v>
      </c>
      <c r="E58" s="16">
        <f t="shared" si="1"/>
        <v>71</v>
      </c>
    </row>
    <row r="59" ht="15.75" customHeight="1">
      <c r="A59" s="17">
        <v>54.0</v>
      </c>
      <c r="B59" s="15" t="s">
        <v>559</v>
      </c>
      <c r="C59" s="30" t="s">
        <v>560</v>
      </c>
      <c r="D59" s="12">
        <f>IFERROR(__xludf.DUMMYFUNCTION("IMPORTRANGE(""https://docs.google.com/spreadsheets/d/1pcI0H5_o88uChaoz3Jx8Lo2Z71zohG9q1pYbJLiJRZI/edit?gid=1794106843#gid=1794106843"", address(row($Z59),column($Z59),,,""CSE-P""))"),109.0)</f>
        <v>109</v>
      </c>
      <c r="E59" s="16">
        <f t="shared" si="1"/>
        <v>71</v>
      </c>
    </row>
    <row r="60" ht="15.75" customHeight="1">
      <c r="A60" s="14">
        <v>55.0</v>
      </c>
      <c r="B60" s="15" t="s">
        <v>561</v>
      </c>
      <c r="C60" s="30" t="s">
        <v>562</v>
      </c>
      <c r="D60" s="12">
        <f>IFERROR(__xludf.DUMMYFUNCTION("IMPORTRANGE(""https://docs.google.com/spreadsheets/d/1pcI0H5_o88uChaoz3Jx8Lo2Z71zohG9q1pYbJLiJRZI/edit?gid=1794106843#gid=1794106843"", address(row($Z60),column($Z60),,,""CSE-P""))"),111.0)</f>
        <v>111</v>
      </c>
      <c r="E60" s="16">
        <f t="shared" si="1"/>
        <v>73</v>
      </c>
    </row>
    <row r="61" ht="15.75" customHeight="1">
      <c r="A61" s="17">
        <v>56.0</v>
      </c>
      <c r="B61" s="15" t="s">
        <v>563</v>
      </c>
      <c r="C61" s="30" t="s">
        <v>564</v>
      </c>
      <c r="D61" s="12">
        <f>IFERROR(__xludf.DUMMYFUNCTION("IMPORTRANGE(""https://docs.google.com/spreadsheets/d/1pcI0H5_o88uChaoz3Jx8Lo2Z71zohG9q1pYbJLiJRZI/edit?gid=1794106843#gid=1794106843"", address(row($Z61),column($Z61),,,""CSE-P""))"),66.0)</f>
        <v>66</v>
      </c>
      <c r="E61" s="16">
        <f t="shared" si="1"/>
        <v>43</v>
      </c>
    </row>
    <row r="62" ht="15.75" customHeight="1">
      <c r="A62" s="14">
        <v>57.0</v>
      </c>
      <c r="B62" s="15" t="s">
        <v>565</v>
      </c>
      <c r="C62" s="30" t="s">
        <v>566</v>
      </c>
      <c r="D62" s="12">
        <f>IFERROR(__xludf.DUMMYFUNCTION("IMPORTRANGE(""https://docs.google.com/spreadsheets/d/1pcI0H5_o88uChaoz3Jx8Lo2Z71zohG9q1pYbJLiJRZI/edit?gid=1794106843#gid=1794106843"", address(row($Z62),column($Z62),,,""CSE-P""))"),105.0)</f>
        <v>105</v>
      </c>
      <c r="E62" s="16">
        <f t="shared" si="1"/>
        <v>69</v>
      </c>
    </row>
    <row r="63" ht="15.75" customHeight="1">
      <c r="A63" s="17">
        <v>58.0</v>
      </c>
      <c r="B63" s="15" t="s">
        <v>567</v>
      </c>
      <c r="C63" s="30" t="s">
        <v>568</v>
      </c>
      <c r="D63" s="12">
        <f>IFERROR(__xludf.DUMMYFUNCTION("IMPORTRANGE(""https://docs.google.com/spreadsheets/d/1pcI0H5_o88uChaoz3Jx8Lo2Z71zohG9q1pYbJLiJRZI/edit?gid=1794106843#gid=1794106843"", address(row($Z63),column($Z63),,,""CSE-P""))"),24.0)</f>
        <v>24</v>
      </c>
      <c r="E63" s="16">
        <f t="shared" si="1"/>
        <v>16</v>
      </c>
    </row>
    <row r="64" ht="15.75" customHeight="1">
      <c r="A64" s="14">
        <v>59.0</v>
      </c>
      <c r="B64" s="15" t="s">
        <v>569</v>
      </c>
      <c r="C64" s="30" t="s">
        <v>570</v>
      </c>
      <c r="D64" s="12">
        <f>IFERROR(__xludf.DUMMYFUNCTION("IMPORTRANGE(""https://docs.google.com/spreadsheets/d/1pcI0H5_o88uChaoz3Jx8Lo2Z71zohG9q1pYbJLiJRZI/edit?gid=1794106843#gid=1794106843"", address(row($Z64),column($Z64),,,""CSE-P""))"),106.0)</f>
        <v>106</v>
      </c>
      <c r="E64" s="16">
        <f t="shared" si="1"/>
        <v>69</v>
      </c>
    </row>
    <row r="65" ht="15.75" customHeight="1">
      <c r="A65" s="17">
        <v>60.0</v>
      </c>
      <c r="B65" s="15" t="s">
        <v>571</v>
      </c>
      <c r="C65" s="30" t="s">
        <v>572</v>
      </c>
      <c r="D65" s="12">
        <f>IFERROR(__xludf.DUMMYFUNCTION("IMPORTRANGE(""https://docs.google.com/spreadsheets/d/1pcI0H5_o88uChaoz3Jx8Lo2Z71zohG9q1pYbJLiJRZI/edit?gid=1794106843#gid=1794106843"", address(row($Z65),column($Z65),,,""CSE-P""))"),122.0)</f>
        <v>122</v>
      </c>
      <c r="E65" s="16">
        <f t="shared" si="1"/>
        <v>80</v>
      </c>
    </row>
    <row r="66" ht="15.75" customHeight="1">
      <c r="A66" s="14">
        <v>61.0</v>
      </c>
      <c r="B66" s="15" t="s">
        <v>573</v>
      </c>
      <c r="C66" s="30" t="s">
        <v>574</v>
      </c>
      <c r="D66" s="12">
        <f>IFERROR(__xludf.DUMMYFUNCTION("IMPORTRANGE(""https://docs.google.com/spreadsheets/d/1pcI0H5_o88uChaoz3Jx8Lo2Z71zohG9q1pYbJLiJRZI/edit?gid=1794106843#gid=1794106843"", address(row($Z66),column($Z66),,,""CSE-P""))"),113.0)</f>
        <v>113</v>
      </c>
      <c r="E66" s="16">
        <f t="shared" si="1"/>
        <v>74</v>
      </c>
    </row>
    <row r="67" ht="15.75" customHeight="1">
      <c r="A67" s="17">
        <v>62.0</v>
      </c>
      <c r="B67" s="15" t="s">
        <v>575</v>
      </c>
      <c r="C67" s="30" t="s">
        <v>576</v>
      </c>
      <c r="D67" s="12">
        <f>IFERROR(__xludf.DUMMYFUNCTION("IMPORTRANGE(""https://docs.google.com/spreadsheets/d/1pcI0H5_o88uChaoz3Jx8Lo2Z71zohG9q1pYbJLiJRZI/edit?gid=1794106843#gid=1794106843"", address(row($Z67),column($Z67),,,""CSE-P""))"),102.0)</f>
        <v>102</v>
      </c>
      <c r="E67" s="16">
        <f t="shared" si="1"/>
        <v>67</v>
      </c>
    </row>
    <row r="68" ht="15.75" customHeight="1">
      <c r="A68" s="14">
        <v>63.0</v>
      </c>
      <c r="B68" s="15" t="s">
        <v>577</v>
      </c>
      <c r="C68" s="30" t="s">
        <v>578</v>
      </c>
      <c r="D68" s="12">
        <f>IFERROR(__xludf.DUMMYFUNCTION("IMPORTRANGE(""https://docs.google.com/spreadsheets/d/1pcI0H5_o88uChaoz3Jx8Lo2Z71zohG9q1pYbJLiJRZI/edit?gid=1794106843#gid=1794106843"", address(row($Z68),column($Z68),,,""CSE-P""))"),101.0)</f>
        <v>101</v>
      </c>
      <c r="E68" s="16">
        <f t="shared" si="1"/>
        <v>66</v>
      </c>
    </row>
    <row r="69" ht="15.75" customHeight="1">
      <c r="A69" s="17">
        <v>64.0</v>
      </c>
      <c r="B69" s="15" t="s">
        <v>579</v>
      </c>
      <c r="C69" s="30" t="s">
        <v>580</v>
      </c>
      <c r="D69" s="12">
        <f>IFERROR(__xludf.DUMMYFUNCTION("IMPORTRANGE(""https://docs.google.com/spreadsheets/d/1pcI0H5_o88uChaoz3Jx8Lo2Z71zohG9q1pYbJLiJRZI/edit?gid=1794106843#gid=1794106843"", address(row($Z69),column($Z69),,,""CSE-P""))"),126.0)</f>
        <v>126</v>
      </c>
      <c r="E69" s="16">
        <f t="shared" si="1"/>
        <v>82</v>
      </c>
    </row>
    <row r="70" ht="15.0" customHeight="1">
      <c r="A70" s="14">
        <v>65.0</v>
      </c>
      <c r="B70" s="15" t="s">
        <v>581</v>
      </c>
      <c r="C70" s="30" t="s">
        <v>582</v>
      </c>
      <c r="D70" s="12">
        <f>IFERROR(__xludf.DUMMYFUNCTION("IMPORTRANGE(""https://docs.google.com/spreadsheets/d/1pcI0H5_o88uChaoz3Jx8Lo2Z71zohG9q1pYbJLiJRZI/edit?gid=1794106843#gid=1794106843"", address(row($Z70),column($Z70),,,""CSE-P""))"),130.0)</f>
        <v>130</v>
      </c>
      <c r="E70" s="16">
        <f t="shared" si="1"/>
        <v>85</v>
      </c>
    </row>
    <row r="71" ht="15.0" customHeight="1">
      <c r="A71" s="17">
        <v>66.0</v>
      </c>
      <c r="B71" s="15" t="s">
        <v>583</v>
      </c>
      <c r="C71" s="30" t="s">
        <v>584</v>
      </c>
      <c r="D71" s="12">
        <f>IFERROR(__xludf.DUMMYFUNCTION("IMPORTRANGE(""https://docs.google.com/spreadsheets/d/1pcI0H5_o88uChaoz3Jx8Lo2Z71zohG9q1pYbJLiJRZI/edit?gid=1794106843#gid=1794106843"", address(row($Z71),column($Z71),,,""CSE-P""))"),85.0)</f>
        <v>85</v>
      </c>
      <c r="E71" s="16">
        <f t="shared" si="1"/>
        <v>56</v>
      </c>
    </row>
    <row r="72" ht="15.75" customHeight="1">
      <c r="A72" s="14">
        <v>67.0</v>
      </c>
      <c r="B72" s="15" t="s">
        <v>585</v>
      </c>
      <c r="C72" s="30" t="s">
        <v>586</v>
      </c>
      <c r="D72" s="12">
        <f>IFERROR(__xludf.DUMMYFUNCTION("IMPORTRANGE(""https://docs.google.com/spreadsheets/d/1pcI0H5_o88uChaoz3Jx8Lo2Z71zohG9q1pYbJLiJRZI/edit?gid=1794106843#gid=1794106843"", address(row($Z72),column($Z72),,,""CSE-P""))"),114.0)</f>
        <v>114</v>
      </c>
      <c r="E72" s="16">
        <f t="shared" si="1"/>
        <v>75</v>
      </c>
    </row>
    <row r="73" ht="15.75" customHeight="1">
      <c r="A73" s="17">
        <v>68.0</v>
      </c>
      <c r="B73" s="15" t="s">
        <v>587</v>
      </c>
      <c r="C73" s="30" t="s">
        <v>588</v>
      </c>
      <c r="D73" s="12">
        <f>IFERROR(__xludf.DUMMYFUNCTION("IMPORTRANGE(""https://docs.google.com/spreadsheets/d/1pcI0H5_o88uChaoz3Jx8Lo2Z71zohG9q1pYbJLiJRZI/edit?gid=1794106843#gid=1794106843"", address(row($Z73),column($Z73),,,""CSE-P""))"),136.0)</f>
        <v>136</v>
      </c>
      <c r="E73" s="16">
        <f t="shared" si="1"/>
        <v>89</v>
      </c>
    </row>
    <row r="74" ht="15.75" customHeight="1">
      <c r="A74" s="14">
        <v>69.0</v>
      </c>
      <c r="B74" s="15" t="s">
        <v>589</v>
      </c>
      <c r="C74" s="30" t="s">
        <v>590</v>
      </c>
      <c r="D74" s="12">
        <f>IFERROR(__xludf.DUMMYFUNCTION("IMPORTRANGE(""https://docs.google.com/spreadsheets/d/1pcI0H5_o88uChaoz3Jx8Lo2Z71zohG9q1pYbJLiJRZI/edit?gid=1794106843#gid=1794106843"", address(row($Z74),column($Z74),,,""CSE-P""))"),130.0)</f>
        <v>130</v>
      </c>
      <c r="E74" s="16">
        <f t="shared" si="1"/>
        <v>85</v>
      </c>
    </row>
    <row r="75" ht="15.75" customHeight="1">
      <c r="A75" s="17">
        <v>70.0</v>
      </c>
      <c r="B75" s="15" t="s">
        <v>591</v>
      </c>
      <c r="C75" s="30" t="s">
        <v>592</v>
      </c>
      <c r="D75" s="12">
        <f>IFERROR(__xludf.DUMMYFUNCTION("IMPORTRANGE(""https://docs.google.com/spreadsheets/d/1pcI0H5_o88uChaoz3Jx8Lo2Z71zohG9q1pYbJLiJRZI/edit?gid=1794106843#gid=1794106843"", address(row($Z75),column($Z75),,,""CSE-P""))"),127.0)</f>
        <v>127</v>
      </c>
      <c r="E75" s="16">
        <f t="shared" si="1"/>
        <v>83</v>
      </c>
    </row>
    <row r="76" ht="15.75" customHeight="1">
      <c r="A76" s="14">
        <v>71.0</v>
      </c>
      <c r="B76" s="15" t="s">
        <v>593</v>
      </c>
      <c r="C76" s="30" t="s">
        <v>594</v>
      </c>
      <c r="D76" s="12">
        <f>IFERROR(__xludf.DUMMYFUNCTION("IMPORTRANGE(""https://docs.google.com/spreadsheets/d/1pcI0H5_o88uChaoz3Jx8Lo2Z71zohG9q1pYbJLiJRZI/edit?gid=1794106843#gid=1794106843"", address(row($Z76),column($Z76),,,""CSE-P""))"),99.0)</f>
        <v>99</v>
      </c>
      <c r="E76" s="16">
        <f t="shared" si="1"/>
        <v>65</v>
      </c>
    </row>
    <row r="77" ht="15.75" customHeight="1">
      <c r="A77" s="17">
        <v>72.0</v>
      </c>
      <c r="B77" s="15" t="s">
        <v>595</v>
      </c>
      <c r="C77" s="30" t="s">
        <v>596</v>
      </c>
      <c r="D77" s="12">
        <f>IFERROR(__xludf.DUMMYFUNCTION("IMPORTRANGE(""https://docs.google.com/spreadsheets/d/1pcI0H5_o88uChaoz3Jx8Lo2Z71zohG9q1pYbJLiJRZI/edit?gid=1794106843#gid=1794106843"", address(row($Z77),column($Z77),,,""CSE-P""))"),129.0)</f>
        <v>129</v>
      </c>
      <c r="E77" s="16">
        <f t="shared" si="1"/>
        <v>84</v>
      </c>
    </row>
    <row r="78" ht="15.75" customHeight="1">
      <c r="A78" s="14">
        <v>73.0</v>
      </c>
      <c r="B78" s="15" t="s">
        <v>597</v>
      </c>
      <c r="C78" s="30" t="s">
        <v>598</v>
      </c>
      <c r="D78" s="12">
        <f>IFERROR(__xludf.DUMMYFUNCTION("IMPORTRANGE(""https://docs.google.com/spreadsheets/d/1pcI0H5_o88uChaoz3Jx8Lo2Z71zohG9q1pYbJLiJRZI/edit?gid=1794106843#gid=1794106843"", address(row($Z78),column($Z78),,,""CSE-P""))"),134.0)</f>
        <v>134</v>
      </c>
      <c r="E78" s="16">
        <f t="shared" si="1"/>
        <v>88</v>
      </c>
    </row>
    <row r="79" ht="15.75" customHeight="1">
      <c r="A79" s="17">
        <v>74.0</v>
      </c>
      <c r="B79" s="15" t="s">
        <v>599</v>
      </c>
      <c r="C79" s="30" t="s">
        <v>600</v>
      </c>
      <c r="D79" s="12">
        <f>IFERROR(__xludf.DUMMYFUNCTION("IMPORTRANGE(""https://docs.google.com/spreadsheets/d/1pcI0H5_o88uChaoz3Jx8Lo2Z71zohG9q1pYbJLiJRZI/edit?gid=1794106843#gid=1794106843"", address(row($Z79),column($Z79),,,""CSE-P""))"),9.0)</f>
        <v>9</v>
      </c>
      <c r="E79" s="16">
        <f t="shared" si="1"/>
        <v>6</v>
      </c>
    </row>
    <row r="80" ht="15.75" customHeight="1">
      <c r="A80" s="14">
        <v>75.0</v>
      </c>
      <c r="B80" s="15" t="s">
        <v>601</v>
      </c>
      <c r="C80" s="30" t="s">
        <v>602</v>
      </c>
      <c r="D80" s="12">
        <f>IFERROR(__xludf.DUMMYFUNCTION("IMPORTRANGE(""https://docs.google.com/spreadsheets/d/1pcI0H5_o88uChaoz3Jx8Lo2Z71zohG9q1pYbJLiJRZI/edit?gid=1794106843#gid=1794106843"", address(row($Z80),column($Z80),,,""CSE-P""))"),100.0)</f>
        <v>100</v>
      </c>
      <c r="E80" s="16">
        <f t="shared" si="1"/>
        <v>65</v>
      </c>
    </row>
    <row r="81" ht="15.75" customHeight="1"/>
    <row r="82" ht="15.75" customHeight="1">
      <c r="B82" s="19" t="s">
        <v>603</v>
      </c>
      <c r="C82" s="11"/>
    </row>
    <row r="83" ht="15.75" customHeight="1">
      <c r="B83" s="20" t="s">
        <v>157</v>
      </c>
      <c r="C83" s="21">
        <f>COUNTIF(E6:E80,"&gt;=75")</f>
        <v>37</v>
      </c>
    </row>
    <row r="84" ht="15.75" customHeight="1">
      <c r="B84" s="20" t="s">
        <v>158</v>
      </c>
      <c r="C84" s="21">
        <f>COUNTIFS(E6:E80,"&gt;=65",E6:E80,"&lt;75")</f>
        <v>25</v>
      </c>
    </row>
    <row r="85" ht="15.75" customHeight="1">
      <c r="B85" s="20" t="s">
        <v>159</v>
      </c>
      <c r="C85" s="21">
        <f>COUNTIFS(E6:E80,"&gt;=50",E6:E80,"&lt;65")</f>
        <v>4</v>
      </c>
    </row>
    <row r="86" ht="15.75" customHeight="1">
      <c r="B86" s="20" t="s">
        <v>160</v>
      </c>
      <c r="C86" s="21">
        <f>COUNTIFS(E6:E80,"&gt;=25",E6:E80,"&lt;50")</f>
        <v>4</v>
      </c>
    </row>
    <row r="87" ht="15.75" customHeight="1">
      <c r="B87" s="20" t="s">
        <v>161</v>
      </c>
      <c r="C87" s="21">
        <f>COUNTIFS(E6:E80,"&gt;=1",E6:E80,"&lt;25")</f>
        <v>5</v>
      </c>
    </row>
    <row r="88" ht="15.75" customHeight="1">
      <c r="B88" s="20">
        <f>0</f>
        <v>0</v>
      </c>
      <c r="C88" s="22">
        <f>COUNTIFS(E6:E80,"=0")</f>
        <v>0</v>
      </c>
    </row>
    <row r="89" ht="15.75" customHeight="1">
      <c r="B89" s="23"/>
      <c r="C89" s="24">
        <f>SUM(C83:C88)</f>
        <v>75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3:E3"/>
    <mergeCell ref="A5:C5"/>
    <mergeCell ref="B82:C82"/>
  </mergeCells>
  <conditionalFormatting sqref="E6:E80">
    <cfRule type="cellIs" dxfId="0" priority="1" operator="lessThan">
      <formula>75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4.14"/>
    <col customWidth="1" min="3" max="3" width="46.14"/>
    <col customWidth="1" min="4" max="4" width="6.14"/>
    <col customWidth="1" min="5" max="5" width="11.86"/>
    <col customWidth="1" min="6" max="6" width="14.43"/>
  </cols>
  <sheetData>
    <row r="1" ht="26.25" customHeight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4" t="s">
        <v>604</v>
      </c>
      <c r="B3" s="5"/>
      <c r="C3" s="5"/>
      <c r="D3" s="5"/>
      <c r="E3" s="6"/>
    </row>
    <row r="4">
      <c r="A4" s="7" t="s">
        <v>3</v>
      </c>
      <c r="B4" s="7" t="s">
        <v>4</v>
      </c>
      <c r="C4" s="8" t="s">
        <v>5</v>
      </c>
      <c r="D4" s="7" t="s">
        <v>6</v>
      </c>
      <c r="E4" s="7" t="s">
        <v>7</v>
      </c>
    </row>
    <row r="5" ht="22.5" customHeight="1">
      <c r="A5" s="9" t="s">
        <v>8</v>
      </c>
      <c r="B5" s="10"/>
      <c r="C5" s="11"/>
      <c r="D5" s="12">
        <f>IFERROR(__xludf.DUMMYFUNCTION("IMPORTRANGE(""https://docs.google.com/spreadsheets/d/1pcI0H5_o88uChaoz3Jx8Lo2Z71zohG9q1pYbJLiJRZI/edit?gid=1349297439#gid=1349297439"", address(row($Z5),column($Z5),,,""CSE-Q""))"),162.0)</f>
        <v>162</v>
      </c>
      <c r="E5" s="13" t="s">
        <v>9</v>
      </c>
    </row>
    <row r="6" ht="17.25" customHeight="1">
      <c r="A6" s="14">
        <v>1.0</v>
      </c>
      <c r="B6" s="15" t="s">
        <v>605</v>
      </c>
      <c r="C6" s="30" t="s">
        <v>606</v>
      </c>
      <c r="D6" s="12">
        <f>IFERROR(__xludf.DUMMYFUNCTION("IMPORTRANGE(""https://docs.google.com/spreadsheets/d/1pcI0H5_o88uChaoz3Jx8Lo2Z71zohG9q1pYbJLiJRZI/edit?gid=1349297439#gid=1349297439"", address(row($Z6),column($Z6),,,""CSE-Q""))"),63.0)</f>
        <v>63</v>
      </c>
      <c r="E6" s="16">
        <f t="shared" ref="E6:E79" si="1">ROUND(D6/$D$5*100,0)</f>
        <v>39</v>
      </c>
    </row>
    <row r="7" ht="17.25" customHeight="1">
      <c r="A7" s="17">
        <v>2.0</v>
      </c>
      <c r="B7" s="15" t="s">
        <v>607</v>
      </c>
      <c r="C7" s="30" t="s">
        <v>608</v>
      </c>
      <c r="D7" s="12">
        <f>IFERROR(__xludf.DUMMYFUNCTION("IMPORTRANGE(""https://docs.google.com/spreadsheets/d/1pcI0H5_o88uChaoz3Jx8Lo2Z71zohG9q1pYbJLiJRZI/edit?gid=1349297439#gid=1349297439"", address(row($Z7),column($Z7),,,""CSE-Q""))"),79.0)</f>
        <v>79</v>
      </c>
      <c r="E7" s="16">
        <f t="shared" si="1"/>
        <v>49</v>
      </c>
    </row>
    <row r="8" ht="17.25" customHeight="1">
      <c r="A8" s="14">
        <v>3.0</v>
      </c>
      <c r="B8" s="15" t="s">
        <v>609</v>
      </c>
      <c r="C8" s="30" t="s">
        <v>610</v>
      </c>
      <c r="D8" s="12">
        <f>IFERROR(__xludf.DUMMYFUNCTION("IMPORTRANGE(""https://docs.google.com/spreadsheets/d/1pcI0H5_o88uChaoz3Jx8Lo2Z71zohG9q1pYbJLiJRZI/edit?gid=1349297439#gid=1349297439"", address(row($Z8),column($Z8),,,""CSE-Q""))"),116.0)</f>
        <v>116</v>
      </c>
      <c r="E8" s="16">
        <f t="shared" si="1"/>
        <v>72</v>
      </c>
    </row>
    <row r="9" ht="17.25" customHeight="1">
      <c r="A9" s="17">
        <v>4.0</v>
      </c>
      <c r="B9" s="15" t="s">
        <v>611</v>
      </c>
      <c r="C9" s="30" t="s">
        <v>612</v>
      </c>
      <c r="D9" s="12">
        <f>IFERROR(__xludf.DUMMYFUNCTION("IMPORTRANGE(""https://docs.google.com/spreadsheets/d/1pcI0H5_o88uChaoz3Jx8Lo2Z71zohG9q1pYbJLiJRZI/edit?gid=1349297439#gid=1349297439"", address(row($Z9),column($Z9),,,""CSE-Q""))"),113.0)</f>
        <v>113</v>
      </c>
      <c r="E9" s="16">
        <f t="shared" si="1"/>
        <v>70</v>
      </c>
    </row>
    <row r="10" ht="17.25" customHeight="1">
      <c r="A10" s="14">
        <v>5.0</v>
      </c>
      <c r="B10" s="15" t="s">
        <v>613</v>
      </c>
      <c r="C10" s="30" t="s">
        <v>614</v>
      </c>
      <c r="D10" s="12">
        <f>IFERROR(__xludf.DUMMYFUNCTION("IMPORTRANGE(""https://docs.google.com/spreadsheets/d/1pcI0H5_o88uChaoz3Jx8Lo2Z71zohG9q1pYbJLiJRZI/edit?gid=1349297439#gid=1349297439"", address(row($Z10),column($Z10),,,""CSE-Q""))"),106.0)</f>
        <v>106</v>
      </c>
      <c r="E10" s="16">
        <f t="shared" si="1"/>
        <v>65</v>
      </c>
    </row>
    <row r="11" ht="17.25" customHeight="1">
      <c r="A11" s="17">
        <v>6.0</v>
      </c>
      <c r="B11" s="15" t="s">
        <v>615</v>
      </c>
      <c r="C11" s="30" t="s">
        <v>616</v>
      </c>
      <c r="D11" s="12">
        <f>IFERROR(__xludf.DUMMYFUNCTION("IMPORTRANGE(""https://docs.google.com/spreadsheets/d/1pcI0H5_o88uChaoz3Jx8Lo2Z71zohG9q1pYbJLiJRZI/edit?gid=1349297439#gid=1349297439"", address(row($Z11),column($Z11),,,""CSE-Q""))"),116.0)</f>
        <v>116</v>
      </c>
      <c r="E11" s="16">
        <f t="shared" si="1"/>
        <v>72</v>
      </c>
    </row>
    <row r="12" ht="17.25" customHeight="1">
      <c r="A12" s="14">
        <v>7.0</v>
      </c>
      <c r="B12" s="15" t="s">
        <v>617</v>
      </c>
      <c r="C12" s="30" t="s">
        <v>618</v>
      </c>
      <c r="D12" s="12">
        <f>IFERROR(__xludf.DUMMYFUNCTION("IMPORTRANGE(""https://docs.google.com/spreadsheets/d/1pcI0H5_o88uChaoz3Jx8Lo2Z71zohG9q1pYbJLiJRZI/edit?gid=1349297439#gid=1349297439"", address(row($Z12),column($Z12),,,""CSE-Q""))"),102.0)</f>
        <v>102</v>
      </c>
      <c r="E12" s="16">
        <f t="shared" si="1"/>
        <v>63</v>
      </c>
    </row>
    <row r="13" ht="17.25" customHeight="1">
      <c r="A13" s="17">
        <v>8.0</v>
      </c>
      <c r="B13" s="15" t="s">
        <v>619</v>
      </c>
      <c r="C13" s="30" t="s">
        <v>620</v>
      </c>
      <c r="D13" s="12">
        <f>IFERROR(__xludf.DUMMYFUNCTION("IMPORTRANGE(""https://docs.google.com/spreadsheets/d/1pcI0H5_o88uChaoz3Jx8Lo2Z71zohG9q1pYbJLiJRZI/edit?gid=1349297439#gid=1349297439"", address(row($Z13),column($Z13),,,""CSE-Q""))"),154.0)</f>
        <v>154</v>
      </c>
      <c r="E13" s="16">
        <f t="shared" si="1"/>
        <v>95</v>
      </c>
    </row>
    <row r="14" ht="17.25" customHeight="1">
      <c r="A14" s="14">
        <v>9.0</v>
      </c>
      <c r="B14" s="15" t="s">
        <v>621</v>
      </c>
      <c r="C14" s="30" t="s">
        <v>622</v>
      </c>
      <c r="D14" s="12">
        <f>IFERROR(__xludf.DUMMYFUNCTION("IMPORTRANGE(""https://docs.google.com/spreadsheets/d/1pcI0H5_o88uChaoz3Jx8Lo2Z71zohG9q1pYbJLiJRZI/edit?gid=1349297439#gid=1349297439"", address(row($Z14),column($Z14),,,""CSE-Q""))"),128.0)</f>
        <v>128</v>
      </c>
      <c r="E14" s="16">
        <f t="shared" si="1"/>
        <v>79</v>
      </c>
    </row>
    <row r="15" ht="17.25" customHeight="1">
      <c r="A15" s="17">
        <v>10.0</v>
      </c>
      <c r="B15" s="15" t="s">
        <v>623</v>
      </c>
      <c r="C15" s="30" t="s">
        <v>624</v>
      </c>
      <c r="D15" s="12">
        <f>IFERROR(__xludf.DUMMYFUNCTION("IMPORTRANGE(""https://docs.google.com/spreadsheets/d/1pcI0H5_o88uChaoz3Jx8Lo2Z71zohG9q1pYbJLiJRZI/edit?gid=1349297439#gid=1349297439"", address(row($Z15),column($Z15),,,""CSE-Q""))"),126.0)</f>
        <v>126</v>
      </c>
      <c r="E15" s="16">
        <f t="shared" si="1"/>
        <v>78</v>
      </c>
    </row>
    <row r="16" ht="17.25" customHeight="1">
      <c r="A16" s="14">
        <v>11.0</v>
      </c>
      <c r="B16" s="15" t="s">
        <v>625</v>
      </c>
      <c r="C16" s="30" t="s">
        <v>626</v>
      </c>
      <c r="D16" s="12">
        <f>IFERROR(__xludf.DUMMYFUNCTION("IMPORTRANGE(""https://docs.google.com/spreadsheets/d/1pcI0H5_o88uChaoz3Jx8Lo2Z71zohG9q1pYbJLiJRZI/edit?gid=1349297439#gid=1349297439"", address(row($Z16),column($Z16),,,""CSE-Q""))"),114.0)</f>
        <v>114</v>
      </c>
      <c r="E16" s="16">
        <f t="shared" si="1"/>
        <v>70</v>
      </c>
    </row>
    <row r="17" ht="17.25" customHeight="1">
      <c r="A17" s="17">
        <v>12.0</v>
      </c>
      <c r="B17" s="15" t="s">
        <v>627</v>
      </c>
      <c r="C17" s="30" t="s">
        <v>628</v>
      </c>
      <c r="D17" s="12">
        <f>IFERROR(__xludf.DUMMYFUNCTION("IMPORTRANGE(""https://docs.google.com/spreadsheets/d/1pcI0H5_o88uChaoz3Jx8Lo2Z71zohG9q1pYbJLiJRZI/edit?gid=1349297439#gid=1349297439"", address(row($Z17),column($Z17),,,""CSE-Q""))"),81.0)</f>
        <v>81</v>
      </c>
      <c r="E17" s="16">
        <f t="shared" si="1"/>
        <v>50</v>
      </c>
    </row>
    <row r="18" ht="17.25" customHeight="1">
      <c r="A18" s="14">
        <v>13.0</v>
      </c>
      <c r="B18" s="15" t="s">
        <v>629</v>
      </c>
      <c r="C18" s="30" t="s">
        <v>630</v>
      </c>
      <c r="D18" s="12">
        <f>IFERROR(__xludf.DUMMYFUNCTION("IMPORTRANGE(""https://docs.google.com/spreadsheets/d/1pcI0H5_o88uChaoz3Jx8Lo2Z71zohG9q1pYbJLiJRZI/edit?gid=1349297439#gid=1349297439"", address(row($Z18),column($Z18),,,""CSE-Q""))"),118.0)</f>
        <v>118</v>
      </c>
      <c r="E18" s="16">
        <f t="shared" si="1"/>
        <v>73</v>
      </c>
    </row>
    <row r="19" ht="17.25" customHeight="1">
      <c r="A19" s="17">
        <v>14.0</v>
      </c>
      <c r="B19" s="15" t="s">
        <v>631</v>
      </c>
      <c r="C19" s="30" t="s">
        <v>632</v>
      </c>
      <c r="D19" s="12">
        <f>IFERROR(__xludf.DUMMYFUNCTION("IMPORTRANGE(""https://docs.google.com/spreadsheets/d/1pcI0H5_o88uChaoz3Jx8Lo2Z71zohG9q1pYbJLiJRZI/edit?gid=1349297439#gid=1349297439"", address(row($Z19),column($Z19),,,""CSE-Q""))"),97.0)</f>
        <v>97</v>
      </c>
      <c r="E19" s="16">
        <f t="shared" si="1"/>
        <v>60</v>
      </c>
    </row>
    <row r="20" ht="17.25" customHeight="1">
      <c r="A20" s="14">
        <v>15.0</v>
      </c>
      <c r="B20" s="15" t="s">
        <v>633</v>
      </c>
      <c r="C20" s="30" t="s">
        <v>634</v>
      </c>
      <c r="D20" s="12">
        <f>IFERROR(__xludf.DUMMYFUNCTION("IMPORTRANGE(""https://docs.google.com/spreadsheets/d/1pcI0H5_o88uChaoz3Jx8Lo2Z71zohG9q1pYbJLiJRZI/edit?gid=1349297439#gid=1349297439"", address(row($Z20),column($Z20),,,""CSE-Q""))"),140.0)</f>
        <v>140</v>
      </c>
      <c r="E20" s="16">
        <f t="shared" si="1"/>
        <v>86</v>
      </c>
    </row>
    <row r="21" ht="15.75" customHeight="1">
      <c r="A21" s="17">
        <v>16.0</v>
      </c>
      <c r="B21" s="15" t="s">
        <v>635</v>
      </c>
      <c r="C21" s="30" t="s">
        <v>636</v>
      </c>
      <c r="D21" s="12">
        <f>IFERROR(__xludf.DUMMYFUNCTION("IMPORTRANGE(""https://docs.google.com/spreadsheets/d/1pcI0H5_o88uChaoz3Jx8Lo2Z71zohG9q1pYbJLiJRZI/edit?gid=1349297439#gid=1349297439"", address(row($Z21),column($Z21),,,""CSE-Q""))"),114.0)</f>
        <v>114</v>
      </c>
      <c r="E21" s="16">
        <f t="shared" si="1"/>
        <v>70</v>
      </c>
    </row>
    <row r="22" ht="15.75" customHeight="1">
      <c r="A22" s="14">
        <v>17.0</v>
      </c>
      <c r="B22" s="15" t="s">
        <v>637</v>
      </c>
      <c r="C22" s="30" t="s">
        <v>638</v>
      </c>
      <c r="D22" s="12">
        <f>IFERROR(__xludf.DUMMYFUNCTION("IMPORTRANGE(""https://docs.google.com/spreadsheets/d/1pcI0H5_o88uChaoz3Jx8Lo2Z71zohG9q1pYbJLiJRZI/edit?gid=1349297439#gid=1349297439"", address(row($Z22),column($Z22),,,""CSE-Q""))"),79.0)</f>
        <v>79</v>
      </c>
      <c r="E22" s="16">
        <f t="shared" si="1"/>
        <v>49</v>
      </c>
    </row>
    <row r="23" ht="15.75" customHeight="1">
      <c r="A23" s="17">
        <v>18.0</v>
      </c>
      <c r="B23" s="15" t="s">
        <v>639</v>
      </c>
      <c r="C23" s="30" t="s">
        <v>640</v>
      </c>
      <c r="D23" s="12">
        <f>IFERROR(__xludf.DUMMYFUNCTION("IMPORTRANGE(""https://docs.google.com/spreadsheets/d/1pcI0H5_o88uChaoz3Jx8Lo2Z71zohG9q1pYbJLiJRZI/edit?gid=1349297439#gid=1349297439"", address(row($Z23),column($Z23),,,""CSE-Q""))"),111.0)</f>
        <v>111</v>
      </c>
      <c r="E23" s="16">
        <f t="shared" si="1"/>
        <v>69</v>
      </c>
    </row>
    <row r="24" ht="15.75" customHeight="1">
      <c r="A24" s="14">
        <v>19.0</v>
      </c>
      <c r="B24" s="15" t="s">
        <v>641</v>
      </c>
      <c r="C24" s="30" t="s">
        <v>642</v>
      </c>
      <c r="D24" s="12">
        <f>IFERROR(__xludf.DUMMYFUNCTION("IMPORTRANGE(""https://docs.google.com/spreadsheets/d/1pcI0H5_o88uChaoz3Jx8Lo2Z71zohG9q1pYbJLiJRZI/edit?gid=1349297439#gid=1349297439"", address(row($Z24),column($Z24),,,""CSE-Q""))"),154.0)</f>
        <v>154</v>
      </c>
      <c r="E24" s="16">
        <f t="shared" si="1"/>
        <v>95</v>
      </c>
    </row>
    <row r="25" ht="15.75" customHeight="1">
      <c r="A25" s="17">
        <v>20.0</v>
      </c>
      <c r="B25" s="15" t="s">
        <v>643</v>
      </c>
      <c r="C25" s="30" t="s">
        <v>644</v>
      </c>
      <c r="D25" s="12">
        <f>IFERROR(__xludf.DUMMYFUNCTION("IMPORTRANGE(""https://docs.google.com/spreadsheets/d/1pcI0H5_o88uChaoz3Jx8Lo2Z71zohG9q1pYbJLiJRZI/edit?gid=1349297439#gid=1349297439"", address(row($Z25),column($Z25),,,""CSE-Q""))"),133.0)</f>
        <v>133</v>
      </c>
      <c r="E25" s="16">
        <f t="shared" si="1"/>
        <v>82</v>
      </c>
    </row>
    <row r="26" ht="15.75" customHeight="1">
      <c r="A26" s="14">
        <v>21.0</v>
      </c>
      <c r="B26" s="15" t="s">
        <v>645</v>
      </c>
      <c r="C26" s="30" t="s">
        <v>646</v>
      </c>
      <c r="D26" s="12">
        <f>IFERROR(__xludf.DUMMYFUNCTION("IMPORTRANGE(""https://docs.google.com/spreadsheets/d/1pcI0H5_o88uChaoz3Jx8Lo2Z71zohG9q1pYbJLiJRZI/edit?gid=1349297439#gid=1349297439"", address(row($Z26),column($Z26),,,""CSE-Q""))"),137.0)</f>
        <v>137</v>
      </c>
      <c r="E26" s="16">
        <f t="shared" si="1"/>
        <v>85</v>
      </c>
    </row>
    <row r="27" ht="15.75" customHeight="1">
      <c r="A27" s="17">
        <v>22.0</v>
      </c>
      <c r="B27" s="15" t="s">
        <v>647</v>
      </c>
      <c r="C27" s="30" t="s">
        <v>648</v>
      </c>
      <c r="D27" s="12">
        <f>IFERROR(__xludf.DUMMYFUNCTION("IMPORTRANGE(""https://docs.google.com/spreadsheets/d/1pcI0H5_o88uChaoz3Jx8Lo2Z71zohG9q1pYbJLiJRZI/edit?gid=1349297439#gid=1349297439"", address(row($Z27),column($Z27),,,""CSE-Q""))"),95.0)</f>
        <v>95</v>
      </c>
      <c r="E27" s="16">
        <f t="shared" si="1"/>
        <v>59</v>
      </c>
    </row>
    <row r="28" ht="15.75" customHeight="1">
      <c r="A28" s="14">
        <v>23.0</v>
      </c>
      <c r="B28" s="15" t="s">
        <v>649</v>
      </c>
      <c r="C28" s="30" t="s">
        <v>650</v>
      </c>
      <c r="D28" s="12">
        <f>IFERROR(__xludf.DUMMYFUNCTION("IMPORTRANGE(""https://docs.google.com/spreadsheets/d/1pcI0H5_o88uChaoz3Jx8Lo2Z71zohG9q1pYbJLiJRZI/edit?gid=1349297439#gid=1349297439"", address(row($Z28),column($Z28),,,""CSE-Q""))"),118.0)</f>
        <v>118</v>
      </c>
      <c r="E28" s="16">
        <f t="shared" si="1"/>
        <v>73</v>
      </c>
    </row>
    <row r="29" ht="15.75" customHeight="1">
      <c r="A29" s="17">
        <v>24.0</v>
      </c>
      <c r="B29" s="15" t="s">
        <v>651</v>
      </c>
      <c r="C29" s="30" t="s">
        <v>652</v>
      </c>
      <c r="D29" s="12">
        <f>IFERROR(__xludf.DUMMYFUNCTION("IMPORTRANGE(""https://docs.google.com/spreadsheets/d/1pcI0H5_o88uChaoz3Jx8Lo2Z71zohG9q1pYbJLiJRZI/edit?gid=1349297439#gid=1349297439"", address(row($Z29),column($Z29),,,""CSE-Q""))"),129.0)</f>
        <v>129</v>
      </c>
      <c r="E29" s="16">
        <f t="shared" si="1"/>
        <v>80</v>
      </c>
    </row>
    <row r="30" ht="15.75" customHeight="1">
      <c r="A30" s="14">
        <v>25.0</v>
      </c>
      <c r="B30" s="15" t="s">
        <v>653</v>
      </c>
      <c r="C30" s="30" t="s">
        <v>654</v>
      </c>
      <c r="D30" s="12">
        <f>IFERROR(__xludf.DUMMYFUNCTION("IMPORTRANGE(""https://docs.google.com/spreadsheets/d/1pcI0H5_o88uChaoz3Jx8Lo2Z71zohG9q1pYbJLiJRZI/edit?gid=1349297439#gid=1349297439"", address(row($Z30),column($Z30),,,""CSE-Q""))"),110.0)</f>
        <v>110</v>
      </c>
      <c r="E30" s="16">
        <f t="shared" si="1"/>
        <v>68</v>
      </c>
    </row>
    <row r="31" ht="15.75" customHeight="1">
      <c r="A31" s="17">
        <v>26.0</v>
      </c>
      <c r="B31" s="15" t="s">
        <v>655</v>
      </c>
      <c r="C31" s="30" t="s">
        <v>656</v>
      </c>
      <c r="D31" s="12">
        <f>IFERROR(__xludf.DUMMYFUNCTION("IMPORTRANGE(""https://docs.google.com/spreadsheets/d/1pcI0H5_o88uChaoz3Jx8Lo2Z71zohG9q1pYbJLiJRZI/edit?gid=1349297439#gid=1349297439"", address(row($Z31),column($Z31),,,""CSE-Q""))"),103.0)</f>
        <v>103</v>
      </c>
      <c r="E31" s="16">
        <f t="shared" si="1"/>
        <v>64</v>
      </c>
    </row>
    <row r="32" ht="15.75" customHeight="1">
      <c r="A32" s="14">
        <v>27.0</v>
      </c>
      <c r="B32" s="15" t="s">
        <v>657</v>
      </c>
      <c r="C32" s="30" t="s">
        <v>658</v>
      </c>
      <c r="D32" s="12">
        <f>IFERROR(__xludf.DUMMYFUNCTION("IMPORTRANGE(""https://docs.google.com/spreadsheets/d/1pcI0H5_o88uChaoz3Jx8Lo2Z71zohG9q1pYbJLiJRZI/edit?gid=1349297439#gid=1349297439"", address(row($Z32),column($Z32),,,""CSE-Q""))"),121.0)</f>
        <v>121</v>
      </c>
      <c r="E32" s="16">
        <f t="shared" si="1"/>
        <v>75</v>
      </c>
    </row>
    <row r="33" ht="15.75" customHeight="1">
      <c r="A33" s="17">
        <v>28.0</v>
      </c>
      <c r="B33" s="15" t="s">
        <v>659</v>
      </c>
      <c r="C33" s="30" t="s">
        <v>660</v>
      </c>
      <c r="D33" s="12">
        <f>IFERROR(__xludf.DUMMYFUNCTION("IMPORTRANGE(""https://docs.google.com/spreadsheets/d/1pcI0H5_o88uChaoz3Jx8Lo2Z71zohG9q1pYbJLiJRZI/edit?gid=1349297439#gid=1349297439"", address(row($Z33),column($Z33),,,""CSE-Q""))"),140.0)</f>
        <v>140</v>
      </c>
      <c r="E33" s="16">
        <f t="shared" si="1"/>
        <v>86</v>
      </c>
    </row>
    <row r="34" ht="15.75" customHeight="1">
      <c r="A34" s="14">
        <v>29.0</v>
      </c>
      <c r="B34" s="15" t="s">
        <v>661</v>
      </c>
      <c r="C34" s="30" t="s">
        <v>662</v>
      </c>
      <c r="D34" s="12">
        <f>IFERROR(__xludf.DUMMYFUNCTION("IMPORTRANGE(""https://docs.google.com/spreadsheets/d/1pcI0H5_o88uChaoz3Jx8Lo2Z71zohG9q1pYbJLiJRZI/edit?gid=1349297439#gid=1349297439"", address(row($Z34),column($Z34),,,""CSE-Q""))"),130.0)</f>
        <v>130</v>
      </c>
      <c r="E34" s="16">
        <f t="shared" si="1"/>
        <v>80</v>
      </c>
    </row>
    <row r="35" ht="15.75" customHeight="1">
      <c r="A35" s="17">
        <v>30.0</v>
      </c>
      <c r="B35" s="15" t="s">
        <v>663</v>
      </c>
      <c r="C35" s="30" t="s">
        <v>664</v>
      </c>
      <c r="D35" s="12">
        <f>IFERROR(__xludf.DUMMYFUNCTION("IMPORTRANGE(""https://docs.google.com/spreadsheets/d/1pcI0H5_o88uChaoz3Jx8Lo2Z71zohG9q1pYbJLiJRZI/edit?gid=1349297439#gid=1349297439"", address(row($Z35),column($Z35),,,""CSE-Q""))"),98.0)</f>
        <v>98</v>
      </c>
      <c r="E35" s="16">
        <f t="shared" si="1"/>
        <v>60</v>
      </c>
    </row>
    <row r="36" ht="15.75" customHeight="1">
      <c r="A36" s="14">
        <v>31.0</v>
      </c>
      <c r="B36" s="15" t="s">
        <v>665</v>
      </c>
      <c r="C36" s="30" t="s">
        <v>666</v>
      </c>
      <c r="D36" s="12">
        <f>IFERROR(__xludf.DUMMYFUNCTION("IMPORTRANGE(""https://docs.google.com/spreadsheets/d/1pcI0H5_o88uChaoz3Jx8Lo2Z71zohG9q1pYbJLiJRZI/edit?gid=1349297439#gid=1349297439"", address(row($Z36),column($Z36),,,""CSE-Q""))"),140.0)</f>
        <v>140</v>
      </c>
      <c r="E36" s="16">
        <f t="shared" si="1"/>
        <v>86</v>
      </c>
    </row>
    <row r="37" ht="15.75" customHeight="1">
      <c r="A37" s="17">
        <v>32.0</v>
      </c>
      <c r="B37" s="15" t="s">
        <v>667</v>
      </c>
      <c r="C37" s="30" t="s">
        <v>668</v>
      </c>
      <c r="D37" s="12">
        <f>IFERROR(__xludf.DUMMYFUNCTION("IMPORTRANGE(""https://docs.google.com/spreadsheets/d/1pcI0H5_o88uChaoz3Jx8Lo2Z71zohG9q1pYbJLiJRZI/edit?gid=1349297439#gid=1349297439"", address(row($Z37),column($Z37),,,""CSE-Q""))"),94.0)</f>
        <v>94</v>
      </c>
      <c r="E37" s="16">
        <f t="shared" si="1"/>
        <v>58</v>
      </c>
    </row>
    <row r="38" ht="15.75" customHeight="1">
      <c r="A38" s="14">
        <v>33.0</v>
      </c>
      <c r="B38" s="15" t="s">
        <v>669</v>
      </c>
      <c r="C38" s="30" t="s">
        <v>670</v>
      </c>
      <c r="D38" s="12">
        <f>IFERROR(__xludf.DUMMYFUNCTION("IMPORTRANGE(""https://docs.google.com/spreadsheets/d/1pcI0H5_o88uChaoz3Jx8Lo2Z71zohG9q1pYbJLiJRZI/edit?gid=1349297439#gid=1349297439"", address(row($Z38),column($Z38),,,""CSE-Q""))"),130.0)</f>
        <v>130</v>
      </c>
      <c r="E38" s="16">
        <f t="shared" si="1"/>
        <v>80</v>
      </c>
    </row>
    <row r="39" ht="15.75" customHeight="1">
      <c r="A39" s="17">
        <v>34.0</v>
      </c>
      <c r="B39" s="15" t="s">
        <v>671</v>
      </c>
      <c r="C39" s="30" t="s">
        <v>672</v>
      </c>
      <c r="D39" s="12">
        <f>IFERROR(__xludf.DUMMYFUNCTION("IMPORTRANGE(""https://docs.google.com/spreadsheets/d/1pcI0H5_o88uChaoz3Jx8Lo2Z71zohG9q1pYbJLiJRZI/edit?gid=1349297439#gid=1349297439"", address(row($Z39),column($Z39),,,""CSE-Q""))"),138.0)</f>
        <v>138</v>
      </c>
      <c r="E39" s="16">
        <f t="shared" si="1"/>
        <v>85</v>
      </c>
    </row>
    <row r="40" ht="15.75" customHeight="1">
      <c r="A40" s="14">
        <v>35.0</v>
      </c>
      <c r="B40" s="15" t="s">
        <v>673</v>
      </c>
      <c r="C40" s="30" t="s">
        <v>674</v>
      </c>
      <c r="D40" s="12">
        <f>IFERROR(__xludf.DUMMYFUNCTION("IMPORTRANGE(""https://docs.google.com/spreadsheets/d/1pcI0H5_o88uChaoz3Jx8Lo2Z71zohG9q1pYbJLiJRZI/edit?gid=1349297439#gid=1349297439"", address(row($Z40),column($Z40),,,""CSE-Q""))"),127.0)</f>
        <v>127</v>
      </c>
      <c r="E40" s="16">
        <f t="shared" si="1"/>
        <v>78</v>
      </c>
    </row>
    <row r="41" ht="15.75" customHeight="1">
      <c r="A41" s="17">
        <v>36.0</v>
      </c>
      <c r="B41" s="15" t="s">
        <v>675</v>
      </c>
      <c r="C41" s="30" t="s">
        <v>676</v>
      </c>
      <c r="D41" s="12">
        <f>IFERROR(__xludf.DUMMYFUNCTION("IMPORTRANGE(""https://docs.google.com/spreadsheets/d/1pcI0H5_o88uChaoz3Jx8Lo2Z71zohG9q1pYbJLiJRZI/edit?gid=1349297439#gid=1349297439"", address(row($Z41),column($Z41),,,""CSE-Q""))"),139.0)</f>
        <v>139</v>
      </c>
      <c r="E41" s="16">
        <f t="shared" si="1"/>
        <v>86</v>
      </c>
    </row>
    <row r="42" ht="15.75" customHeight="1">
      <c r="A42" s="14">
        <v>37.0</v>
      </c>
      <c r="B42" s="15" t="s">
        <v>677</v>
      </c>
      <c r="C42" s="30" t="s">
        <v>678</v>
      </c>
      <c r="D42" s="12">
        <f>IFERROR(__xludf.DUMMYFUNCTION("IMPORTRANGE(""https://docs.google.com/spreadsheets/d/1pcI0H5_o88uChaoz3Jx8Lo2Z71zohG9q1pYbJLiJRZI/edit?gid=1349297439#gid=1349297439"", address(row($Z42),column($Z42),,,""CSE-Q""))"),116.0)</f>
        <v>116</v>
      </c>
      <c r="E42" s="16">
        <f t="shared" si="1"/>
        <v>72</v>
      </c>
    </row>
    <row r="43" ht="15.75" customHeight="1">
      <c r="A43" s="17">
        <v>38.0</v>
      </c>
      <c r="B43" s="15" t="s">
        <v>679</v>
      </c>
      <c r="C43" s="30" t="s">
        <v>680</v>
      </c>
      <c r="D43" s="12">
        <f>IFERROR(__xludf.DUMMYFUNCTION("IMPORTRANGE(""https://docs.google.com/spreadsheets/d/1pcI0H5_o88uChaoz3Jx8Lo2Z71zohG9q1pYbJLiJRZI/edit?gid=1349297439#gid=1349297439"", address(row($Z43),column($Z43),,,""CSE-Q""))"),140.0)</f>
        <v>140</v>
      </c>
      <c r="E43" s="16">
        <f t="shared" si="1"/>
        <v>86</v>
      </c>
    </row>
    <row r="44" ht="15.75" customHeight="1">
      <c r="A44" s="14">
        <v>39.0</v>
      </c>
      <c r="B44" s="15" t="s">
        <v>681</v>
      </c>
      <c r="C44" s="30" t="s">
        <v>682</v>
      </c>
      <c r="D44" s="12">
        <f>IFERROR(__xludf.DUMMYFUNCTION("IMPORTRANGE(""https://docs.google.com/spreadsheets/d/1pcI0H5_o88uChaoz3Jx8Lo2Z71zohG9q1pYbJLiJRZI/edit?gid=1349297439#gid=1349297439"", address(row($Z44),column($Z44),,,""CSE-Q""))"),140.0)</f>
        <v>140</v>
      </c>
      <c r="E44" s="16">
        <f t="shared" si="1"/>
        <v>86</v>
      </c>
    </row>
    <row r="45" ht="15.75" customHeight="1">
      <c r="A45" s="17">
        <v>40.0</v>
      </c>
      <c r="B45" s="15" t="s">
        <v>683</v>
      </c>
      <c r="C45" s="30" t="s">
        <v>684</v>
      </c>
      <c r="D45" s="12">
        <f>IFERROR(__xludf.DUMMYFUNCTION("IMPORTRANGE(""https://docs.google.com/spreadsheets/d/1pcI0H5_o88uChaoz3Jx8Lo2Z71zohG9q1pYbJLiJRZI/edit?gid=1349297439#gid=1349297439"", address(row($Z45),column($Z45),,,""CSE-Q""))"),100.0)</f>
        <v>100</v>
      </c>
      <c r="E45" s="16">
        <f t="shared" si="1"/>
        <v>62</v>
      </c>
    </row>
    <row r="46" ht="15.75" customHeight="1">
      <c r="A46" s="14">
        <v>41.0</v>
      </c>
      <c r="B46" s="15" t="s">
        <v>685</v>
      </c>
      <c r="C46" s="30" t="s">
        <v>686</v>
      </c>
      <c r="D46" s="12">
        <f>IFERROR(__xludf.DUMMYFUNCTION("IMPORTRANGE(""https://docs.google.com/spreadsheets/d/1pcI0H5_o88uChaoz3Jx8Lo2Z71zohG9q1pYbJLiJRZI/edit?gid=1349297439#gid=1349297439"", address(row($Z46),column($Z46),,,""CSE-Q""))"),113.0)</f>
        <v>113</v>
      </c>
      <c r="E46" s="16">
        <f t="shared" si="1"/>
        <v>70</v>
      </c>
    </row>
    <row r="47" ht="15.75" customHeight="1">
      <c r="A47" s="17">
        <v>42.0</v>
      </c>
      <c r="B47" s="15" t="s">
        <v>687</v>
      </c>
      <c r="C47" s="30" t="s">
        <v>688</v>
      </c>
      <c r="D47" s="12">
        <f>IFERROR(__xludf.DUMMYFUNCTION("IMPORTRANGE(""https://docs.google.com/spreadsheets/d/1pcI0H5_o88uChaoz3Jx8Lo2Z71zohG9q1pYbJLiJRZI/edit?gid=1349297439#gid=1349297439"", address(row($Z47),column($Z47),,,""CSE-Q""))"),115.0)</f>
        <v>115</v>
      </c>
      <c r="E47" s="16">
        <f t="shared" si="1"/>
        <v>71</v>
      </c>
    </row>
    <row r="48" ht="15.75" customHeight="1">
      <c r="A48" s="14">
        <v>43.0</v>
      </c>
      <c r="B48" s="15" t="s">
        <v>689</v>
      </c>
      <c r="C48" s="30" t="s">
        <v>690</v>
      </c>
      <c r="D48" s="12">
        <f>IFERROR(__xludf.DUMMYFUNCTION("IMPORTRANGE(""https://docs.google.com/spreadsheets/d/1pcI0H5_o88uChaoz3Jx8Lo2Z71zohG9q1pYbJLiJRZI/edit?gid=1349297439#gid=1349297439"", address(row($Z48),column($Z48),,,""CSE-Q""))"),145.0)</f>
        <v>145</v>
      </c>
      <c r="E48" s="16">
        <f t="shared" si="1"/>
        <v>90</v>
      </c>
    </row>
    <row r="49" ht="15.75" customHeight="1">
      <c r="A49" s="17">
        <v>44.0</v>
      </c>
      <c r="B49" s="15" t="s">
        <v>691</v>
      </c>
      <c r="C49" s="30" t="s">
        <v>692</v>
      </c>
      <c r="D49" s="12">
        <f>IFERROR(__xludf.DUMMYFUNCTION("IMPORTRANGE(""https://docs.google.com/spreadsheets/d/1pcI0H5_o88uChaoz3Jx8Lo2Z71zohG9q1pYbJLiJRZI/edit?gid=1349297439#gid=1349297439"", address(row($Z49),column($Z49),,,""CSE-Q""))"),77.0)</f>
        <v>77</v>
      </c>
      <c r="E49" s="16">
        <f t="shared" si="1"/>
        <v>48</v>
      </c>
    </row>
    <row r="50" ht="15.75" customHeight="1">
      <c r="A50" s="14">
        <v>45.0</v>
      </c>
      <c r="B50" s="15" t="s">
        <v>693</v>
      </c>
      <c r="C50" s="30" t="s">
        <v>694</v>
      </c>
      <c r="D50" s="12">
        <f>IFERROR(__xludf.DUMMYFUNCTION("IMPORTRANGE(""https://docs.google.com/spreadsheets/d/1pcI0H5_o88uChaoz3Jx8Lo2Z71zohG9q1pYbJLiJRZI/edit?gid=1349297439#gid=1349297439"", address(row($Z50),column($Z50),,,""CSE-Q""))"),123.0)</f>
        <v>123</v>
      </c>
      <c r="E50" s="16">
        <f t="shared" si="1"/>
        <v>76</v>
      </c>
    </row>
    <row r="51" ht="15.75" customHeight="1">
      <c r="A51" s="17">
        <v>46.0</v>
      </c>
      <c r="B51" s="15" t="s">
        <v>695</v>
      </c>
      <c r="C51" s="30" t="s">
        <v>696</v>
      </c>
      <c r="D51" s="12">
        <f>IFERROR(__xludf.DUMMYFUNCTION("IMPORTRANGE(""https://docs.google.com/spreadsheets/d/1pcI0H5_o88uChaoz3Jx8Lo2Z71zohG9q1pYbJLiJRZI/edit?gid=1349297439#gid=1349297439"", address(row($Z51),column($Z51),,,""CSE-Q""))"),140.0)</f>
        <v>140</v>
      </c>
      <c r="E51" s="16">
        <f t="shared" si="1"/>
        <v>86</v>
      </c>
    </row>
    <row r="52" ht="15.75" customHeight="1">
      <c r="A52" s="14">
        <v>47.0</v>
      </c>
      <c r="B52" s="15" t="s">
        <v>697</v>
      </c>
      <c r="C52" s="30" t="s">
        <v>698</v>
      </c>
      <c r="D52" s="12">
        <f>IFERROR(__xludf.DUMMYFUNCTION("IMPORTRANGE(""https://docs.google.com/spreadsheets/d/1pcI0H5_o88uChaoz3Jx8Lo2Z71zohG9q1pYbJLiJRZI/edit?gid=1349297439#gid=1349297439"", address(row($Z52),column($Z52),,,""CSE-Q""))"),107.0)</f>
        <v>107</v>
      </c>
      <c r="E52" s="16">
        <f t="shared" si="1"/>
        <v>66</v>
      </c>
    </row>
    <row r="53" ht="15.75" customHeight="1">
      <c r="A53" s="17">
        <v>48.0</v>
      </c>
      <c r="B53" s="15" t="s">
        <v>699</v>
      </c>
      <c r="C53" s="30" t="s">
        <v>700</v>
      </c>
      <c r="D53" s="12">
        <f>IFERROR(__xludf.DUMMYFUNCTION("IMPORTRANGE(""https://docs.google.com/spreadsheets/d/1pcI0H5_o88uChaoz3Jx8Lo2Z71zohG9q1pYbJLiJRZI/edit?gid=1349297439#gid=1349297439"", address(row($Z53),column($Z53),,,""CSE-Q""))"),124.0)</f>
        <v>124</v>
      </c>
      <c r="E53" s="16">
        <f t="shared" si="1"/>
        <v>77</v>
      </c>
    </row>
    <row r="54" ht="15.75" customHeight="1">
      <c r="A54" s="14">
        <v>49.0</v>
      </c>
      <c r="B54" s="15" t="s">
        <v>701</v>
      </c>
      <c r="C54" s="30" t="s">
        <v>702</v>
      </c>
      <c r="D54" s="12">
        <f>IFERROR(__xludf.DUMMYFUNCTION("IMPORTRANGE(""https://docs.google.com/spreadsheets/d/1pcI0H5_o88uChaoz3Jx8Lo2Z71zohG9q1pYbJLiJRZI/edit?gid=1349297439#gid=1349297439"", address(row($Z54),column($Z54),,,""CSE-Q""))"),84.0)</f>
        <v>84</v>
      </c>
      <c r="E54" s="16">
        <f t="shared" si="1"/>
        <v>52</v>
      </c>
    </row>
    <row r="55" ht="15.75" customHeight="1">
      <c r="A55" s="17">
        <v>50.0</v>
      </c>
      <c r="B55" s="15" t="s">
        <v>703</v>
      </c>
      <c r="C55" s="30" t="s">
        <v>704</v>
      </c>
      <c r="D55" s="12">
        <f>IFERROR(__xludf.DUMMYFUNCTION("IMPORTRANGE(""https://docs.google.com/spreadsheets/d/1pcI0H5_o88uChaoz3Jx8Lo2Z71zohG9q1pYbJLiJRZI/edit?gid=1349297439#gid=1349297439"", address(row($Z55),column($Z55),,,""CSE-Q""))"),134.0)</f>
        <v>134</v>
      </c>
      <c r="E55" s="16">
        <f t="shared" si="1"/>
        <v>83</v>
      </c>
    </row>
    <row r="56" ht="15.75" customHeight="1">
      <c r="A56" s="14">
        <v>51.0</v>
      </c>
      <c r="B56" s="15" t="s">
        <v>705</v>
      </c>
      <c r="C56" s="30" t="s">
        <v>706</v>
      </c>
      <c r="D56" s="12">
        <f>IFERROR(__xludf.DUMMYFUNCTION("IMPORTRANGE(""https://docs.google.com/spreadsheets/d/1pcI0H5_o88uChaoz3Jx8Lo2Z71zohG9q1pYbJLiJRZI/edit?gid=1349297439#gid=1349297439"", address(row($Z56),column($Z56),,,""CSE-Q""))"),148.0)</f>
        <v>148</v>
      </c>
      <c r="E56" s="16">
        <f t="shared" si="1"/>
        <v>91</v>
      </c>
    </row>
    <row r="57" ht="15.75" customHeight="1">
      <c r="A57" s="17">
        <v>52.0</v>
      </c>
      <c r="B57" s="15" t="s">
        <v>707</v>
      </c>
      <c r="C57" s="30" t="s">
        <v>708</v>
      </c>
      <c r="D57" s="12">
        <f>IFERROR(__xludf.DUMMYFUNCTION("IMPORTRANGE(""https://docs.google.com/spreadsheets/d/1pcI0H5_o88uChaoz3Jx8Lo2Z71zohG9q1pYbJLiJRZI/edit?gid=1349297439#gid=1349297439"", address(row($Z57),column($Z57),,,""CSE-Q""))"),134.0)</f>
        <v>134</v>
      </c>
      <c r="E57" s="16">
        <f t="shared" si="1"/>
        <v>83</v>
      </c>
    </row>
    <row r="58" ht="15.75" customHeight="1">
      <c r="A58" s="14">
        <v>53.0</v>
      </c>
      <c r="B58" s="15" t="s">
        <v>709</v>
      </c>
      <c r="C58" s="30" t="s">
        <v>710</v>
      </c>
      <c r="D58" s="12">
        <f>IFERROR(__xludf.DUMMYFUNCTION("IMPORTRANGE(""https://docs.google.com/spreadsheets/d/1pcI0H5_o88uChaoz3Jx8Lo2Z71zohG9q1pYbJLiJRZI/edit?gid=1349297439#gid=1349297439"", address(row($Z58),column($Z58),,,""CSE-Q""))"),100.0)</f>
        <v>100</v>
      </c>
      <c r="E58" s="16">
        <f t="shared" si="1"/>
        <v>62</v>
      </c>
    </row>
    <row r="59" ht="15.75" customHeight="1">
      <c r="A59" s="17">
        <v>54.0</v>
      </c>
      <c r="B59" s="15" t="s">
        <v>711</v>
      </c>
      <c r="C59" s="30" t="s">
        <v>712</v>
      </c>
      <c r="D59" s="12">
        <f>IFERROR(__xludf.DUMMYFUNCTION("IMPORTRANGE(""https://docs.google.com/spreadsheets/d/1pcI0H5_o88uChaoz3Jx8Lo2Z71zohG9q1pYbJLiJRZI/edit?gid=1349297439#gid=1349297439"", address(row($Z59),column($Z59),,,""CSE-Q""))"),89.0)</f>
        <v>89</v>
      </c>
      <c r="E59" s="16">
        <f t="shared" si="1"/>
        <v>55</v>
      </c>
    </row>
    <row r="60" ht="15.75" customHeight="1">
      <c r="A60" s="14">
        <v>55.0</v>
      </c>
      <c r="B60" s="15" t="s">
        <v>713</v>
      </c>
      <c r="C60" s="30" t="s">
        <v>714</v>
      </c>
      <c r="D60" s="12">
        <f>IFERROR(__xludf.DUMMYFUNCTION("IMPORTRANGE(""https://docs.google.com/spreadsheets/d/1pcI0H5_o88uChaoz3Jx8Lo2Z71zohG9q1pYbJLiJRZI/edit?gid=1349297439#gid=1349297439"", address(row($Z60),column($Z60),,,""CSE-Q""))"),132.0)</f>
        <v>132</v>
      </c>
      <c r="E60" s="16">
        <f t="shared" si="1"/>
        <v>81</v>
      </c>
    </row>
    <row r="61" ht="15.75" customHeight="1">
      <c r="A61" s="17">
        <v>56.0</v>
      </c>
      <c r="B61" s="15" t="s">
        <v>715</v>
      </c>
      <c r="C61" s="30" t="s">
        <v>716</v>
      </c>
      <c r="D61" s="12">
        <f>IFERROR(__xludf.DUMMYFUNCTION("IMPORTRANGE(""https://docs.google.com/spreadsheets/d/1pcI0H5_o88uChaoz3Jx8Lo2Z71zohG9q1pYbJLiJRZI/edit?gid=1349297439#gid=1349297439"", address(row($Z61),column($Z61),,,""CSE-Q""))"),132.0)</f>
        <v>132</v>
      </c>
      <c r="E61" s="16">
        <f t="shared" si="1"/>
        <v>81</v>
      </c>
    </row>
    <row r="62" ht="15.75" customHeight="1">
      <c r="A62" s="14">
        <v>57.0</v>
      </c>
      <c r="B62" s="15" t="s">
        <v>717</v>
      </c>
      <c r="C62" s="30" t="s">
        <v>718</v>
      </c>
      <c r="D62" s="12">
        <f>IFERROR(__xludf.DUMMYFUNCTION("IMPORTRANGE(""https://docs.google.com/spreadsheets/d/1pcI0H5_o88uChaoz3Jx8Lo2Z71zohG9q1pYbJLiJRZI/edit?gid=1349297439#gid=1349297439"", address(row($Z62),column($Z62),,,""CSE-Q""))"),133.0)</f>
        <v>133</v>
      </c>
      <c r="E62" s="16">
        <f t="shared" si="1"/>
        <v>82</v>
      </c>
    </row>
    <row r="63" ht="15.75" customHeight="1">
      <c r="A63" s="17">
        <v>58.0</v>
      </c>
      <c r="B63" s="18"/>
      <c r="C63" s="30" t="s">
        <v>719</v>
      </c>
      <c r="D63" s="12">
        <f>IFERROR(__xludf.DUMMYFUNCTION("IMPORTRANGE(""https://docs.google.com/spreadsheets/d/1pcI0H5_o88uChaoz3Jx8Lo2Z71zohG9q1pYbJLiJRZI/edit?gid=1349297439#gid=1349297439"", address(row($Z63),column($Z63),,,""CSE-Q""))"),64.0)</f>
        <v>64</v>
      </c>
      <c r="E63" s="16">
        <f t="shared" si="1"/>
        <v>40</v>
      </c>
    </row>
    <row r="64" ht="15.75" customHeight="1">
      <c r="A64" s="14">
        <v>59.0</v>
      </c>
      <c r="B64" s="18"/>
      <c r="C64" s="30" t="s">
        <v>720</v>
      </c>
      <c r="D64" s="12">
        <f>IFERROR(__xludf.DUMMYFUNCTION("IMPORTRANGE(""https://docs.google.com/spreadsheets/d/1pcI0H5_o88uChaoz3Jx8Lo2Z71zohG9q1pYbJLiJRZI/edit?gid=1349297439#gid=1349297439"", address(row($Z64),column($Z64),,,""CSE-Q""))"),115.0)</f>
        <v>115</v>
      </c>
      <c r="E64" s="16">
        <f t="shared" si="1"/>
        <v>71</v>
      </c>
    </row>
    <row r="65" ht="15.75" customHeight="1">
      <c r="A65" s="17">
        <v>60.0</v>
      </c>
      <c r="B65" s="18"/>
      <c r="C65" s="30" t="s">
        <v>721</v>
      </c>
      <c r="D65" s="12">
        <f>IFERROR(__xludf.DUMMYFUNCTION("IMPORTRANGE(""https://docs.google.com/spreadsheets/d/1pcI0H5_o88uChaoz3Jx8Lo2Z71zohG9q1pYbJLiJRZI/edit?gid=1349297439#gid=1349297439"", address(row($Z65),column($Z65),,,""CSE-Q""))"),57.0)</f>
        <v>57</v>
      </c>
      <c r="E65" s="16">
        <f t="shared" si="1"/>
        <v>35</v>
      </c>
    </row>
    <row r="66" ht="15.75" customHeight="1">
      <c r="A66" s="14">
        <v>61.0</v>
      </c>
      <c r="B66" s="18"/>
      <c r="C66" s="30" t="s">
        <v>722</v>
      </c>
      <c r="D66" s="12">
        <f>IFERROR(__xludf.DUMMYFUNCTION("IMPORTRANGE(""https://docs.google.com/spreadsheets/d/1pcI0H5_o88uChaoz3Jx8Lo2Z71zohG9q1pYbJLiJRZI/edit?gid=1349297439#gid=1349297439"", address(row($Z66),column($Z66),,,""CSE-Q""))"),93.0)</f>
        <v>93</v>
      </c>
      <c r="E66" s="16">
        <f t="shared" si="1"/>
        <v>57</v>
      </c>
    </row>
    <row r="67" ht="15.75" customHeight="1">
      <c r="A67" s="17">
        <v>62.0</v>
      </c>
      <c r="B67" s="18"/>
      <c r="C67" s="30" t="s">
        <v>723</v>
      </c>
      <c r="D67" s="12">
        <f>IFERROR(__xludf.DUMMYFUNCTION("IMPORTRANGE(""https://docs.google.com/spreadsheets/d/1pcI0H5_o88uChaoz3Jx8Lo2Z71zohG9q1pYbJLiJRZI/edit?gid=1349297439#gid=1349297439"", address(row($Z67),column($Z67),,,""CSE-Q""))"),68.0)</f>
        <v>68</v>
      </c>
      <c r="E67" s="16">
        <f t="shared" si="1"/>
        <v>42</v>
      </c>
    </row>
    <row r="68" ht="15.75" customHeight="1">
      <c r="A68" s="14">
        <v>63.0</v>
      </c>
      <c r="B68" s="18"/>
      <c r="C68" s="30" t="s">
        <v>724</v>
      </c>
      <c r="D68" s="12">
        <f>IFERROR(__xludf.DUMMYFUNCTION("IMPORTRANGE(""https://docs.google.com/spreadsheets/d/1pcI0H5_o88uChaoz3Jx8Lo2Z71zohG9q1pYbJLiJRZI/edit?gid=1349297439#gid=1349297439"", address(row($Z68),column($Z68),,,""CSE-Q""))"),74.0)</f>
        <v>74</v>
      </c>
      <c r="E68" s="16">
        <f t="shared" si="1"/>
        <v>46</v>
      </c>
    </row>
    <row r="69" ht="15.75" customHeight="1">
      <c r="A69" s="17">
        <v>64.0</v>
      </c>
      <c r="B69" s="18"/>
      <c r="C69" s="30" t="s">
        <v>725</v>
      </c>
      <c r="D69" s="12">
        <f>IFERROR(__xludf.DUMMYFUNCTION("IMPORTRANGE(""https://docs.google.com/spreadsheets/d/1pcI0H5_o88uChaoz3Jx8Lo2Z71zohG9q1pYbJLiJRZI/edit?gid=1349297439#gid=1349297439"", address(row($Z69),column($Z69),,,""CSE-Q""))"),38.0)</f>
        <v>38</v>
      </c>
      <c r="E69" s="16">
        <f t="shared" si="1"/>
        <v>23</v>
      </c>
    </row>
    <row r="70" ht="15.0" customHeight="1">
      <c r="A70" s="14">
        <v>65.0</v>
      </c>
      <c r="B70" s="18"/>
      <c r="C70" s="30" t="s">
        <v>726</v>
      </c>
      <c r="D70" s="12">
        <f>IFERROR(__xludf.DUMMYFUNCTION("IMPORTRANGE(""https://docs.google.com/spreadsheets/d/1pcI0H5_o88uChaoz3Jx8Lo2Z71zohG9q1pYbJLiJRZI/edit?gid=1349297439#gid=1349297439"", address(row($Z70),column($Z70),,,""CSE-Q""))"),87.0)</f>
        <v>87</v>
      </c>
      <c r="E70" s="16">
        <f t="shared" si="1"/>
        <v>54</v>
      </c>
    </row>
    <row r="71" ht="15.0" customHeight="1">
      <c r="A71" s="17">
        <v>66.0</v>
      </c>
      <c r="B71" s="18"/>
      <c r="C71" s="30" t="s">
        <v>727</v>
      </c>
      <c r="D71" s="12">
        <f>IFERROR(__xludf.DUMMYFUNCTION("IMPORTRANGE(""https://docs.google.com/spreadsheets/d/1pcI0H5_o88uChaoz3Jx8Lo2Z71zohG9q1pYbJLiJRZI/edit?gid=1349297439#gid=1349297439"", address(row($Z71),column($Z71),,,""CSE-Q""))"),113.0)</f>
        <v>113</v>
      </c>
      <c r="E71" s="16">
        <f t="shared" si="1"/>
        <v>70</v>
      </c>
    </row>
    <row r="72" ht="15.75" customHeight="1">
      <c r="A72" s="14">
        <v>67.0</v>
      </c>
      <c r="B72" s="18"/>
      <c r="C72" s="30" t="s">
        <v>728</v>
      </c>
      <c r="D72" s="12">
        <f>IFERROR(__xludf.DUMMYFUNCTION("IMPORTRANGE(""https://docs.google.com/spreadsheets/d/1pcI0H5_o88uChaoz3Jx8Lo2Z71zohG9q1pYbJLiJRZI/edit?gid=1349297439#gid=1349297439"", address(row($Z72),column($Z72),,,""CSE-Q""))"),74.0)</f>
        <v>74</v>
      </c>
      <c r="E72" s="16">
        <f t="shared" si="1"/>
        <v>46</v>
      </c>
    </row>
    <row r="73" ht="15.75" customHeight="1">
      <c r="A73" s="17">
        <v>68.0</v>
      </c>
      <c r="B73" s="18"/>
      <c r="C73" s="30" t="s">
        <v>729</v>
      </c>
      <c r="D73" s="12">
        <f>IFERROR(__xludf.DUMMYFUNCTION("IMPORTRANGE(""https://docs.google.com/spreadsheets/d/1pcI0H5_o88uChaoz3Jx8Lo2Z71zohG9q1pYbJLiJRZI/edit?gid=1349297439#gid=1349297439"", address(row($Z73),column($Z73),,,""CSE-Q""))"),118.0)</f>
        <v>118</v>
      </c>
      <c r="E73" s="16">
        <f t="shared" si="1"/>
        <v>73</v>
      </c>
    </row>
    <row r="74" ht="15.75" customHeight="1">
      <c r="A74" s="14">
        <v>69.0</v>
      </c>
      <c r="B74" s="18"/>
      <c r="C74" s="30" t="s">
        <v>730</v>
      </c>
      <c r="D74" s="12">
        <f>IFERROR(__xludf.DUMMYFUNCTION("IMPORTRANGE(""https://docs.google.com/spreadsheets/d/1pcI0H5_o88uChaoz3Jx8Lo2Z71zohG9q1pYbJLiJRZI/edit?gid=1349297439#gid=1349297439"", address(row($Z74),column($Z74),,,""CSE-Q""))"),103.0)</f>
        <v>103</v>
      </c>
      <c r="E74" s="16">
        <f t="shared" si="1"/>
        <v>64</v>
      </c>
    </row>
    <row r="75" ht="15.75" customHeight="1">
      <c r="A75" s="17">
        <v>70.0</v>
      </c>
      <c r="B75" s="18"/>
      <c r="C75" s="30" t="s">
        <v>731</v>
      </c>
      <c r="D75" s="12">
        <f>IFERROR(__xludf.DUMMYFUNCTION("IMPORTRANGE(""https://docs.google.com/spreadsheets/d/1pcI0H5_o88uChaoz3Jx8Lo2Z71zohG9q1pYbJLiJRZI/edit?gid=1349297439#gid=1349297439"", address(row($Z75),column($Z75),,,""CSE-Q""))"),77.0)</f>
        <v>77</v>
      </c>
      <c r="E75" s="16">
        <f t="shared" si="1"/>
        <v>48</v>
      </c>
    </row>
    <row r="76" ht="15.75" customHeight="1">
      <c r="A76" s="14">
        <v>71.0</v>
      </c>
      <c r="B76" s="18"/>
      <c r="C76" s="30" t="s">
        <v>732</v>
      </c>
      <c r="D76" s="12">
        <f>IFERROR(__xludf.DUMMYFUNCTION("IMPORTRANGE(""https://docs.google.com/spreadsheets/d/1pcI0H5_o88uChaoz3Jx8Lo2Z71zohG9q1pYbJLiJRZI/edit?gid=1349297439#gid=1349297439"", address(row($Z76),column($Z76),,,""CSE-Q""))"),102.0)</f>
        <v>102</v>
      </c>
      <c r="E76" s="16">
        <f t="shared" si="1"/>
        <v>63</v>
      </c>
    </row>
    <row r="77" ht="15.75" customHeight="1">
      <c r="A77" s="17">
        <v>72.0</v>
      </c>
      <c r="B77" s="18"/>
      <c r="C77" s="30" t="s">
        <v>733</v>
      </c>
      <c r="D77" s="12">
        <f>IFERROR(__xludf.DUMMYFUNCTION("IMPORTRANGE(""https://docs.google.com/spreadsheets/d/1pcI0H5_o88uChaoz3Jx8Lo2Z71zohG9q1pYbJLiJRZI/edit?gid=1349297439#gid=1349297439"", address(row($Z77),column($Z77),,,""CSE-Q""))"),93.0)</f>
        <v>93</v>
      </c>
      <c r="E77" s="16">
        <f t="shared" si="1"/>
        <v>57</v>
      </c>
    </row>
    <row r="78" ht="15.75" customHeight="1">
      <c r="A78" s="14">
        <v>73.0</v>
      </c>
      <c r="B78" s="18"/>
      <c r="C78" s="30" t="s">
        <v>734</v>
      </c>
      <c r="D78" s="12">
        <f>IFERROR(__xludf.DUMMYFUNCTION("IMPORTRANGE(""https://docs.google.com/spreadsheets/d/1pcI0H5_o88uChaoz3Jx8Lo2Z71zohG9q1pYbJLiJRZI/edit?gid=1349297439#gid=1349297439"", address(row($Z78),column($Z78),,,""CSE-Q""))"),102.0)</f>
        <v>102</v>
      </c>
      <c r="E78" s="16">
        <f t="shared" si="1"/>
        <v>63</v>
      </c>
    </row>
    <row r="79" ht="15.75" customHeight="1">
      <c r="A79" s="17">
        <v>74.0</v>
      </c>
      <c r="B79" s="18"/>
      <c r="C79" s="30" t="s">
        <v>735</v>
      </c>
      <c r="D79" s="12">
        <f>IFERROR(__xludf.DUMMYFUNCTION("IMPORTRANGE(""https://docs.google.com/spreadsheets/d/1pcI0H5_o88uChaoz3Jx8Lo2Z71zohG9q1pYbJLiJRZI/edit?gid=1349297439#gid=1349297439"", address(row($Z79),column($Z79),,,""CSE-Q""))"),112.0)</f>
        <v>112</v>
      </c>
      <c r="E79" s="16">
        <f t="shared" si="1"/>
        <v>69</v>
      </c>
    </row>
    <row r="80" ht="15.75" customHeight="1"/>
    <row r="81" ht="15.75" customHeight="1">
      <c r="B81" s="19" t="s">
        <v>736</v>
      </c>
      <c r="C81" s="11"/>
    </row>
    <row r="82" ht="15.75" customHeight="1">
      <c r="B82" s="20" t="s">
        <v>157</v>
      </c>
      <c r="C82" s="21">
        <f>COUNTIF(E6:E79,"&gt;=75")</f>
        <v>28</v>
      </c>
    </row>
    <row r="83" ht="15.75" customHeight="1">
      <c r="B83" s="20" t="s">
        <v>158</v>
      </c>
      <c r="C83" s="21">
        <f>COUNTIFS(E6:E79,"&gt;=65",E6:E79,"&lt;75")</f>
        <v>18</v>
      </c>
    </row>
    <row r="84" ht="15.75" customHeight="1">
      <c r="B84" s="20" t="s">
        <v>159</v>
      </c>
      <c r="C84" s="21">
        <f>COUNTIFS(E6:E79,"&gt;=50",E6:E79,"&lt;65")</f>
        <v>17</v>
      </c>
    </row>
    <row r="85" ht="15.75" customHeight="1">
      <c r="B85" s="20" t="s">
        <v>160</v>
      </c>
      <c r="C85" s="21">
        <f>COUNTIFS(E6:E79,"&gt;=25",E6:E79,"&lt;50")</f>
        <v>10</v>
      </c>
    </row>
    <row r="86" ht="15.75" customHeight="1">
      <c r="B86" s="20" t="s">
        <v>161</v>
      </c>
      <c r="C86" s="21">
        <f>COUNTIFS(E6:E79,"&gt;=1",E6:E79,"&lt;25")</f>
        <v>1</v>
      </c>
    </row>
    <row r="87" ht="15.75" customHeight="1">
      <c r="B87" s="20">
        <f>0</f>
        <v>0</v>
      </c>
      <c r="C87" s="22">
        <f>COUNTIFS(E6:E79,"=0")</f>
        <v>0</v>
      </c>
    </row>
    <row r="88" ht="15.75" customHeight="1">
      <c r="B88" s="23"/>
      <c r="C88" s="24">
        <f>SUM(C82:C87)</f>
        <v>74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E1"/>
    <mergeCell ref="A2:E2"/>
    <mergeCell ref="A3:E3"/>
    <mergeCell ref="A5:C5"/>
    <mergeCell ref="B81:C81"/>
  </mergeCells>
  <conditionalFormatting sqref="E6:E79">
    <cfRule type="cellIs" dxfId="0" priority="1" operator="lessThan">
      <formula>75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4" width="14.43"/>
  </cols>
  <sheetData>
    <row r="1">
      <c r="A1" s="32"/>
    </row>
    <row r="4">
      <c r="A4" s="33"/>
      <c r="B4" s="34" t="s">
        <v>737</v>
      </c>
      <c r="C4" s="34" t="s">
        <v>738</v>
      </c>
      <c r="D4" s="34" t="s">
        <v>739</v>
      </c>
      <c r="E4" s="34" t="s">
        <v>740</v>
      </c>
      <c r="F4" s="34" t="s">
        <v>741</v>
      </c>
      <c r="G4" s="33" t="s">
        <v>6</v>
      </c>
    </row>
    <row r="5">
      <c r="A5" s="33" t="s">
        <v>157</v>
      </c>
      <c r="B5" s="35">
        <f>'CSE-M'!C81</f>
        <v>29</v>
      </c>
      <c r="C5" s="35">
        <f>'CSE-N'!C80</f>
        <v>29</v>
      </c>
      <c r="D5" s="35">
        <f>'CSE-O'!C79</f>
        <v>23</v>
      </c>
      <c r="E5" s="35">
        <f>'CSE-P'!C83</f>
        <v>37</v>
      </c>
      <c r="F5" s="35">
        <f>'CSE-Q'!C82</f>
        <v>28</v>
      </c>
      <c r="G5" s="35">
        <f t="shared" ref="G5:G11" si="1">SUM(B5:F5)</f>
        <v>146</v>
      </c>
    </row>
    <row r="6">
      <c r="A6" s="33" t="s">
        <v>158</v>
      </c>
      <c r="B6" s="35">
        <f>'CSE-M'!C82</f>
        <v>21</v>
      </c>
      <c r="C6" s="35">
        <f>'CSE-N'!C81</f>
        <v>14</v>
      </c>
      <c r="D6" s="35">
        <f>'CSE-O'!C80</f>
        <v>16</v>
      </c>
      <c r="E6" s="35">
        <f>'CSE-P'!C84</f>
        <v>25</v>
      </c>
      <c r="F6" s="35">
        <f>'CSE-Q'!C83</f>
        <v>18</v>
      </c>
      <c r="G6" s="35">
        <f t="shared" si="1"/>
        <v>94</v>
      </c>
    </row>
    <row r="7">
      <c r="A7" s="33" t="s">
        <v>159</v>
      </c>
      <c r="B7" s="35">
        <f>'CSE-M'!C83</f>
        <v>21</v>
      </c>
      <c r="C7" s="35">
        <f>'CSE-N'!C82</f>
        <v>20</v>
      </c>
      <c r="D7" s="35">
        <f>'CSE-O'!C81</f>
        <v>10</v>
      </c>
      <c r="E7" s="35">
        <f>'CSE-P'!C85</f>
        <v>4</v>
      </c>
      <c r="F7" s="35">
        <f>'CSE-Q'!C84</f>
        <v>17</v>
      </c>
      <c r="G7" s="35">
        <f t="shared" si="1"/>
        <v>72</v>
      </c>
    </row>
    <row r="8">
      <c r="A8" s="33" t="s">
        <v>160</v>
      </c>
      <c r="B8" s="35">
        <f>'CSE-M'!C84</f>
        <v>2</v>
      </c>
      <c r="C8" s="35">
        <f>'CSE-N'!C83</f>
        <v>8</v>
      </c>
      <c r="D8" s="35">
        <f>'CSE-O'!C82</f>
        <v>18</v>
      </c>
      <c r="E8" s="35">
        <f>'CSE-P'!C86</f>
        <v>4</v>
      </c>
      <c r="F8" s="35">
        <f>'CSE-Q'!C85</f>
        <v>10</v>
      </c>
      <c r="G8" s="35">
        <f t="shared" si="1"/>
        <v>42</v>
      </c>
    </row>
    <row r="9">
      <c r="A9" s="33" t="s">
        <v>161</v>
      </c>
      <c r="B9" s="35">
        <f>'CSE-M'!C85</f>
        <v>0</v>
      </c>
      <c r="C9" s="35">
        <f>'CSE-N'!C84</f>
        <v>1</v>
      </c>
      <c r="D9" s="35">
        <f>'CSE-O'!C83</f>
        <v>1</v>
      </c>
      <c r="E9" s="35">
        <f>'CSE-P'!C87</f>
        <v>5</v>
      </c>
      <c r="F9" s="35">
        <f>'CSE-Q'!C86</f>
        <v>1</v>
      </c>
      <c r="G9" s="35">
        <f t="shared" si="1"/>
        <v>8</v>
      </c>
    </row>
    <row r="10">
      <c r="A10" s="33">
        <f>0</f>
        <v>0</v>
      </c>
      <c r="B10" s="35">
        <f>'CSE-M'!C86</f>
        <v>0</v>
      </c>
      <c r="C10" s="35">
        <f>'CSE-N'!C85</f>
        <v>0</v>
      </c>
      <c r="D10" s="35">
        <f>'CSE-O'!C84</f>
        <v>3</v>
      </c>
      <c r="E10" s="35">
        <f>'CSE-P'!C88</f>
        <v>0</v>
      </c>
      <c r="F10" s="35">
        <f>'CSE-Q'!C87</f>
        <v>0</v>
      </c>
      <c r="G10" s="35">
        <f t="shared" si="1"/>
        <v>3</v>
      </c>
    </row>
    <row r="11">
      <c r="A11" s="33"/>
      <c r="B11" s="35">
        <f t="shared" ref="B11:F11" si="2">SUM(B5:B10)</f>
        <v>73</v>
      </c>
      <c r="C11" s="35">
        <f t="shared" si="2"/>
        <v>72</v>
      </c>
      <c r="D11" s="35">
        <f t="shared" si="2"/>
        <v>71</v>
      </c>
      <c r="E11" s="35">
        <f t="shared" si="2"/>
        <v>75</v>
      </c>
      <c r="F11" s="35">
        <f t="shared" si="2"/>
        <v>74</v>
      </c>
      <c r="G11" s="35">
        <f t="shared" si="1"/>
        <v>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